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黄金期货" sheetId="2" state="visible" r:id="rId2"/>
    <sheet xmlns:r="http://schemas.openxmlformats.org/officeDocument/2006/relationships" name="比特币现货" sheetId="3" state="visible" r:id="rId3"/>
    <sheet xmlns:r="http://schemas.openxmlformats.org/officeDocument/2006/relationships" name="参数" sheetId="4" state="visible" r:id="rId4"/>
    <sheet xmlns:r="http://schemas.openxmlformats.org/officeDocument/2006/relationships" name="对齐" sheetId="5" state="visible" r:id="rId5"/>
    <sheet xmlns:r="http://schemas.openxmlformats.org/officeDocument/2006/relationships" name="指标" sheetId="6" state="visible" r:id="rId6"/>
    <sheet xmlns:r="http://schemas.openxmlformats.org/officeDocument/2006/relationships" name="汇总" sheetId="7" state="visible" r:id="rId7"/>
    <sheet xmlns:r="http://schemas.openxmlformats.org/officeDocument/2006/relationships" name="年度收益" sheetId="8" state="visible" r:id="rId8"/>
    <sheet xmlns:r="http://schemas.openxmlformats.org/officeDocument/2006/relationships" name="图表" sheetId="9" state="visible" r:id="rId9"/>
    <sheet xmlns:r="http://schemas.openxmlformats.org/officeDocument/2006/relationships" name="黄金与比特币关键行情变化点（规则触发，按日期排列）" sheetId="10" state="visible" r:id="rId10"/>
    <sheet xmlns:r="http://schemas.openxmlformats.org/officeDocument/2006/relationships" name="2021-2026年影响黄金与比特币的关键宏观与行业事件" sheetId="11" state="visible" r:id="rId11"/>
    <sheet xmlns:r="http://schemas.openxmlformats.org/officeDocument/2006/relationships" name="溯源"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0"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归一化净值（起点=100）</a:t>
            </a:r>
          </a:p>
        </rich>
      </tx>
    </title>
    <plotArea>
      <lineChart>
        <grouping val="standard"/>
        <ser>
          <idx val="0"/>
          <order val="0"/>
          <tx>
            <strRef>
              <f>'指标'!C1</f>
            </strRef>
          </tx>
          <spPr>
            <a:ln xmlns:a="http://schemas.openxmlformats.org/drawingml/2006/main">
              <a:prstDash val="solid"/>
            </a:ln>
          </spPr>
          <marker>
            <symbol val="none"/>
            <spPr>
              <a:ln xmlns:a="http://schemas.openxmlformats.org/drawingml/2006/main">
                <a:prstDash val="solid"/>
              </a:ln>
            </spPr>
          </marker>
          <cat>
            <numRef>
              <f>'指标'!$A$2:$A$1258</f>
            </numRef>
          </cat>
          <val>
            <numRef>
              <f>'指标'!$C$2:$C$1258</f>
            </numRef>
          </val>
        </ser>
        <ser>
          <idx val="1"/>
          <order val="1"/>
          <tx>
            <strRef>
              <f>'指标'!G1</f>
            </strRef>
          </tx>
          <spPr>
            <a:ln xmlns:a="http://schemas.openxmlformats.org/drawingml/2006/main">
              <a:prstDash val="solid"/>
            </a:ln>
          </spPr>
          <marker>
            <symbol val="none"/>
            <spPr>
              <a:ln xmlns:a="http://schemas.openxmlformats.org/drawingml/2006/main">
                <a:prstDash val="solid"/>
              </a:ln>
            </spPr>
          </marker>
          <cat>
            <numRef>
              <f>'指标'!$A$2:$A$1258</f>
            </numRef>
          </cat>
          <val>
            <numRef>
              <f>'指标'!$G$2:$G$1258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研究框架与数据口径</t>
        </is>
      </c>
    </row>
    <row r="3">
      <c r="A3" t="inlineStr">
        <is>
          <t>本研究构建黄金（GC=F）与比特币（BTC-USD）作为避险与抗通胀资产的量化比较框架，覆盖2021年7月5日至2026年7月5日共五年回测区间。黄金期货来自COMEX（Yahoo Finance），比特币来自CoinMarketCap/Yahoo Finance整合数据，两者按交易日对齐进行多资产分析。</t>
        </is>
      </c>
    </row>
    <row r="4">
      <c r="A4" t="inlineStr">
        <is>
          <t>数据口径说明：
- 黄金期货为CME COMEX近月连续合约，5天交易周，共1,257个交易日；
- 比特币为7×24连续交易，Yahoo Finance日线收盘价，共1,826个自然日；
- 多资产指标（相关性、共同收益）基于日期内连接后的共同交易日，比特币周末数据不在对齐范围内；
- 收益率统一按对数收益率计算；波动率年化系数√252；
- 无风险利率假设为0（聚焦资产间横向比较，非绝对夏普）；
- 指标全部为Excel公式驱动，修改「参数」sheet的滚动窗口参数可联动重算；
- 原始数据在各自资产sheet中完整保留，可逐行复核。</t>
        </is>
      </c>
    </row>
    <row r="5">
      <c r="A5" t="inlineStr">
        <is>
          <t>［溯源：ev-s-20260705-745a-1、ev-s-20260705-745a-39］</t>
        </is>
      </c>
    </row>
    <row r="7">
      <c r="A7" s="1" t="inlineStr">
        <is>
          <t>关键行情变化点明细</t>
        </is>
      </c>
    </row>
    <row r="9">
      <c r="A9" s="1" t="inlineStr">
        <is>
          <t>关键宏观与行业事件</t>
        </is>
      </c>
    </row>
    <row r="11">
      <c r="A11" s="1" t="inlineStr">
        <is>
          <t>回测局限性与注意事项</t>
        </is>
      </c>
    </row>
    <row r="13">
      <c r="A13" t="inlineStr">
        <is>
          <t>本回测底稿存在以下局限性：</t>
        </is>
      </c>
    </row>
    <row r="14">
      <c r="A14" t="inlineStr">
        <is>
          <t>1. 日期对齐损失：比特币7×24连续交易，黄金仅工作日交易。多资产指标基于日期内连接，比特币周末的价格变动未纳入共同交易日分析，可能低估比特币的实际波动率并影响相关性估计。</t>
        </is>
      </c>
    </row>
    <row r="15">
      <c r="A15" t="inlineStr">
        <is>
          <t>2. 交易成本未计：黄金期货涉及展期成本和保证金要求，比特币现货涉及交易所手续费和滑点，两者均未在回测中考虑，实际可实现的收益低于底稿数值。</t>
        </is>
      </c>
    </row>
    <row r="16">
      <c r="A16" t="inlineStr">
        <is>
          <t>3. 无风险利率假设：本底稿无风险利率设为0，夏普比率为简化计算，不适合与其他资产类别的绝对夏普横向比较，仅适用于黄金与比特币之间的相对比较。</t>
        </is>
      </c>
    </row>
    <row r="17">
      <c r="A17" t="inlineStr">
        <is>
          <t>4. 事件覆盖缺口：2021年7-11月期间无收录宏观或行业事件，期间9个变化点缺乏事件归因；2024年8月BTC大幅回撤（-20.9%）缺乏对应事件解释；2026年1-3月黄金极端行情（单日-11.37%、区间-17.2%）亦无事件支撑，可能反映数据异常或上游事件库缺口。</t>
        </is>
      </c>
    </row>
    <row r="18">
      <c r="A18" t="inlineStr">
        <is>
          <t>5. 相关不等于因果：变化点与事件的对齐基于时间窗口重叠和方向逻辑判断，不代表严格的因果关系。多事件叠加期（如2022年3-7月美联储加息、俄乌冲突与CPI飙升叠加）单一变化点的归因存在模糊性。</t>
        </is>
      </c>
    </row>
    <row r="19">
      <c r="A19" t="inlineStr">
        <is>
          <t>6. 资产性质差异：黄金为大宗商品期货（COMEX近月合约），比特币为加密货币现货，两者在交易机制、监管环境和市场结构上的本质差异使得直接比较存在内在局限性。黄金的避险属性历经数百年验证，而比特币仅有十余年历史，样本区间内经历了从边缘资产到主流配置的转变阶段。</t>
        </is>
      </c>
    </row>
    <row r="20">
      <c r="A20" t="inlineStr">
        <is>
          <t>［溯源：ev-s-20260705-745a-1、ev-s-20260705-745a-2、ev-s-20260705-745a-3、ev-s-20260705-745a-39］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58"/>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开盘</t>
        </is>
      </c>
      <c r="C1" s="1" t="inlineStr">
        <is>
          <t>最高</t>
        </is>
      </c>
      <c r="D1" s="1" t="inlineStr">
        <is>
          <t>最低</t>
        </is>
      </c>
      <c r="E1" s="1" t="inlineStr">
        <is>
          <t>收盘</t>
        </is>
      </c>
      <c r="F1" s="1" t="inlineStr">
        <is>
          <t>成交量</t>
        </is>
      </c>
    </row>
    <row r="2">
      <c r="A2" t="inlineStr">
        <is>
          <t>2021-07-06</t>
        </is>
      </c>
      <c r="B2" t="n">
        <v>1786.699951171875</v>
      </c>
      <c r="C2" t="n">
        <v>1809.800048828125</v>
      </c>
      <c r="D2" t="n">
        <v>1786.699951171875</v>
      </c>
      <c r="E2" t="n">
        <v>1793.5</v>
      </c>
      <c r="F2" t="n">
        <v>332</v>
      </c>
    </row>
    <row r="3">
      <c r="A3" t="inlineStr">
        <is>
          <t>2021-07-07</t>
        </is>
      </c>
      <c r="B3" t="n">
        <v>1798.699951171875</v>
      </c>
      <c r="C3" t="n">
        <v>1808.400024414062</v>
      </c>
      <c r="D3" t="n">
        <v>1797.199951171875</v>
      </c>
      <c r="E3" t="n">
        <v>1801.5</v>
      </c>
      <c r="F3" t="n">
        <v>244</v>
      </c>
    </row>
    <row r="4">
      <c r="A4" t="inlineStr">
        <is>
          <t>2021-07-08</t>
        </is>
      </c>
      <c r="B4" t="n">
        <v>1797</v>
      </c>
      <c r="C4" t="n">
        <v>1818.5</v>
      </c>
      <c r="D4" t="n">
        <v>1797</v>
      </c>
      <c r="E4" t="n">
        <v>1799.599975585938</v>
      </c>
      <c r="F4" t="n">
        <v>148</v>
      </c>
    </row>
    <row r="5">
      <c r="A5" t="inlineStr">
        <is>
          <t>2021-07-09</t>
        </is>
      </c>
      <c r="B5" t="n">
        <v>1803.599975585938</v>
      </c>
      <c r="C5" t="n">
        <v>1810.099975585938</v>
      </c>
      <c r="D5" t="n">
        <v>1798.800048828125</v>
      </c>
      <c r="E5" t="n">
        <v>1810</v>
      </c>
      <c r="F5" t="n">
        <v>218</v>
      </c>
    </row>
    <row r="6">
      <c r="A6" t="inlineStr">
        <is>
          <t>2021-07-12</t>
        </is>
      </c>
      <c r="B6" t="n">
        <v>1802.599975585938</v>
      </c>
      <c r="C6" t="n">
        <v>1805.5</v>
      </c>
      <c r="D6" t="n">
        <v>1799.5</v>
      </c>
      <c r="E6" t="n">
        <v>1805.5</v>
      </c>
      <c r="F6" t="n">
        <v>147</v>
      </c>
    </row>
    <row r="7">
      <c r="A7" t="inlineStr">
        <is>
          <t>2021-07-13</t>
        </is>
      </c>
      <c r="B7" t="n">
        <v>1808.099975585938</v>
      </c>
      <c r="C7" t="n">
        <v>1812</v>
      </c>
      <c r="D7" t="n">
        <v>1800.599975585938</v>
      </c>
      <c r="E7" t="n">
        <v>1809.400024414062</v>
      </c>
      <c r="F7" t="n">
        <v>78</v>
      </c>
    </row>
    <row r="8">
      <c r="A8" t="inlineStr">
        <is>
          <t>2021-07-14</t>
        </is>
      </c>
      <c r="B8" t="n">
        <v>1813.099975585938</v>
      </c>
      <c r="C8" t="n">
        <v>1829</v>
      </c>
      <c r="D8" t="n">
        <v>1813.099975585938</v>
      </c>
      <c r="E8" t="n">
        <v>1824.300048828125</v>
      </c>
      <c r="F8" t="n">
        <v>707</v>
      </c>
    </row>
    <row r="9">
      <c r="A9" t="inlineStr">
        <is>
          <t>2021-07-15</t>
        </is>
      </c>
      <c r="B9" t="n">
        <v>1831.599975585938</v>
      </c>
      <c r="C9" t="n">
        <v>1833</v>
      </c>
      <c r="D9" t="n">
        <v>1823.400024414062</v>
      </c>
      <c r="E9" t="n">
        <v>1828.400024414062</v>
      </c>
      <c r="F9" t="n">
        <v>99</v>
      </c>
    </row>
    <row r="10">
      <c r="A10" t="inlineStr">
        <is>
          <t>2021-07-16</t>
        </is>
      </c>
      <c r="B10" t="n">
        <v>1830.099975585938</v>
      </c>
      <c r="C10" t="n">
        <v>1831.400024414062</v>
      </c>
      <c r="D10" t="n">
        <v>1814.5</v>
      </c>
      <c r="E10" t="n">
        <v>1814.5</v>
      </c>
      <c r="F10" t="n">
        <v>78</v>
      </c>
    </row>
    <row r="11">
      <c r="A11" t="inlineStr">
        <is>
          <t>2021-07-19</t>
        </is>
      </c>
      <c r="B11" t="n">
        <v>1803.300048828125</v>
      </c>
      <c r="C11" t="n">
        <v>1813.400024414062</v>
      </c>
      <c r="D11" t="n">
        <v>1803.300048828125</v>
      </c>
      <c r="E11" t="n">
        <v>1808.699951171875</v>
      </c>
      <c r="F11" t="n">
        <v>33</v>
      </c>
    </row>
    <row r="12">
      <c r="A12" t="inlineStr">
        <is>
          <t>2021-07-20</t>
        </is>
      </c>
      <c r="B12" t="n">
        <v>1812.900024414062</v>
      </c>
      <c r="C12" t="n">
        <v>1824</v>
      </c>
      <c r="D12" t="n">
        <v>1810.900024414062</v>
      </c>
      <c r="E12" t="n">
        <v>1810.900024414062</v>
      </c>
      <c r="F12" t="n">
        <v>128</v>
      </c>
    </row>
    <row r="13">
      <c r="A13" t="inlineStr">
        <is>
          <t>2021-07-21</t>
        </is>
      </c>
      <c r="B13" t="n">
        <v>1807</v>
      </c>
      <c r="C13" t="n">
        <v>1807</v>
      </c>
      <c r="D13" t="n">
        <v>1800</v>
      </c>
      <c r="E13" t="n">
        <v>1802.900024414062</v>
      </c>
      <c r="F13" t="n">
        <v>135</v>
      </c>
    </row>
    <row r="14">
      <c r="A14" t="inlineStr">
        <is>
          <t>2021-07-22</t>
        </is>
      </c>
      <c r="B14" t="n">
        <v>1793.599975585938</v>
      </c>
      <c r="C14" t="n">
        <v>1805</v>
      </c>
      <c r="D14" t="n">
        <v>1793.599975585938</v>
      </c>
      <c r="E14" t="n">
        <v>1805</v>
      </c>
      <c r="F14" t="n">
        <v>2</v>
      </c>
    </row>
    <row r="15">
      <c r="A15" t="inlineStr">
        <is>
          <t>2021-07-23</t>
        </is>
      </c>
      <c r="B15" t="n">
        <v>1800</v>
      </c>
      <c r="C15" t="n">
        <v>1801.400024414062</v>
      </c>
      <c r="D15" t="n">
        <v>1800</v>
      </c>
      <c r="E15" t="n">
        <v>1801.400024414062</v>
      </c>
      <c r="F15" t="n">
        <v>1</v>
      </c>
    </row>
    <row r="16">
      <c r="A16" t="inlineStr">
        <is>
          <t>2021-07-26</t>
        </is>
      </c>
      <c r="B16" t="n">
        <v>1802.5</v>
      </c>
      <c r="C16" t="n">
        <v>1802.5</v>
      </c>
      <c r="D16" t="n">
        <v>1797.199951171875</v>
      </c>
      <c r="E16" t="n">
        <v>1798.699951171875</v>
      </c>
      <c r="F16" t="n">
        <v>17</v>
      </c>
    </row>
    <row r="17">
      <c r="A17" t="inlineStr">
        <is>
          <t>2021-07-27</t>
        </is>
      </c>
      <c r="B17" t="n">
        <v>1803.699951171875</v>
      </c>
      <c r="C17" t="n">
        <v>1803.699951171875</v>
      </c>
      <c r="D17" t="n">
        <v>1799.5</v>
      </c>
      <c r="E17" t="n">
        <v>1799.5</v>
      </c>
      <c r="F17" t="n">
        <v>1</v>
      </c>
    </row>
    <row r="18">
      <c r="A18" t="inlineStr">
        <is>
          <t>2021-07-28</t>
        </is>
      </c>
      <c r="B18" t="n">
        <v>1799.5</v>
      </c>
      <c r="C18" t="n">
        <v>1799.5</v>
      </c>
      <c r="D18" t="n">
        <v>1799.5</v>
      </c>
      <c r="E18" t="n">
        <v>1799.5</v>
      </c>
      <c r="F18" t="n">
        <v>209783</v>
      </c>
    </row>
    <row r="19">
      <c r="A19" t="inlineStr">
        <is>
          <t>2021-07-29</t>
        </is>
      </c>
      <c r="B19" t="n">
        <v>1806.599975585938</v>
      </c>
      <c r="C19" t="n">
        <v>1832.599975585938</v>
      </c>
      <c r="D19" t="n">
        <v>1806.099975585938</v>
      </c>
      <c r="E19" t="n">
        <v>1831.199951171875</v>
      </c>
      <c r="F19" t="n">
        <v>30496</v>
      </c>
    </row>
    <row r="20">
      <c r="A20" t="inlineStr">
        <is>
          <t>2021-07-30</t>
        </is>
      </c>
      <c r="B20" t="n">
        <v>1828</v>
      </c>
      <c r="C20" t="n">
        <v>1830.5</v>
      </c>
      <c r="D20" t="n">
        <v>1808.900024414062</v>
      </c>
      <c r="E20" t="n">
        <v>1812.599975585938</v>
      </c>
      <c r="F20" t="n">
        <v>3100</v>
      </c>
    </row>
    <row r="21">
      <c r="A21" t="inlineStr">
        <is>
          <t>2021-08-02</t>
        </is>
      </c>
      <c r="B21" t="n">
        <v>1812.400024414062</v>
      </c>
      <c r="C21" t="n">
        <v>1818.699951171875</v>
      </c>
      <c r="D21" t="n">
        <v>1804.800048828125</v>
      </c>
      <c r="E21" t="n">
        <v>1818.099975585938</v>
      </c>
      <c r="F21" t="n">
        <v>1334</v>
      </c>
    </row>
    <row r="22">
      <c r="A22" t="inlineStr">
        <is>
          <t>2021-08-03</t>
        </is>
      </c>
      <c r="B22" t="n">
        <v>1812.300048828125</v>
      </c>
      <c r="C22" t="n">
        <v>1813.5</v>
      </c>
      <c r="D22" t="n">
        <v>1806</v>
      </c>
      <c r="E22" t="n">
        <v>1810.099975585938</v>
      </c>
      <c r="F22" t="n">
        <v>3341</v>
      </c>
    </row>
    <row r="23">
      <c r="A23" t="inlineStr">
        <is>
          <t>2021-08-04</t>
        </is>
      </c>
      <c r="B23" t="n">
        <v>1809.300048828125</v>
      </c>
      <c r="C23" t="n">
        <v>1831.300048828125</v>
      </c>
      <c r="D23" t="n">
        <v>1806.300048828125</v>
      </c>
      <c r="E23" t="n">
        <v>1810.5</v>
      </c>
      <c r="F23" t="n">
        <v>2860</v>
      </c>
    </row>
    <row r="24">
      <c r="A24" t="inlineStr">
        <is>
          <t>2021-08-05</t>
        </is>
      </c>
      <c r="B24" t="n">
        <v>1810.800048828125</v>
      </c>
      <c r="C24" t="n">
        <v>1813.699951171875</v>
      </c>
      <c r="D24" t="n">
        <v>1796</v>
      </c>
      <c r="E24" t="n">
        <v>1805.099975585938</v>
      </c>
      <c r="F24" t="n">
        <v>588</v>
      </c>
    </row>
    <row r="25">
      <c r="A25" t="inlineStr">
        <is>
          <t>2021-08-06</t>
        </is>
      </c>
      <c r="B25" t="n">
        <v>1799.800048828125</v>
      </c>
      <c r="C25" t="n">
        <v>1800.099975585938</v>
      </c>
      <c r="D25" t="n">
        <v>1758.400024414062</v>
      </c>
      <c r="E25" t="n">
        <v>1760</v>
      </c>
      <c r="F25" t="n">
        <v>859</v>
      </c>
    </row>
    <row r="26">
      <c r="A26" t="inlineStr">
        <is>
          <t>2021-08-09</t>
        </is>
      </c>
      <c r="B26" t="n">
        <v>1753.5</v>
      </c>
      <c r="C26" t="n">
        <v>1753.800048828125</v>
      </c>
      <c r="D26" t="n">
        <v>1692.599975585938</v>
      </c>
      <c r="E26" t="n">
        <v>1723.400024414062</v>
      </c>
      <c r="F26" t="n">
        <v>1621</v>
      </c>
    </row>
    <row r="27">
      <c r="A27" t="inlineStr">
        <is>
          <t>2021-08-10</t>
        </is>
      </c>
      <c r="B27" t="n">
        <v>1728.599975585938</v>
      </c>
      <c r="C27" t="n">
        <v>1735.199951171875</v>
      </c>
      <c r="D27" t="n">
        <v>1720.099975585938</v>
      </c>
      <c r="E27" t="n">
        <v>1728.800048828125</v>
      </c>
      <c r="F27" t="n">
        <v>1363</v>
      </c>
    </row>
    <row r="28">
      <c r="A28" t="inlineStr">
        <is>
          <t>2021-08-11</t>
        </is>
      </c>
      <c r="B28" t="n">
        <v>1727.300048828125</v>
      </c>
      <c r="C28" t="n">
        <v>1752.199951171875</v>
      </c>
      <c r="D28" t="n">
        <v>1727.300048828125</v>
      </c>
      <c r="E28" t="n">
        <v>1750.400024414062</v>
      </c>
      <c r="F28" t="n">
        <v>542</v>
      </c>
    </row>
    <row r="29">
      <c r="A29" t="inlineStr">
        <is>
          <t>2021-08-12</t>
        </is>
      </c>
      <c r="B29" t="n">
        <v>1749.699951171875</v>
      </c>
      <c r="C29" t="n">
        <v>1752.400024414062</v>
      </c>
      <c r="D29" t="n">
        <v>1745.5</v>
      </c>
      <c r="E29" t="n">
        <v>1749</v>
      </c>
      <c r="F29" t="n">
        <v>739</v>
      </c>
    </row>
    <row r="30">
      <c r="A30" t="inlineStr">
        <is>
          <t>2021-08-13</t>
        </is>
      </c>
      <c r="B30" t="n">
        <v>1758.300048828125</v>
      </c>
      <c r="C30" t="n">
        <v>1777.300048828125</v>
      </c>
      <c r="D30" t="n">
        <v>1757.400024414062</v>
      </c>
      <c r="E30" t="n">
        <v>1775.199951171875</v>
      </c>
      <c r="F30" t="n">
        <v>436</v>
      </c>
    </row>
    <row r="31">
      <c r="A31" t="inlineStr">
        <is>
          <t>2021-08-16</t>
        </is>
      </c>
      <c r="B31" t="n">
        <v>1776.900024414062</v>
      </c>
      <c r="C31" t="n">
        <v>1787.800048828125</v>
      </c>
      <c r="D31" t="n">
        <v>1771.900024414062</v>
      </c>
      <c r="E31" t="n">
        <v>1786.900024414062</v>
      </c>
      <c r="F31" t="n">
        <v>219</v>
      </c>
    </row>
    <row r="32">
      <c r="A32" t="inlineStr">
        <is>
          <t>2021-08-17</t>
        </is>
      </c>
      <c r="B32" t="n">
        <v>1787.699951171875</v>
      </c>
      <c r="C32" t="n">
        <v>1794.199951171875</v>
      </c>
      <c r="D32" t="n">
        <v>1780</v>
      </c>
      <c r="E32" t="n">
        <v>1785</v>
      </c>
      <c r="F32" t="n">
        <v>200</v>
      </c>
    </row>
    <row r="33">
      <c r="A33" t="inlineStr">
        <is>
          <t>2021-08-18</t>
        </is>
      </c>
      <c r="B33" t="n">
        <v>1787.800048828125</v>
      </c>
      <c r="C33" t="n">
        <v>1791.5</v>
      </c>
      <c r="D33" t="n">
        <v>1779</v>
      </c>
      <c r="E33" t="n">
        <v>1781.599975585938</v>
      </c>
      <c r="F33" t="n">
        <v>263</v>
      </c>
    </row>
    <row r="34">
      <c r="A34" t="inlineStr">
        <is>
          <t>2021-08-19</t>
        </is>
      </c>
      <c r="B34" t="n">
        <v>1780</v>
      </c>
      <c r="C34" t="n">
        <v>1789.300048828125</v>
      </c>
      <c r="D34" t="n">
        <v>1775.5</v>
      </c>
      <c r="E34" t="n">
        <v>1780.199951171875</v>
      </c>
      <c r="F34" t="n">
        <v>245</v>
      </c>
    </row>
    <row r="35">
      <c r="A35" t="inlineStr">
        <is>
          <t>2021-08-20</t>
        </is>
      </c>
      <c r="B35" t="n">
        <v>1784.099975585938</v>
      </c>
      <c r="C35" t="n">
        <v>1787.5</v>
      </c>
      <c r="D35" t="n">
        <v>1778.199951171875</v>
      </c>
      <c r="E35" t="n">
        <v>1781</v>
      </c>
      <c r="F35" t="n">
        <v>235</v>
      </c>
    </row>
    <row r="36">
      <c r="A36" t="inlineStr">
        <is>
          <t>2021-08-23</t>
        </is>
      </c>
      <c r="B36" t="n">
        <v>1776.800048828125</v>
      </c>
      <c r="C36" t="n">
        <v>1804.800048828125</v>
      </c>
      <c r="D36" t="n">
        <v>1776.800048828125</v>
      </c>
      <c r="E36" t="n">
        <v>1803.199951171875</v>
      </c>
      <c r="F36" t="n">
        <v>32</v>
      </c>
    </row>
    <row r="37">
      <c r="A37" t="inlineStr">
        <is>
          <t>2021-08-24</t>
        </is>
      </c>
      <c r="B37" t="n">
        <v>1801</v>
      </c>
      <c r="C37" t="n">
        <v>1805.599975585938</v>
      </c>
      <c r="D37" t="n">
        <v>1801</v>
      </c>
      <c r="E37" t="n">
        <v>1805.599975585938</v>
      </c>
      <c r="F37" t="n">
        <v>22</v>
      </c>
    </row>
    <row r="38">
      <c r="A38" t="inlineStr">
        <is>
          <t>2021-08-25</t>
        </is>
      </c>
      <c r="B38" t="n">
        <v>1792</v>
      </c>
      <c r="C38" t="n">
        <v>1792.900024414062</v>
      </c>
      <c r="D38" t="n">
        <v>1784</v>
      </c>
      <c r="E38" t="n">
        <v>1788.199951171875</v>
      </c>
      <c r="F38" t="n">
        <v>812</v>
      </c>
    </row>
    <row r="39">
      <c r="A39" t="inlineStr">
        <is>
          <t>2021-08-26</t>
        </is>
      </c>
      <c r="B39" t="n">
        <v>1787.400024414062</v>
      </c>
      <c r="C39" t="n">
        <v>1792.199951171875</v>
      </c>
      <c r="D39" t="n">
        <v>1781</v>
      </c>
      <c r="E39" t="n">
        <v>1792.199951171875</v>
      </c>
      <c r="F39" t="n">
        <v>61</v>
      </c>
    </row>
    <row r="40">
      <c r="A40" t="inlineStr">
        <is>
          <t>2021-08-27</t>
        </is>
      </c>
      <c r="B40" t="n">
        <v>1803.400024414062</v>
      </c>
      <c r="C40" t="n">
        <v>1816.599975585938</v>
      </c>
      <c r="D40" t="n">
        <v>1803.099975585938</v>
      </c>
      <c r="E40" t="n">
        <v>1816.599975585938</v>
      </c>
      <c r="F40" t="n">
        <v>1219</v>
      </c>
    </row>
    <row r="41">
      <c r="A41" t="inlineStr">
        <is>
          <t>2021-08-30</t>
        </is>
      </c>
      <c r="B41" t="n">
        <v>1818.199951171875</v>
      </c>
      <c r="C41" t="n">
        <v>1820.300048828125</v>
      </c>
      <c r="D41" t="n">
        <v>1807.800048828125</v>
      </c>
      <c r="E41" t="n">
        <v>1809</v>
      </c>
      <c r="F41" t="n">
        <v>684</v>
      </c>
    </row>
    <row r="42">
      <c r="A42" t="inlineStr">
        <is>
          <t>2021-08-31</t>
        </is>
      </c>
      <c r="B42" t="n">
        <v>1815.900024414062</v>
      </c>
      <c r="C42" t="n">
        <v>1815.900024414062</v>
      </c>
      <c r="D42" t="n">
        <v>1801.099975585938</v>
      </c>
      <c r="E42" t="n">
        <v>1815</v>
      </c>
      <c r="F42" t="n">
        <v>82</v>
      </c>
    </row>
    <row r="43">
      <c r="A43" t="inlineStr">
        <is>
          <t>2021-09-01</t>
        </is>
      </c>
      <c r="B43" t="n">
        <v>1813.5</v>
      </c>
      <c r="C43" t="n">
        <v>1815.900024414062</v>
      </c>
      <c r="D43" t="n">
        <v>1809.5</v>
      </c>
      <c r="E43" t="n">
        <v>1813.099975585938</v>
      </c>
      <c r="F43" t="n">
        <v>114</v>
      </c>
    </row>
    <row r="44">
      <c r="A44" t="inlineStr">
        <is>
          <t>2021-09-02</t>
        </is>
      </c>
      <c r="B44" t="n">
        <v>1813.199951171875</v>
      </c>
      <c r="C44" t="n">
        <v>1813.900024414062</v>
      </c>
      <c r="D44" t="n">
        <v>1806.800048828125</v>
      </c>
      <c r="E44" t="n">
        <v>1808.699951171875</v>
      </c>
      <c r="F44" t="n">
        <v>26</v>
      </c>
    </row>
    <row r="45">
      <c r="A45" t="inlineStr">
        <is>
          <t>2021-09-03</t>
        </is>
      </c>
      <c r="B45" t="n">
        <v>1820.900024414062</v>
      </c>
      <c r="C45" t="n">
        <v>1833.900024414062</v>
      </c>
      <c r="D45" t="n">
        <v>1818.900024414062</v>
      </c>
      <c r="E45" t="n">
        <v>1830.900024414062</v>
      </c>
      <c r="F45" t="n">
        <v>53</v>
      </c>
    </row>
    <row r="46">
      <c r="A46" t="inlineStr">
        <is>
          <t>2021-09-07</t>
        </is>
      </c>
      <c r="B46" t="n">
        <v>1825.699951171875</v>
      </c>
      <c r="C46" t="n">
        <v>1825.699951171875</v>
      </c>
      <c r="D46" t="n">
        <v>1792.699951171875</v>
      </c>
      <c r="E46" t="n">
        <v>1795.900024414062</v>
      </c>
      <c r="F46" t="n">
        <v>48</v>
      </c>
    </row>
    <row r="47">
      <c r="A47" t="inlineStr">
        <is>
          <t>2021-09-08</t>
        </is>
      </c>
      <c r="B47" t="n">
        <v>1781.699951171875</v>
      </c>
      <c r="C47" t="n">
        <v>1790.699951171875</v>
      </c>
      <c r="D47" t="n">
        <v>1781.699951171875</v>
      </c>
      <c r="E47" t="n">
        <v>1790.699951171875</v>
      </c>
      <c r="F47" t="n">
        <v>69</v>
      </c>
    </row>
    <row r="48">
      <c r="A48" t="inlineStr">
        <is>
          <t>2021-09-09</t>
        </is>
      </c>
      <c r="B48" t="n">
        <v>1798.699951171875</v>
      </c>
      <c r="C48" t="n">
        <v>1798.699951171875</v>
      </c>
      <c r="D48" t="n">
        <v>1787.900024414062</v>
      </c>
      <c r="E48" t="n">
        <v>1797.400024414062</v>
      </c>
      <c r="F48" t="n">
        <v>49</v>
      </c>
    </row>
    <row r="49">
      <c r="A49" t="inlineStr">
        <is>
          <t>2021-09-10</t>
        </is>
      </c>
      <c r="B49" t="n">
        <v>1789.599975585938</v>
      </c>
      <c r="C49" t="n">
        <v>1789.599975585938</v>
      </c>
      <c r="D49" t="n">
        <v>1789.599975585938</v>
      </c>
      <c r="E49" t="n">
        <v>1789.599975585938</v>
      </c>
      <c r="F49" t="n">
        <v>0</v>
      </c>
    </row>
    <row r="50">
      <c r="A50" t="inlineStr">
        <is>
          <t>2021-09-13</t>
        </is>
      </c>
      <c r="B50" t="n">
        <v>1789.800048828125</v>
      </c>
      <c r="C50" t="n">
        <v>1796</v>
      </c>
      <c r="D50" t="n">
        <v>1784</v>
      </c>
      <c r="E50" t="n">
        <v>1792</v>
      </c>
      <c r="F50" t="n">
        <v>533</v>
      </c>
    </row>
    <row r="51">
      <c r="A51" t="inlineStr">
        <is>
          <t>2021-09-14</t>
        </is>
      </c>
      <c r="B51" t="n">
        <v>1791.400024414062</v>
      </c>
      <c r="C51" t="n">
        <v>1806.199951171875</v>
      </c>
      <c r="D51" t="n">
        <v>1783</v>
      </c>
      <c r="E51" t="n">
        <v>1804.699951171875</v>
      </c>
      <c r="F51" t="n">
        <v>764</v>
      </c>
    </row>
    <row r="52">
      <c r="A52" t="inlineStr">
        <is>
          <t>2021-09-15</t>
        </is>
      </c>
      <c r="B52" t="n">
        <v>1803.699951171875</v>
      </c>
      <c r="C52" t="n">
        <v>1803.699951171875</v>
      </c>
      <c r="D52" t="n">
        <v>1792.400024414062</v>
      </c>
      <c r="E52" t="n">
        <v>1792.400024414062</v>
      </c>
      <c r="F52" t="n">
        <v>59</v>
      </c>
    </row>
    <row r="53">
      <c r="A53" t="inlineStr">
        <is>
          <t>2021-09-16</t>
        </is>
      </c>
      <c r="B53" t="n">
        <v>1792.900024414062</v>
      </c>
      <c r="C53" t="n">
        <v>1792.900024414062</v>
      </c>
      <c r="D53" t="n">
        <v>1743.900024414062</v>
      </c>
      <c r="E53" t="n">
        <v>1754.599975585938</v>
      </c>
      <c r="F53" t="n">
        <v>1645</v>
      </c>
    </row>
    <row r="54">
      <c r="A54" t="inlineStr">
        <is>
          <t>2021-09-17</t>
        </is>
      </c>
      <c r="B54" t="n">
        <v>1758.800048828125</v>
      </c>
      <c r="C54" t="n">
        <v>1763</v>
      </c>
      <c r="D54" t="n">
        <v>1749.400024414062</v>
      </c>
      <c r="E54" t="n">
        <v>1749.400024414062</v>
      </c>
      <c r="F54" t="n">
        <v>581</v>
      </c>
    </row>
    <row r="55">
      <c r="A55" t="inlineStr">
        <is>
          <t>2021-09-20</t>
        </is>
      </c>
      <c r="B55" t="n">
        <v>1751.800048828125</v>
      </c>
      <c r="C55" t="n">
        <v>1761.800048828125</v>
      </c>
      <c r="D55" t="n">
        <v>1750.900024414062</v>
      </c>
      <c r="E55" t="n">
        <v>1761.800048828125</v>
      </c>
      <c r="F55" t="n">
        <v>185</v>
      </c>
    </row>
    <row r="56">
      <c r="A56" t="inlineStr">
        <is>
          <t>2021-09-21</t>
        </is>
      </c>
      <c r="B56" t="n">
        <v>1762.199951171875</v>
      </c>
      <c r="C56" t="n">
        <v>1776</v>
      </c>
      <c r="D56" t="n">
        <v>1759</v>
      </c>
      <c r="E56" t="n">
        <v>1776</v>
      </c>
      <c r="F56" t="n">
        <v>106</v>
      </c>
    </row>
    <row r="57">
      <c r="A57" t="inlineStr">
        <is>
          <t>2021-09-22</t>
        </is>
      </c>
      <c r="B57" t="n">
        <v>1776.699951171875</v>
      </c>
      <c r="C57" t="n">
        <v>1784.300048828125</v>
      </c>
      <c r="D57" t="n">
        <v>1767</v>
      </c>
      <c r="E57" t="n">
        <v>1776.699951171875</v>
      </c>
      <c r="F57" t="n">
        <v>17</v>
      </c>
    </row>
    <row r="58">
      <c r="A58" t="inlineStr">
        <is>
          <t>2021-09-23</t>
        </is>
      </c>
      <c r="B58" t="n">
        <v>1766.800048828125</v>
      </c>
      <c r="C58" t="n">
        <v>1766.800048828125</v>
      </c>
      <c r="D58" t="n">
        <v>1738.199951171875</v>
      </c>
      <c r="E58" t="n">
        <v>1747.699951171875</v>
      </c>
      <c r="F58" t="n">
        <v>31</v>
      </c>
    </row>
    <row r="59">
      <c r="A59" t="inlineStr">
        <is>
          <t>2021-09-24</t>
        </is>
      </c>
      <c r="B59" t="n">
        <v>1749.699951171875</v>
      </c>
      <c r="C59" t="n">
        <v>1749.699951171875</v>
      </c>
      <c r="D59" t="n">
        <v>1745</v>
      </c>
      <c r="E59" t="n">
        <v>1749.699951171875</v>
      </c>
      <c r="F59" t="n">
        <v>76</v>
      </c>
    </row>
    <row r="60">
      <c r="A60" t="inlineStr">
        <is>
          <t>2021-09-27</t>
        </is>
      </c>
      <c r="B60" t="n">
        <v>1751.699951171875</v>
      </c>
      <c r="C60" t="n">
        <v>1754.400024414062</v>
      </c>
      <c r="D60" t="n">
        <v>1747.5</v>
      </c>
      <c r="E60" t="n">
        <v>1750</v>
      </c>
      <c r="F60" t="n">
        <v>808</v>
      </c>
    </row>
    <row r="61">
      <c r="A61" t="inlineStr">
        <is>
          <t>2021-09-28</t>
        </is>
      </c>
      <c r="B61" t="n">
        <v>1739.599975585938</v>
      </c>
      <c r="C61" t="n">
        <v>1741.699951171875</v>
      </c>
      <c r="D61" t="n">
        <v>1726.800048828125</v>
      </c>
      <c r="E61" t="n">
        <v>1735.800048828125</v>
      </c>
      <c r="F61" t="n">
        <v>15748</v>
      </c>
    </row>
    <row r="62">
      <c r="A62" t="inlineStr">
        <is>
          <t>2021-09-29</t>
        </is>
      </c>
      <c r="B62" t="n">
        <v>1732.400024414062</v>
      </c>
      <c r="C62" t="n">
        <v>1744.099975585938</v>
      </c>
      <c r="D62" t="n">
        <v>1721.400024414062</v>
      </c>
      <c r="E62" t="n">
        <v>1721.5</v>
      </c>
      <c r="F62" t="n">
        <v>6634</v>
      </c>
    </row>
    <row r="63">
      <c r="A63" t="inlineStr">
        <is>
          <t>2021-09-30</t>
        </is>
      </c>
      <c r="B63" t="n">
        <v>1725.5</v>
      </c>
      <c r="C63" t="n">
        <v>1760.300048828125</v>
      </c>
      <c r="D63" t="n">
        <v>1724.5</v>
      </c>
      <c r="E63" t="n">
        <v>1755.300048828125</v>
      </c>
      <c r="F63" t="n">
        <v>997</v>
      </c>
    </row>
    <row r="64">
      <c r="A64" t="inlineStr">
        <is>
          <t>2021-10-01</t>
        </is>
      </c>
      <c r="B64" t="n">
        <v>1754.300048828125</v>
      </c>
      <c r="C64" t="n">
        <v>1762.599975585938</v>
      </c>
      <c r="D64" t="n">
        <v>1748.5</v>
      </c>
      <c r="E64" t="n">
        <v>1757</v>
      </c>
      <c r="F64" t="n">
        <v>2220</v>
      </c>
    </row>
    <row r="65">
      <c r="A65" t="inlineStr">
        <is>
          <t>2021-10-04</t>
        </is>
      </c>
      <c r="B65" t="n">
        <v>1764.5</v>
      </c>
      <c r="C65" t="n">
        <v>1768.900024414062</v>
      </c>
      <c r="D65" t="n">
        <v>1749.5</v>
      </c>
      <c r="E65" t="n">
        <v>1766.199951171875</v>
      </c>
      <c r="F65" t="n">
        <v>417</v>
      </c>
    </row>
    <row r="66">
      <c r="A66" t="inlineStr">
        <is>
          <t>2021-10-05</t>
        </is>
      </c>
      <c r="B66" t="n">
        <v>1764.300048828125</v>
      </c>
      <c r="C66" t="n">
        <v>1764.300048828125</v>
      </c>
      <c r="D66" t="n">
        <v>1749</v>
      </c>
      <c r="E66" t="n">
        <v>1759.599975585938</v>
      </c>
      <c r="F66" t="n">
        <v>98</v>
      </c>
    </row>
    <row r="67">
      <c r="A67" t="inlineStr">
        <is>
          <t>2021-10-06</t>
        </is>
      </c>
      <c r="B67" t="n">
        <v>1759.300048828125</v>
      </c>
      <c r="C67" t="n">
        <v>1762.900024414062</v>
      </c>
      <c r="D67" t="n">
        <v>1744.699951171875</v>
      </c>
      <c r="E67" t="n">
        <v>1760.5</v>
      </c>
      <c r="F67" t="n">
        <v>56</v>
      </c>
    </row>
    <row r="68">
      <c r="A68" t="inlineStr">
        <is>
          <t>2021-10-07</t>
        </is>
      </c>
      <c r="B68" t="n">
        <v>1762.400024414062</v>
      </c>
      <c r="C68" t="n">
        <v>1762.400024414062</v>
      </c>
      <c r="D68" t="n">
        <v>1752.800048828125</v>
      </c>
      <c r="E68" t="n">
        <v>1757.900024414062</v>
      </c>
      <c r="F68" t="n">
        <v>336</v>
      </c>
    </row>
    <row r="69">
      <c r="A69" t="inlineStr">
        <is>
          <t>2021-10-08</t>
        </is>
      </c>
      <c r="B69" t="n">
        <v>1757</v>
      </c>
      <c r="C69" t="n">
        <v>1780</v>
      </c>
      <c r="D69" t="n">
        <v>1754.199951171875</v>
      </c>
      <c r="E69" t="n">
        <v>1756.300048828125</v>
      </c>
      <c r="F69" t="n">
        <v>254</v>
      </c>
    </row>
    <row r="70">
      <c r="A70" t="inlineStr">
        <is>
          <t>2021-10-11</t>
        </is>
      </c>
      <c r="B70" t="n">
        <v>1756.599975585938</v>
      </c>
      <c r="C70" t="n">
        <v>1757.800048828125</v>
      </c>
      <c r="D70" t="n">
        <v>1752.199951171875</v>
      </c>
      <c r="E70" t="n">
        <v>1754.599975585938</v>
      </c>
      <c r="F70" t="n">
        <v>128</v>
      </c>
    </row>
    <row r="71">
      <c r="A71" t="inlineStr">
        <is>
          <t>2021-10-12</t>
        </is>
      </c>
      <c r="B71" t="n">
        <v>1751.900024414062</v>
      </c>
      <c r="C71" t="n">
        <v>1768</v>
      </c>
      <c r="D71" t="n">
        <v>1749.800048828125</v>
      </c>
      <c r="E71" t="n">
        <v>1758.300048828125</v>
      </c>
      <c r="F71" t="n">
        <v>139</v>
      </c>
    </row>
    <row r="72">
      <c r="A72" t="inlineStr">
        <is>
          <t>2021-10-13</t>
        </is>
      </c>
      <c r="B72" t="n">
        <v>1760.800048828125</v>
      </c>
      <c r="C72" t="n">
        <v>1794.5</v>
      </c>
      <c r="D72" t="n">
        <v>1760.800048828125</v>
      </c>
      <c r="E72" t="n">
        <v>1793.699951171875</v>
      </c>
      <c r="F72" t="n">
        <v>150</v>
      </c>
    </row>
    <row r="73">
      <c r="A73" t="inlineStr">
        <is>
          <t>2021-10-14</t>
        </is>
      </c>
      <c r="B73" t="n">
        <v>1792.199951171875</v>
      </c>
      <c r="C73" t="n">
        <v>1799.900024414062</v>
      </c>
      <c r="D73" t="n">
        <v>1792</v>
      </c>
      <c r="E73" t="n">
        <v>1796.699951171875</v>
      </c>
      <c r="F73" t="n">
        <v>337</v>
      </c>
    </row>
    <row r="74">
      <c r="A74" t="inlineStr">
        <is>
          <t>2021-10-15</t>
        </is>
      </c>
      <c r="B74" t="n">
        <v>1794.5</v>
      </c>
      <c r="C74" t="n">
        <v>1795.400024414062</v>
      </c>
      <c r="D74" t="n">
        <v>1766.599975585938</v>
      </c>
      <c r="E74" t="n">
        <v>1767.199951171875</v>
      </c>
      <c r="F74" t="n">
        <v>874</v>
      </c>
    </row>
    <row r="75">
      <c r="A75" t="inlineStr">
        <is>
          <t>2021-10-18</t>
        </is>
      </c>
      <c r="B75" t="n">
        <v>1761.599975585938</v>
      </c>
      <c r="C75" t="n">
        <v>1770.099975585938</v>
      </c>
      <c r="D75" t="n">
        <v>1759.5</v>
      </c>
      <c r="E75" t="n">
        <v>1764.800048828125</v>
      </c>
      <c r="F75" t="n">
        <v>266</v>
      </c>
    </row>
    <row r="76">
      <c r="A76" t="inlineStr">
        <is>
          <t>2021-10-19</t>
        </is>
      </c>
      <c r="B76" t="n">
        <v>1777.599975585938</v>
      </c>
      <c r="C76" t="n">
        <v>1785</v>
      </c>
      <c r="D76" t="n">
        <v>1767.5</v>
      </c>
      <c r="E76" t="n">
        <v>1769.699951171875</v>
      </c>
      <c r="F76" t="n">
        <v>51</v>
      </c>
    </row>
    <row r="77">
      <c r="A77" t="inlineStr">
        <is>
          <t>2021-10-20</t>
        </is>
      </c>
      <c r="B77" t="n">
        <v>1774.599975585938</v>
      </c>
      <c r="C77" t="n">
        <v>1785.599975585938</v>
      </c>
      <c r="D77" t="n">
        <v>1774</v>
      </c>
      <c r="E77" t="n">
        <v>1784.099975585938</v>
      </c>
      <c r="F77" t="n">
        <v>127</v>
      </c>
    </row>
    <row r="78">
      <c r="A78" t="inlineStr">
        <is>
          <t>2021-10-21</t>
        </is>
      </c>
      <c r="B78" t="n">
        <v>1782</v>
      </c>
      <c r="C78" t="n">
        <v>1785.699951171875</v>
      </c>
      <c r="D78" t="n">
        <v>1781</v>
      </c>
      <c r="E78" t="n">
        <v>1781.199951171875</v>
      </c>
      <c r="F78" t="n">
        <v>146</v>
      </c>
    </row>
    <row r="79">
      <c r="A79" t="inlineStr">
        <is>
          <t>2021-10-22</t>
        </is>
      </c>
      <c r="B79" t="n">
        <v>1787.099975585938</v>
      </c>
      <c r="C79" t="n">
        <v>1806.900024414062</v>
      </c>
      <c r="D79" t="n">
        <v>1784</v>
      </c>
      <c r="E79" t="n">
        <v>1795.5</v>
      </c>
      <c r="F79" t="n">
        <v>532</v>
      </c>
    </row>
    <row r="80">
      <c r="A80" t="inlineStr">
        <is>
          <t>2021-10-25</t>
        </is>
      </c>
      <c r="B80" t="n">
        <v>1794.300048828125</v>
      </c>
      <c r="C80" t="n">
        <v>1809</v>
      </c>
      <c r="D80" t="n">
        <v>1794</v>
      </c>
      <c r="E80" t="n">
        <v>1806</v>
      </c>
      <c r="F80" t="n">
        <v>140</v>
      </c>
    </row>
    <row r="81">
      <c r="A81" t="inlineStr">
        <is>
          <t>2021-10-26</t>
        </is>
      </c>
      <c r="B81" t="n">
        <v>1808.800048828125</v>
      </c>
      <c r="C81" t="n">
        <v>1808.800048828125</v>
      </c>
      <c r="D81" t="n">
        <v>1788.599975585938</v>
      </c>
      <c r="E81" t="n">
        <v>1792.699951171875</v>
      </c>
      <c r="F81" t="n">
        <v>359</v>
      </c>
    </row>
    <row r="82">
      <c r="A82" t="inlineStr">
        <is>
          <t>2021-10-27</t>
        </is>
      </c>
      <c r="B82" t="n">
        <v>1791.5</v>
      </c>
      <c r="C82" t="n">
        <v>1798.099975585938</v>
      </c>
      <c r="D82" t="n">
        <v>1791.5</v>
      </c>
      <c r="E82" t="n">
        <v>1797.900024414062</v>
      </c>
      <c r="F82" t="n">
        <v>543</v>
      </c>
    </row>
    <row r="83">
      <c r="A83" t="inlineStr">
        <is>
          <t>2021-10-28</t>
        </is>
      </c>
      <c r="B83" t="n">
        <v>1795.5</v>
      </c>
      <c r="C83" t="n">
        <v>1807.300048828125</v>
      </c>
      <c r="D83" t="n">
        <v>1795.5</v>
      </c>
      <c r="E83" t="n">
        <v>1801.599975585938</v>
      </c>
      <c r="F83" t="n">
        <v>452</v>
      </c>
    </row>
    <row r="84">
      <c r="A84" t="inlineStr">
        <is>
          <t>2021-10-29</t>
        </is>
      </c>
      <c r="B84" t="n">
        <v>1793.099975585938</v>
      </c>
      <c r="C84" t="n">
        <v>1797</v>
      </c>
      <c r="D84" t="n">
        <v>1774.599975585938</v>
      </c>
      <c r="E84" t="n">
        <v>1783</v>
      </c>
      <c r="F84" t="n">
        <v>583</v>
      </c>
    </row>
    <row r="85">
      <c r="A85" t="inlineStr">
        <is>
          <t>2021-11-01</t>
        </is>
      </c>
      <c r="B85" t="n">
        <v>1787.5</v>
      </c>
      <c r="C85" t="n">
        <v>1795.099975585938</v>
      </c>
      <c r="D85" t="n">
        <v>1786.699951171875</v>
      </c>
      <c r="E85" t="n">
        <v>1795.099975585938</v>
      </c>
      <c r="F85" t="n">
        <v>142</v>
      </c>
    </row>
    <row r="86">
      <c r="A86" t="inlineStr">
        <is>
          <t>2021-11-02</t>
        </is>
      </c>
      <c r="B86" t="n">
        <v>1790.5</v>
      </c>
      <c r="C86" t="n">
        <v>1795.5</v>
      </c>
      <c r="D86" t="n">
        <v>1787.699951171875</v>
      </c>
      <c r="E86" t="n">
        <v>1788.699951171875</v>
      </c>
      <c r="F86" t="n">
        <v>213</v>
      </c>
    </row>
    <row r="87">
      <c r="A87" t="inlineStr">
        <is>
          <t>2021-11-03</t>
        </is>
      </c>
      <c r="B87" t="n">
        <v>1768</v>
      </c>
      <c r="C87" t="n">
        <v>1768</v>
      </c>
      <c r="D87" t="n">
        <v>1761.800048828125</v>
      </c>
      <c r="E87" t="n">
        <v>1763.599975585938</v>
      </c>
      <c r="F87" t="n">
        <v>108</v>
      </c>
    </row>
    <row r="88">
      <c r="A88" t="inlineStr">
        <is>
          <t>2021-11-04</t>
        </is>
      </c>
      <c r="B88" t="n">
        <v>1776.599975585938</v>
      </c>
      <c r="C88" t="n">
        <v>1798.199951171875</v>
      </c>
      <c r="D88" t="n">
        <v>1776.199951171875</v>
      </c>
      <c r="E88" t="n">
        <v>1793</v>
      </c>
      <c r="F88" t="n">
        <v>103</v>
      </c>
    </row>
    <row r="89">
      <c r="A89" t="inlineStr">
        <is>
          <t>2021-11-05</t>
        </is>
      </c>
      <c r="B89" t="n">
        <v>1794.900024414062</v>
      </c>
      <c r="C89" t="n">
        <v>1817.099975585938</v>
      </c>
      <c r="D89" t="n">
        <v>1794.900024414062</v>
      </c>
      <c r="E89" t="n">
        <v>1816.400024414062</v>
      </c>
      <c r="F89" t="n">
        <v>239</v>
      </c>
    </row>
    <row r="90">
      <c r="A90" t="inlineStr">
        <is>
          <t>2021-11-08</t>
        </is>
      </c>
      <c r="B90" t="n">
        <v>1817</v>
      </c>
      <c r="C90" t="n">
        <v>1827.400024414062</v>
      </c>
      <c r="D90" t="n">
        <v>1816.900024414062</v>
      </c>
      <c r="E90" t="n">
        <v>1827.400024414062</v>
      </c>
      <c r="F90" t="n">
        <v>261</v>
      </c>
    </row>
    <row r="91">
      <c r="A91" t="inlineStr">
        <is>
          <t>2021-11-09</t>
        </is>
      </c>
      <c r="B91" t="n">
        <v>1826.099975585938</v>
      </c>
      <c r="C91" t="n">
        <v>1832.699951171875</v>
      </c>
      <c r="D91" t="n">
        <v>1820.699951171875</v>
      </c>
      <c r="E91" t="n">
        <v>1830.199951171875</v>
      </c>
      <c r="F91" t="n">
        <v>170</v>
      </c>
    </row>
    <row r="92">
      <c r="A92" t="inlineStr">
        <is>
          <t>2021-11-10</t>
        </is>
      </c>
      <c r="B92" t="n">
        <v>1825.800048828125</v>
      </c>
      <c r="C92" t="n">
        <v>1865</v>
      </c>
      <c r="D92" t="n">
        <v>1824.900024414062</v>
      </c>
      <c r="E92" t="n">
        <v>1847.599975585938</v>
      </c>
      <c r="F92" t="n">
        <v>795</v>
      </c>
    </row>
    <row r="93">
      <c r="A93" t="inlineStr">
        <is>
          <t>2021-11-11</t>
        </is>
      </c>
      <c r="B93" t="n">
        <v>1853.900024414062</v>
      </c>
      <c r="C93" t="n">
        <v>1866.5</v>
      </c>
      <c r="D93" t="n">
        <v>1853.900024414062</v>
      </c>
      <c r="E93" t="n">
        <v>1863.199951171875</v>
      </c>
      <c r="F93" t="n">
        <v>292</v>
      </c>
    </row>
    <row r="94">
      <c r="A94" t="inlineStr">
        <is>
          <t>2021-11-12</t>
        </is>
      </c>
      <c r="B94" t="n">
        <v>1860.800048828125</v>
      </c>
      <c r="C94" t="n">
        <v>1867.900024414062</v>
      </c>
      <c r="D94" t="n">
        <v>1847.599975585938</v>
      </c>
      <c r="E94" t="n">
        <v>1867.900024414062</v>
      </c>
      <c r="F94" t="n">
        <v>210</v>
      </c>
    </row>
    <row r="95">
      <c r="A95" t="inlineStr">
        <is>
          <t>2021-11-15</t>
        </is>
      </c>
      <c r="B95" t="n">
        <v>1864.5</v>
      </c>
      <c r="C95" t="n">
        <v>1866.900024414062</v>
      </c>
      <c r="D95" t="n">
        <v>1864.5</v>
      </c>
      <c r="E95" t="n">
        <v>1866.099975585938</v>
      </c>
      <c r="F95" t="n">
        <v>87</v>
      </c>
    </row>
    <row r="96">
      <c r="A96" t="inlineStr">
        <is>
          <t>2021-11-16</t>
        </is>
      </c>
      <c r="B96" t="n">
        <v>1853.599975585938</v>
      </c>
      <c r="C96" t="n">
        <v>1853.599975585938</v>
      </c>
      <c r="D96" t="n">
        <v>1853.599975585938</v>
      </c>
      <c r="E96" t="n">
        <v>1853.599975585938</v>
      </c>
      <c r="F96" t="n">
        <v>1</v>
      </c>
    </row>
    <row r="97">
      <c r="A97" t="inlineStr">
        <is>
          <t>2021-11-17</t>
        </is>
      </c>
      <c r="B97" t="n">
        <v>1862.599975585938</v>
      </c>
      <c r="C97" t="n">
        <v>1869.699951171875</v>
      </c>
      <c r="D97" t="n">
        <v>1862.599975585938</v>
      </c>
      <c r="E97" t="n">
        <v>1869.699951171875</v>
      </c>
      <c r="F97" t="n">
        <v>2</v>
      </c>
    </row>
    <row r="98">
      <c r="A98" t="inlineStr">
        <is>
          <t>2021-11-18</t>
        </is>
      </c>
      <c r="B98" t="n">
        <v>1861</v>
      </c>
      <c r="C98" t="n">
        <v>1861</v>
      </c>
      <c r="D98" t="n">
        <v>1861</v>
      </c>
      <c r="E98" t="n">
        <v>1861</v>
      </c>
      <c r="F98" t="n">
        <v>9</v>
      </c>
    </row>
    <row r="99">
      <c r="A99" t="inlineStr">
        <is>
          <t>2021-11-19</t>
        </is>
      </c>
      <c r="B99" t="n">
        <v>1851.199951171875</v>
      </c>
      <c r="C99" t="n">
        <v>1851.199951171875</v>
      </c>
      <c r="D99" t="n">
        <v>1851.199951171875</v>
      </c>
      <c r="E99" t="n">
        <v>1851.199951171875</v>
      </c>
      <c r="F99" t="n">
        <v>21</v>
      </c>
    </row>
    <row r="100">
      <c r="A100" t="inlineStr">
        <is>
          <t>2021-11-22</t>
        </is>
      </c>
      <c r="B100" t="n">
        <v>1841.599975585938</v>
      </c>
      <c r="C100" t="n">
        <v>1841.599975585938</v>
      </c>
      <c r="D100" t="n">
        <v>1805.699951171875</v>
      </c>
      <c r="E100" t="n">
        <v>1806</v>
      </c>
      <c r="F100" t="n">
        <v>14</v>
      </c>
    </row>
    <row r="101">
      <c r="A101" t="inlineStr">
        <is>
          <t>2021-11-23</t>
        </is>
      </c>
      <c r="B101" t="n">
        <v>1795.5</v>
      </c>
      <c r="C101" t="n">
        <v>1795.5</v>
      </c>
      <c r="D101" t="n">
        <v>1783.5</v>
      </c>
      <c r="E101" t="n">
        <v>1783.5</v>
      </c>
      <c r="F101" t="n">
        <v>264</v>
      </c>
    </row>
    <row r="102">
      <c r="A102" t="inlineStr">
        <is>
          <t>2021-11-24</t>
        </is>
      </c>
      <c r="B102" t="n">
        <v>1793</v>
      </c>
      <c r="C102" t="n">
        <v>1793</v>
      </c>
      <c r="D102" t="n">
        <v>1781.400024414062</v>
      </c>
      <c r="E102" t="n">
        <v>1784.099975585938</v>
      </c>
      <c r="F102" t="n">
        <v>188</v>
      </c>
    </row>
    <row r="103">
      <c r="A103" t="inlineStr">
        <is>
          <t>2021-11-26</t>
        </is>
      </c>
      <c r="B103" t="n">
        <v>1791.099975585938</v>
      </c>
      <c r="C103" t="n">
        <v>1791.400024414062</v>
      </c>
      <c r="D103" t="n">
        <v>1785.300048828125</v>
      </c>
      <c r="E103" t="n">
        <v>1785.300048828125</v>
      </c>
      <c r="F103" t="n">
        <v>186800</v>
      </c>
    </row>
    <row r="104">
      <c r="A104" t="inlineStr">
        <is>
          <t>2021-11-29</t>
        </is>
      </c>
      <c r="B104" t="n">
        <v>1791.699951171875</v>
      </c>
      <c r="C104" t="n">
        <v>1798.900024414062</v>
      </c>
      <c r="D104" t="n">
        <v>1779.099975585938</v>
      </c>
      <c r="E104" t="n">
        <v>1782.300048828125</v>
      </c>
      <c r="F104" t="n">
        <v>26926</v>
      </c>
    </row>
    <row r="105">
      <c r="A105" t="inlineStr">
        <is>
          <t>2021-11-30</t>
        </is>
      </c>
      <c r="B105" t="n">
        <v>1783.900024414062</v>
      </c>
      <c r="C105" t="n">
        <v>1808.099975585938</v>
      </c>
      <c r="D105" t="n">
        <v>1768.699951171875</v>
      </c>
      <c r="E105" t="n">
        <v>1773.599975585938</v>
      </c>
      <c r="F105" t="n">
        <v>4903</v>
      </c>
    </row>
    <row r="106">
      <c r="A106" t="inlineStr">
        <is>
          <t>2021-12-01</t>
        </is>
      </c>
      <c r="B106" t="n">
        <v>1774.800048828125</v>
      </c>
      <c r="C106" t="n">
        <v>1790.5</v>
      </c>
      <c r="D106" t="n">
        <v>1772.300048828125</v>
      </c>
      <c r="E106" t="n">
        <v>1781.599975585938</v>
      </c>
      <c r="F106" t="n">
        <v>1128</v>
      </c>
    </row>
    <row r="107">
      <c r="A107" t="inlineStr">
        <is>
          <t>2021-12-02</t>
        </is>
      </c>
      <c r="B107" t="n">
        <v>1780.900024414062</v>
      </c>
      <c r="C107" t="n">
        <v>1780.900024414062</v>
      </c>
      <c r="D107" t="n">
        <v>1760.599975585938</v>
      </c>
      <c r="E107" t="n">
        <v>1760.699951171875</v>
      </c>
      <c r="F107" t="n">
        <v>1557</v>
      </c>
    </row>
    <row r="108">
      <c r="A108" t="inlineStr">
        <is>
          <t>2021-12-03</t>
        </is>
      </c>
      <c r="B108" t="n">
        <v>1767.5</v>
      </c>
      <c r="C108" t="n">
        <v>1785.099975585938</v>
      </c>
      <c r="D108" t="n">
        <v>1766.5</v>
      </c>
      <c r="E108" t="n">
        <v>1782</v>
      </c>
      <c r="F108" t="n">
        <v>694</v>
      </c>
    </row>
    <row r="109">
      <c r="A109" t="inlineStr">
        <is>
          <t>2021-12-06</t>
        </is>
      </c>
      <c r="B109" t="n">
        <v>1780.199951171875</v>
      </c>
      <c r="C109" t="n">
        <v>1783</v>
      </c>
      <c r="D109" t="n">
        <v>1777.199951171875</v>
      </c>
      <c r="E109" t="n">
        <v>1777.5</v>
      </c>
      <c r="F109" t="n">
        <v>381</v>
      </c>
    </row>
    <row r="110">
      <c r="A110" t="inlineStr">
        <is>
          <t>2021-12-07</t>
        </is>
      </c>
      <c r="B110" t="n">
        <v>1779.5</v>
      </c>
      <c r="C110" t="n">
        <v>1786.099975585938</v>
      </c>
      <c r="D110" t="n">
        <v>1772.300048828125</v>
      </c>
      <c r="E110" t="n">
        <v>1782.599975585938</v>
      </c>
      <c r="F110" t="n">
        <v>308</v>
      </c>
    </row>
    <row r="111">
      <c r="A111" t="inlineStr">
        <is>
          <t>2021-12-08</t>
        </is>
      </c>
      <c r="B111" t="n">
        <v>1789.900024414062</v>
      </c>
      <c r="C111" t="n">
        <v>1789.900024414062</v>
      </c>
      <c r="D111" t="n">
        <v>1779</v>
      </c>
      <c r="E111" t="n">
        <v>1783.400024414062</v>
      </c>
      <c r="F111" t="n">
        <v>1383</v>
      </c>
    </row>
    <row r="112">
      <c r="A112" t="inlineStr">
        <is>
          <t>2021-12-09</t>
        </is>
      </c>
      <c r="B112" t="n">
        <v>1783.5</v>
      </c>
      <c r="C112" t="n">
        <v>1783.5</v>
      </c>
      <c r="D112" t="n">
        <v>1771.800048828125</v>
      </c>
      <c r="E112" t="n">
        <v>1774.599975585938</v>
      </c>
      <c r="F112" t="n">
        <v>455</v>
      </c>
    </row>
    <row r="113">
      <c r="A113" t="inlineStr">
        <is>
          <t>2021-12-10</t>
        </is>
      </c>
      <c r="B113" t="n">
        <v>1773.800048828125</v>
      </c>
      <c r="C113" t="n">
        <v>1785.400024414062</v>
      </c>
      <c r="D113" t="n">
        <v>1769.099975585938</v>
      </c>
      <c r="E113" t="n">
        <v>1782.900024414062</v>
      </c>
      <c r="F113" t="n">
        <v>545</v>
      </c>
    </row>
    <row r="114">
      <c r="A114" t="inlineStr">
        <is>
          <t>2021-12-13</t>
        </is>
      </c>
      <c r="B114" t="n">
        <v>1784.400024414062</v>
      </c>
      <c r="C114" t="n">
        <v>1787.099975585938</v>
      </c>
      <c r="D114" t="n">
        <v>1783.800048828125</v>
      </c>
      <c r="E114" t="n">
        <v>1786.300048828125</v>
      </c>
      <c r="F114" t="n">
        <v>206</v>
      </c>
    </row>
    <row r="115">
      <c r="A115" t="inlineStr">
        <is>
          <t>2021-12-14</t>
        </is>
      </c>
      <c r="B115" t="n">
        <v>1787</v>
      </c>
      <c r="C115" t="n">
        <v>1787</v>
      </c>
      <c r="D115" t="n">
        <v>1769</v>
      </c>
      <c r="E115" t="n">
        <v>1770.400024414062</v>
      </c>
      <c r="F115" t="n">
        <v>322</v>
      </c>
    </row>
    <row r="116">
      <c r="A116" t="inlineStr">
        <is>
          <t>2021-12-15</t>
        </is>
      </c>
      <c r="B116" t="n">
        <v>1767.400024414062</v>
      </c>
      <c r="C116" t="n">
        <v>1778.699951171875</v>
      </c>
      <c r="D116" t="n">
        <v>1753.900024414062</v>
      </c>
      <c r="E116" t="n">
        <v>1762.599975585938</v>
      </c>
      <c r="F116" t="n">
        <v>283</v>
      </c>
    </row>
    <row r="117">
      <c r="A117" t="inlineStr">
        <is>
          <t>2021-12-16</t>
        </is>
      </c>
      <c r="B117" t="n">
        <v>1781</v>
      </c>
      <c r="C117" t="n">
        <v>1798.099975585938</v>
      </c>
      <c r="D117" t="n">
        <v>1781</v>
      </c>
      <c r="E117" t="n">
        <v>1796.599975585938</v>
      </c>
      <c r="F117" t="n">
        <v>21</v>
      </c>
    </row>
    <row r="118">
      <c r="A118" t="inlineStr">
        <is>
          <t>2021-12-17</t>
        </is>
      </c>
      <c r="B118" t="n">
        <v>1804</v>
      </c>
      <c r="C118" t="n">
        <v>1812.900024414062</v>
      </c>
      <c r="D118" t="n">
        <v>1803.800048828125</v>
      </c>
      <c r="E118" t="n">
        <v>1803.800048828125</v>
      </c>
      <c r="F118" t="n">
        <v>654</v>
      </c>
    </row>
    <row r="119">
      <c r="A119" t="inlineStr">
        <is>
          <t>2021-12-20</t>
        </is>
      </c>
      <c r="B119" t="n">
        <v>1796.800048828125</v>
      </c>
      <c r="C119" t="n">
        <v>1799.800048828125</v>
      </c>
      <c r="D119" t="n">
        <v>1792</v>
      </c>
      <c r="E119" t="n">
        <v>1793.699951171875</v>
      </c>
      <c r="F119" t="n">
        <v>226</v>
      </c>
    </row>
    <row r="120">
      <c r="A120" t="inlineStr">
        <is>
          <t>2021-12-21</t>
        </is>
      </c>
      <c r="B120" t="n">
        <v>1791.400024414062</v>
      </c>
      <c r="C120" t="n">
        <v>1796.5</v>
      </c>
      <c r="D120" t="n">
        <v>1787.900024414062</v>
      </c>
      <c r="E120" t="n">
        <v>1787.900024414062</v>
      </c>
      <c r="F120" t="n">
        <v>575</v>
      </c>
    </row>
    <row r="121">
      <c r="A121" t="inlineStr">
        <is>
          <t>2021-12-22</t>
        </is>
      </c>
      <c r="B121" t="n">
        <v>1786</v>
      </c>
      <c r="C121" t="n">
        <v>1805.199951171875</v>
      </c>
      <c r="D121" t="n">
        <v>1785.5</v>
      </c>
      <c r="E121" t="n">
        <v>1801.599975585938</v>
      </c>
      <c r="F121" t="n">
        <v>567</v>
      </c>
    </row>
    <row r="122">
      <c r="A122" t="inlineStr">
        <is>
          <t>2021-12-23</t>
        </is>
      </c>
      <c r="B122" t="n">
        <v>1806</v>
      </c>
      <c r="C122" t="n">
        <v>1811.199951171875</v>
      </c>
      <c r="D122" t="n">
        <v>1800.800048828125</v>
      </c>
      <c r="E122" t="n">
        <v>1811.199951171875</v>
      </c>
      <c r="F122" t="n">
        <v>193</v>
      </c>
    </row>
    <row r="123">
      <c r="A123" t="inlineStr">
        <is>
          <t>2021-12-27</t>
        </is>
      </c>
      <c r="B123" t="n">
        <v>1810</v>
      </c>
      <c r="C123" t="n">
        <v>1812.099975585938</v>
      </c>
      <c r="D123" t="n">
        <v>1807</v>
      </c>
      <c r="E123" t="n">
        <v>1808.099975585938</v>
      </c>
      <c r="F123" t="n">
        <v>150</v>
      </c>
    </row>
    <row r="124">
      <c r="A124" t="inlineStr">
        <is>
          <t>2021-12-28</t>
        </is>
      </c>
      <c r="B124" t="n">
        <v>1812</v>
      </c>
      <c r="C124" t="n">
        <v>1818</v>
      </c>
      <c r="D124" t="n">
        <v>1805.5</v>
      </c>
      <c r="E124" t="n">
        <v>1810.199951171875</v>
      </c>
      <c r="F124" t="n">
        <v>146</v>
      </c>
    </row>
    <row r="125">
      <c r="A125" t="inlineStr">
        <is>
          <t>2021-12-29</t>
        </is>
      </c>
      <c r="B125" t="n">
        <v>1803.199951171875</v>
      </c>
      <c r="C125" t="n">
        <v>1805.099975585938</v>
      </c>
      <c r="D125" t="n">
        <v>1791.400024414062</v>
      </c>
      <c r="E125" t="n">
        <v>1805.099975585938</v>
      </c>
      <c r="F125" t="n">
        <v>623</v>
      </c>
    </row>
    <row r="126">
      <c r="A126" t="inlineStr">
        <is>
          <t>2021-12-30</t>
        </is>
      </c>
      <c r="B126" t="n">
        <v>1801.699951171875</v>
      </c>
      <c r="C126" t="n">
        <v>1816</v>
      </c>
      <c r="D126" t="n">
        <v>1796</v>
      </c>
      <c r="E126" t="n">
        <v>1812.699951171875</v>
      </c>
      <c r="F126" t="n">
        <v>306</v>
      </c>
    </row>
    <row r="127">
      <c r="A127" t="inlineStr">
        <is>
          <t>2021-12-31</t>
        </is>
      </c>
      <c r="B127" t="n">
        <v>1825.099975585938</v>
      </c>
      <c r="C127" t="n">
        <v>1827.800048828125</v>
      </c>
      <c r="D127" t="n">
        <v>1821.400024414062</v>
      </c>
      <c r="E127" t="n">
        <v>1827.5</v>
      </c>
      <c r="F127" t="n">
        <v>80</v>
      </c>
    </row>
    <row r="128">
      <c r="A128" t="inlineStr">
        <is>
          <t>2022-01-03</t>
        </is>
      </c>
      <c r="B128" t="n">
        <v>1830.099975585938</v>
      </c>
      <c r="C128" t="n">
        <v>1830.099975585938</v>
      </c>
      <c r="D128" t="n">
        <v>1798.800048828125</v>
      </c>
      <c r="E128" t="n">
        <v>1799.400024414062</v>
      </c>
      <c r="F128" t="n">
        <v>116</v>
      </c>
    </row>
    <row r="129">
      <c r="A129" t="inlineStr">
        <is>
          <t>2022-01-04</t>
        </is>
      </c>
      <c r="B129" t="n">
        <v>1800.5</v>
      </c>
      <c r="C129" t="n">
        <v>1815.300048828125</v>
      </c>
      <c r="D129" t="n">
        <v>1800</v>
      </c>
      <c r="E129" t="n">
        <v>1814</v>
      </c>
      <c r="F129" t="n">
        <v>38</v>
      </c>
    </row>
    <row r="130">
      <c r="A130" t="inlineStr">
        <is>
          <t>2022-01-05</t>
        </is>
      </c>
      <c r="B130" t="n">
        <v>1813.099975585938</v>
      </c>
      <c r="C130" t="n">
        <v>1824.599975585938</v>
      </c>
      <c r="D130" t="n">
        <v>1813.099975585938</v>
      </c>
      <c r="E130" t="n">
        <v>1824.599975585938</v>
      </c>
      <c r="F130" t="n">
        <v>8</v>
      </c>
    </row>
    <row r="131">
      <c r="A131" t="inlineStr">
        <is>
          <t>2022-01-06</t>
        </is>
      </c>
      <c r="B131" t="n">
        <v>1787.099975585938</v>
      </c>
      <c r="C131" t="n">
        <v>1791.300048828125</v>
      </c>
      <c r="D131" t="n">
        <v>1787.099975585938</v>
      </c>
      <c r="E131" t="n">
        <v>1788.699951171875</v>
      </c>
      <c r="F131" t="n">
        <v>30</v>
      </c>
    </row>
    <row r="132">
      <c r="A132" t="inlineStr">
        <is>
          <t>2022-01-07</t>
        </is>
      </c>
      <c r="B132" t="n">
        <v>1791.800048828125</v>
      </c>
      <c r="C132" t="n">
        <v>1797</v>
      </c>
      <c r="D132" t="n">
        <v>1784.400024414062</v>
      </c>
      <c r="E132" t="n">
        <v>1797</v>
      </c>
      <c r="F132" t="n">
        <v>17</v>
      </c>
    </row>
    <row r="133">
      <c r="A133" t="inlineStr">
        <is>
          <t>2022-01-10</t>
        </is>
      </c>
      <c r="B133" t="n">
        <v>1794.900024414062</v>
      </c>
      <c r="C133" t="n">
        <v>1798.699951171875</v>
      </c>
      <c r="D133" t="n">
        <v>1790.400024414062</v>
      </c>
      <c r="E133" t="n">
        <v>1798.400024414062</v>
      </c>
      <c r="F133" t="n">
        <v>534</v>
      </c>
    </row>
    <row r="134">
      <c r="A134" t="inlineStr">
        <is>
          <t>2022-01-11</t>
        </is>
      </c>
      <c r="B134" t="n">
        <v>1803.900024414062</v>
      </c>
      <c r="C134" t="n">
        <v>1822.5</v>
      </c>
      <c r="D134" t="n">
        <v>1803</v>
      </c>
      <c r="E134" t="n">
        <v>1818.599975585938</v>
      </c>
      <c r="F134" t="n">
        <v>743</v>
      </c>
    </row>
    <row r="135">
      <c r="A135" t="inlineStr">
        <is>
          <t>2022-01-12</t>
        </is>
      </c>
      <c r="B135" t="n">
        <v>1819</v>
      </c>
      <c r="C135" t="n">
        <v>1827.199951171875</v>
      </c>
      <c r="D135" t="n">
        <v>1816.900024414062</v>
      </c>
      <c r="E135" t="n">
        <v>1827.199951171875</v>
      </c>
      <c r="F135" t="n">
        <v>1547</v>
      </c>
    </row>
    <row r="136">
      <c r="A136" t="inlineStr">
        <is>
          <t>2022-01-13</t>
        </is>
      </c>
      <c r="B136" t="n">
        <v>1819.800048828125</v>
      </c>
      <c r="C136" t="n">
        <v>1823</v>
      </c>
      <c r="D136" t="n">
        <v>1815.400024414062</v>
      </c>
      <c r="E136" t="n">
        <v>1821.199951171875</v>
      </c>
      <c r="F136" t="n">
        <v>40</v>
      </c>
    </row>
    <row r="137">
      <c r="A137" t="inlineStr">
        <is>
          <t>2022-01-14</t>
        </is>
      </c>
      <c r="B137" t="n">
        <v>1821.5</v>
      </c>
      <c r="C137" t="n">
        <v>1822</v>
      </c>
      <c r="D137" t="n">
        <v>1816.5</v>
      </c>
      <c r="E137" t="n">
        <v>1816.5</v>
      </c>
      <c r="F137" t="n">
        <v>816</v>
      </c>
    </row>
    <row r="138">
      <c r="A138" t="inlineStr">
        <is>
          <t>2022-01-18</t>
        </is>
      </c>
      <c r="B138" t="n">
        <v>1816.800048828125</v>
      </c>
      <c r="C138" t="n">
        <v>1820.099975585938</v>
      </c>
      <c r="D138" t="n">
        <v>1812.300048828125</v>
      </c>
      <c r="E138" t="n">
        <v>1812.300048828125</v>
      </c>
      <c r="F138" t="n">
        <v>900</v>
      </c>
    </row>
    <row r="139">
      <c r="A139" t="inlineStr">
        <is>
          <t>2022-01-19</t>
        </is>
      </c>
      <c r="B139" t="n">
        <v>1817.400024414062</v>
      </c>
      <c r="C139" t="n">
        <v>1843.099975585938</v>
      </c>
      <c r="D139" t="n">
        <v>1817.400024414062</v>
      </c>
      <c r="E139" t="n">
        <v>1843.099975585938</v>
      </c>
      <c r="F139" t="n">
        <v>4</v>
      </c>
    </row>
    <row r="140">
      <c r="A140" t="inlineStr">
        <is>
          <t>2022-01-20</t>
        </is>
      </c>
      <c r="B140" t="n">
        <v>1840.599975585938</v>
      </c>
      <c r="C140" t="n">
        <v>1843</v>
      </c>
      <c r="D140" t="n">
        <v>1838.199951171875</v>
      </c>
      <c r="E140" t="n">
        <v>1842.5</v>
      </c>
      <c r="F140" t="n">
        <v>20</v>
      </c>
    </row>
    <row r="141">
      <c r="A141" t="inlineStr">
        <is>
          <t>2022-01-21</t>
        </is>
      </c>
      <c r="B141" t="n">
        <v>1838</v>
      </c>
      <c r="C141" t="n">
        <v>1842.400024414062</v>
      </c>
      <c r="D141" t="n">
        <v>1828.900024414062</v>
      </c>
      <c r="E141" t="n">
        <v>1831.800048828125</v>
      </c>
      <c r="F141" t="n">
        <v>19</v>
      </c>
    </row>
    <row r="142">
      <c r="A142" t="inlineStr">
        <is>
          <t>2022-01-24</t>
        </is>
      </c>
      <c r="B142" t="n">
        <v>1837.900024414062</v>
      </c>
      <c r="C142" t="n">
        <v>1842.099975585938</v>
      </c>
      <c r="D142" t="n">
        <v>1837.900024414062</v>
      </c>
      <c r="E142" t="n">
        <v>1841.699951171875</v>
      </c>
      <c r="F142" t="n">
        <v>8</v>
      </c>
    </row>
    <row r="143">
      <c r="A143" t="inlineStr">
        <is>
          <t>2022-01-25</t>
        </is>
      </c>
      <c r="B143" t="n">
        <v>1843</v>
      </c>
      <c r="C143" t="n">
        <v>1852.699951171875</v>
      </c>
      <c r="D143" t="n">
        <v>1842</v>
      </c>
      <c r="E143" t="n">
        <v>1852.699951171875</v>
      </c>
      <c r="F143" t="n">
        <v>11</v>
      </c>
    </row>
    <row r="144">
      <c r="A144" t="inlineStr">
        <is>
          <t>2022-01-26</t>
        </is>
      </c>
      <c r="B144" t="n">
        <v>1829.900024414062</v>
      </c>
      <c r="C144" t="n">
        <v>1829.900024414062</v>
      </c>
      <c r="D144" t="n">
        <v>1829.900024414062</v>
      </c>
      <c r="E144" t="n">
        <v>1829.900024414062</v>
      </c>
      <c r="F144" t="n">
        <v>55</v>
      </c>
    </row>
    <row r="145">
      <c r="A145" t="inlineStr">
        <is>
          <t>2022-01-27</t>
        </is>
      </c>
      <c r="B145" t="n">
        <v>1793.300048828125</v>
      </c>
      <c r="C145" t="n">
        <v>1793.300048828125</v>
      </c>
      <c r="D145" t="n">
        <v>1793.300048828125</v>
      </c>
      <c r="E145" t="n">
        <v>1793.300048828125</v>
      </c>
      <c r="F145" t="n">
        <v>196036</v>
      </c>
    </row>
    <row r="146">
      <c r="A146" t="inlineStr">
        <is>
          <t>2022-01-28</t>
        </is>
      </c>
      <c r="B146" t="n">
        <v>1797.5</v>
      </c>
      <c r="C146" t="n">
        <v>1798.400024414062</v>
      </c>
      <c r="D146" t="n">
        <v>1778.800048828125</v>
      </c>
      <c r="E146" t="n">
        <v>1784.900024414062</v>
      </c>
      <c r="F146" t="n">
        <v>28521</v>
      </c>
    </row>
    <row r="147">
      <c r="A147" t="inlineStr">
        <is>
          <t>2022-01-31</t>
        </is>
      </c>
      <c r="B147" t="n">
        <v>1788.5</v>
      </c>
      <c r="C147" t="n">
        <v>1798.5</v>
      </c>
      <c r="D147" t="n">
        <v>1785.099975585938</v>
      </c>
      <c r="E147" t="n">
        <v>1795</v>
      </c>
      <c r="F147" t="n">
        <v>1735</v>
      </c>
    </row>
    <row r="148">
      <c r="A148" t="inlineStr">
        <is>
          <t>2022-02-01</t>
        </is>
      </c>
      <c r="B148" t="n">
        <v>1797.199951171875</v>
      </c>
      <c r="C148" t="n">
        <v>1806.099975585938</v>
      </c>
      <c r="D148" t="n">
        <v>1797.099975585938</v>
      </c>
      <c r="E148" t="n">
        <v>1800.300048828125</v>
      </c>
      <c r="F148" t="n">
        <v>223</v>
      </c>
    </row>
    <row r="149">
      <c r="A149" t="inlineStr">
        <is>
          <t>2022-02-02</t>
        </is>
      </c>
      <c r="B149" t="n">
        <v>1797.800048828125</v>
      </c>
      <c r="C149" t="n">
        <v>1810.099975585938</v>
      </c>
      <c r="D149" t="n">
        <v>1795.099975585938</v>
      </c>
      <c r="E149" t="n">
        <v>1809.199951171875</v>
      </c>
      <c r="F149" t="n">
        <v>1690</v>
      </c>
    </row>
    <row r="150">
      <c r="A150" t="inlineStr">
        <is>
          <t>2022-02-03</t>
        </is>
      </c>
      <c r="B150" t="n">
        <v>1805.800048828125</v>
      </c>
      <c r="C150" t="n">
        <v>1808.099975585938</v>
      </c>
      <c r="D150" t="n">
        <v>1787.900024414062</v>
      </c>
      <c r="E150" t="n">
        <v>1803</v>
      </c>
      <c r="F150" t="n">
        <v>466</v>
      </c>
    </row>
    <row r="151">
      <c r="A151" t="inlineStr">
        <is>
          <t>2022-02-04</t>
        </is>
      </c>
      <c r="B151" t="n">
        <v>1806</v>
      </c>
      <c r="C151" t="n">
        <v>1813.699951171875</v>
      </c>
      <c r="D151" t="n">
        <v>1792.5</v>
      </c>
      <c r="E151" t="n">
        <v>1806.599975585938</v>
      </c>
      <c r="F151" t="n">
        <v>571</v>
      </c>
    </row>
    <row r="152">
      <c r="A152" t="inlineStr">
        <is>
          <t>2022-02-07</t>
        </is>
      </c>
      <c r="B152" t="n">
        <v>1812.199951171875</v>
      </c>
      <c r="C152" t="n">
        <v>1821.300048828125</v>
      </c>
      <c r="D152" t="n">
        <v>1809.099975585938</v>
      </c>
      <c r="E152" t="n">
        <v>1820.599975585938</v>
      </c>
      <c r="F152" t="n">
        <v>601</v>
      </c>
    </row>
    <row r="153">
      <c r="A153" t="inlineStr">
        <is>
          <t>2022-02-08</t>
        </is>
      </c>
      <c r="B153" t="n">
        <v>1818.900024414062</v>
      </c>
      <c r="C153" t="n">
        <v>1827.599975585938</v>
      </c>
      <c r="D153" t="n">
        <v>1815</v>
      </c>
      <c r="E153" t="n">
        <v>1826.599975585938</v>
      </c>
      <c r="F153" t="n">
        <v>108</v>
      </c>
    </row>
    <row r="154">
      <c r="A154" t="inlineStr">
        <is>
          <t>2022-02-09</t>
        </is>
      </c>
      <c r="B154" t="n">
        <v>1825.400024414062</v>
      </c>
      <c r="C154" t="n">
        <v>1835.199951171875</v>
      </c>
      <c r="D154" t="n">
        <v>1825.300048828125</v>
      </c>
      <c r="E154" t="n">
        <v>1835.199951171875</v>
      </c>
      <c r="F154" t="n">
        <v>683</v>
      </c>
    </row>
    <row r="155">
      <c r="A155" t="inlineStr">
        <is>
          <t>2022-02-10</t>
        </is>
      </c>
      <c r="B155" t="n">
        <v>1833.300048828125</v>
      </c>
      <c r="C155" t="n">
        <v>1842.099975585938</v>
      </c>
      <c r="D155" t="n">
        <v>1820.800048828125</v>
      </c>
      <c r="E155" t="n">
        <v>1836.199951171875</v>
      </c>
      <c r="F155" t="n">
        <v>365</v>
      </c>
    </row>
    <row r="156">
      <c r="A156" t="inlineStr">
        <is>
          <t>2022-02-11</t>
        </is>
      </c>
      <c r="B156" t="n">
        <v>1822</v>
      </c>
      <c r="C156" t="n">
        <v>1864.800048828125</v>
      </c>
      <c r="D156" t="n">
        <v>1822</v>
      </c>
      <c r="E156" t="n">
        <v>1840.800048828125</v>
      </c>
      <c r="F156" t="n">
        <v>181</v>
      </c>
    </row>
    <row r="157">
      <c r="A157" t="inlineStr">
        <is>
          <t>2022-02-14</t>
        </is>
      </c>
      <c r="B157" t="n">
        <v>1861.800048828125</v>
      </c>
      <c r="C157" t="n">
        <v>1870.599975585938</v>
      </c>
      <c r="D157" t="n">
        <v>1854.599975585938</v>
      </c>
      <c r="E157" t="n">
        <v>1868</v>
      </c>
      <c r="F157" t="n">
        <v>79</v>
      </c>
    </row>
    <row r="158">
      <c r="A158" t="inlineStr">
        <is>
          <t>2022-02-15</t>
        </is>
      </c>
      <c r="B158" t="n">
        <v>1872.599975585938</v>
      </c>
      <c r="C158" t="n">
        <v>1879.699951171875</v>
      </c>
      <c r="D158" t="n">
        <v>1847.400024414062</v>
      </c>
      <c r="E158" t="n">
        <v>1854.800048828125</v>
      </c>
      <c r="F158" t="n">
        <v>86</v>
      </c>
    </row>
    <row r="159">
      <c r="A159" t="inlineStr">
        <is>
          <t>2022-02-16</t>
        </is>
      </c>
      <c r="B159" t="n">
        <v>1858.699951171875</v>
      </c>
      <c r="C159" t="n">
        <v>1870.199951171875</v>
      </c>
      <c r="D159" t="n">
        <v>1856.300048828125</v>
      </c>
      <c r="E159" t="n">
        <v>1870.199951171875</v>
      </c>
      <c r="F159" t="n">
        <v>34</v>
      </c>
    </row>
    <row r="160">
      <c r="A160" t="inlineStr">
        <is>
          <t>2022-02-17</t>
        </is>
      </c>
      <c r="B160" t="n">
        <v>1876.300048828125</v>
      </c>
      <c r="C160" t="n">
        <v>1900.699951171875</v>
      </c>
      <c r="D160" t="n">
        <v>1876.199951171875</v>
      </c>
      <c r="E160" t="n">
        <v>1900.699951171875</v>
      </c>
      <c r="F160" t="n">
        <v>393</v>
      </c>
    </row>
    <row r="161">
      <c r="A161" t="inlineStr">
        <is>
          <t>2022-02-18</t>
        </is>
      </c>
      <c r="B161" t="n">
        <v>1899.400024414062</v>
      </c>
      <c r="C161" t="n">
        <v>1899.400024414062</v>
      </c>
      <c r="D161" t="n">
        <v>1890.699951171875</v>
      </c>
      <c r="E161" t="n">
        <v>1898.599975585938</v>
      </c>
      <c r="F161" t="n">
        <v>51</v>
      </c>
    </row>
    <row r="162">
      <c r="A162" t="inlineStr">
        <is>
          <t>2022-02-22</t>
        </is>
      </c>
      <c r="B162" t="n">
        <v>1908.099975585938</v>
      </c>
      <c r="C162" t="n">
        <v>1912</v>
      </c>
      <c r="D162" t="n">
        <v>1890.800048828125</v>
      </c>
      <c r="E162" t="n">
        <v>1906.099975585938</v>
      </c>
      <c r="F162" t="n">
        <v>173</v>
      </c>
    </row>
    <row r="163">
      <c r="A163" t="inlineStr">
        <is>
          <t>2022-02-23</t>
        </is>
      </c>
      <c r="B163" t="n">
        <v>1896.599975585938</v>
      </c>
      <c r="C163" t="n">
        <v>1910.599975585938</v>
      </c>
      <c r="D163" t="n">
        <v>1895.699951171875</v>
      </c>
      <c r="E163" t="n">
        <v>1909.199951171875</v>
      </c>
      <c r="F163" t="n">
        <v>73</v>
      </c>
    </row>
    <row r="164">
      <c r="A164" t="inlineStr">
        <is>
          <t>2022-02-24</t>
        </is>
      </c>
      <c r="B164" t="n">
        <v>1911.900024414062</v>
      </c>
      <c r="C164" t="n">
        <v>1972.5</v>
      </c>
      <c r="D164" t="n">
        <v>1911.699951171875</v>
      </c>
      <c r="E164" t="n">
        <v>1925.099975585938</v>
      </c>
      <c r="F164" t="n">
        <v>2706</v>
      </c>
    </row>
    <row r="165">
      <c r="A165" t="inlineStr">
        <is>
          <t>2022-02-25</t>
        </is>
      </c>
      <c r="B165" t="n">
        <v>1906.900024414062</v>
      </c>
      <c r="C165" t="n">
        <v>1920</v>
      </c>
      <c r="D165" t="n">
        <v>1883.599975585938</v>
      </c>
      <c r="E165" t="n">
        <v>1886.5</v>
      </c>
      <c r="F165" t="n">
        <v>586</v>
      </c>
    </row>
    <row r="166">
      <c r="A166" t="inlineStr">
        <is>
          <t>2022-02-28</t>
        </is>
      </c>
      <c r="B166" t="n">
        <v>1928.300048828125</v>
      </c>
      <c r="C166" t="n">
        <v>1928.400024414062</v>
      </c>
      <c r="D166" t="n">
        <v>1894.199951171875</v>
      </c>
      <c r="E166" t="n">
        <v>1899.400024414062</v>
      </c>
      <c r="F166" t="n">
        <v>390</v>
      </c>
    </row>
    <row r="167">
      <c r="A167" t="inlineStr">
        <is>
          <t>2022-03-01</t>
        </is>
      </c>
      <c r="B167" t="n">
        <v>1908.300048828125</v>
      </c>
      <c r="C167" t="n">
        <v>1942.400024414062</v>
      </c>
      <c r="D167" t="n">
        <v>1903.800048828125</v>
      </c>
      <c r="E167" t="n">
        <v>1942.400024414062</v>
      </c>
      <c r="F167" t="n">
        <v>547</v>
      </c>
    </row>
    <row r="168">
      <c r="A168" t="inlineStr">
        <is>
          <t>2022-03-02</t>
        </is>
      </c>
      <c r="B168" t="n">
        <v>1945.599975585938</v>
      </c>
      <c r="C168" t="n">
        <v>1948.199951171875</v>
      </c>
      <c r="D168" t="n">
        <v>1919.800048828125</v>
      </c>
      <c r="E168" t="n">
        <v>1920.900024414062</v>
      </c>
      <c r="F168" t="n">
        <v>109</v>
      </c>
    </row>
    <row r="169">
      <c r="A169" t="inlineStr">
        <is>
          <t>2022-03-03</t>
        </is>
      </c>
      <c r="B169" t="n">
        <v>1930.5</v>
      </c>
      <c r="C169" t="n">
        <v>1940.300048828125</v>
      </c>
      <c r="D169" t="n">
        <v>1924.800048828125</v>
      </c>
      <c r="E169" t="n">
        <v>1934.400024414062</v>
      </c>
      <c r="F169" t="n">
        <v>122</v>
      </c>
    </row>
    <row r="170">
      <c r="A170" t="inlineStr">
        <is>
          <t>2022-03-04</t>
        </is>
      </c>
      <c r="B170" t="n">
        <v>1937</v>
      </c>
      <c r="C170" t="n">
        <v>1970.900024414062</v>
      </c>
      <c r="D170" t="n">
        <v>1935.599975585938</v>
      </c>
      <c r="E170" t="n">
        <v>1965.099975585938</v>
      </c>
      <c r="F170" t="n">
        <v>47</v>
      </c>
    </row>
    <row r="171">
      <c r="A171" t="inlineStr">
        <is>
          <t>2022-03-07</t>
        </is>
      </c>
      <c r="B171" t="n">
        <v>1989</v>
      </c>
      <c r="C171" t="n">
        <v>2001.099975585938</v>
      </c>
      <c r="D171" t="n">
        <v>1963</v>
      </c>
      <c r="E171" t="n">
        <v>1993.900024414062</v>
      </c>
      <c r="F171" t="n">
        <v>2516</v>
      </c>
    </row>
    <row r="172">
      <c r="A172" t="inlineStr">
        <is>
          <t>2022-03-08</t>
        </is>
      </c>
      <c r="B172" t="n">
        <v>1999.400024414062</v>
      </c>
      <c r="C172" t="n">
        <v>2072</v>
      </c>
      <c r="D172" t="n">
        <v>1998</v>
      </c>
      <c r="E172" t="n">
        <v>2040.099975585938</v>
      </c>
      <c r="F172" t="n">
        <v>1813</v>
      </c>
    </row>
    <row r="173">
      <c r="A173" t="inlineStr">
        <is>
          <t>2022-03-09</t>
        </is>
      </c>
      <c r="B173" t="n">
        <v>2053.60009765625</v>
      </c>
      <c r="C173" t="n">
        <v>2063</v>
      </c>
      <c r="D173" t="n">
        <v>1980.800048828125</v>
      </c>
      <c r="E173" t="n">
        <v>1985.900024414062</v>
      </c>
      <c r="F173" t="n">
        <v>1022</v>
      </c>
    </row>
    <row r="174">
      <c r="A174" t="inlineStr">
        <is>
          <t>2022-03-10</t>
        </is>
      </c>
      <c r="B174" t="n">
        <v>1978.099975585938</v>
      </c>
      <c r="C174" t="n">
        <v>2010.5</v>
      </c>
      <c r="D174" t="n">
        <v>1978.099975585938</v>
      </c>
      <c r="E174" t="n">
        <v>1998.099975585938</v>
      </c>
      <c r="F174" t="n">
        <v>670</v>
      </c>
    </row>
    <row r="175">
      <c r="A175" t="inlineStr">
        <is>
          <t>2022-03-11</t>
        </is>
      </c>
      <c r="B175" t="n">
        <v>1985</v>
      </c>
      <c r="C175" t="n">
        <v>1996</v>
      </c>
      <c r="D175" t="n">
        <v>1959.900024414062</v>
      </c>
      <c r="E175" t="n">
        <v>1982.699951171875</v>
      </c>
      <c r="F175" t="n">
        <v>865</v>
      </c>
    </row>
    <row r="176">
      <c r="A176" t="inlineStr">
        <is>
          <t>2022-03-14</t>
        </is>
      </c>
      <c r="B176" t="n">
        <v>1976.5</v>
      </c>
      <c r="C176" t="n">
        <v>1977.699951171875</v>
      </c>
      <c r="D176" t="n">
        <v>1959.599975585938</v>
      </c>
      <c r="E176" t="n">
        <v>1959.599975585938</v>
      </c>
      <c r="F176" t="n">
        <v>145</v>
      </c>
    </row>
    <row r="177">
      <c r="A177" t="inlineStr">
        <is>
          <t>2022-03-15</t>
        </is>
      </c>
      <c r="B177" t="n">
        <v>1939.800048828125</v>
      </c>
      <c r="C177" t="n">
        <v>1939.900024414062</v>
      </c>
      <c r="D177" t="n">
        <v>1910.699951171875</v>
      </c>
      <c r="E177" t="n">
        <v>1928.5</v>
      </c>
      <c r="F177" t="n">
        <v>71</v>
      </c>
    </row>
    <row r="178">
      <c r="A178" t="inlineStr">
        <is>
          <t>2022-03-16</t>
        </is>
      </c>
      <c r="B178" t="n">
        <v>1922.400024414062</v>
      </c>
      <c r="C178" t="n">
        <v>1922.400024414062</v>
      </c>
      <c r="D178" t="n">
        <v>1907.199951171875</v>
      </c>
      <c r="E178" t="n">
        <v>1908</v>
      </c>
      <c r="F178" t="n">
        <v>104</v>
      </c>
    </row>
    <row r="179">
      <c r="A179" t="inlineStr">
        <is>
          <t>2022-03-17</t>
        </is>
      </c>
      <c r="B179" t="n">
        <v>1933.900024414062</v>
      </c>
      <c r="C179" t="n">
        <v>1947.199951171875</v>
      </c>
      <c r="D179" t="n">
        <v>1933.900024414062</v>
      </c>
      <c r="E179" t="n">
        <v>1942.099975585938</v>
      </c>
      <c r="F179" t="n">
        <v>39</v>
      </c>
    </row>
    <row r="180">
      <c r="A180" t="inlineStr">
        <is>
          <t>2022-03-18</t>
        </is>
      </c>
      <c r="B180" t="n">
        <v>1934.5</v>
      </c>
      <c r="C180" t="n">
        <v>1939.300048828125</v>
      </c>
      <c r="D180" t="n">
        <v>1928.199951171875</v>
      </c>
      <c r="E180" t="n">
        <v>1928.199951171875</v>
      </c>
      <c r="F180" t="n">
        <v>28</v>
      </c>
    </row>
    <row r="181">
      <c r="A181" t="inlineStr">
        <is>
          <t>2022-03-21</t>
        </is>
      </c>
      <c r="B181" t="n">
        <v>1925.400024414062</v>
      </c>
      <c r="C181" t="n">
        <v>1928.599975585938</v>
      </c>
      <c r="D181" t="n">
        <v>1925</v>
      </c>
      <c r="E181" t="n">
        <v>1928.599975585938</v>
      </c>
      <c r="F181" t="n">
        <v>5</v>
      </c>
    </row>
    <row r="182">
      <c r="A182" t="inlineStr">
        <is>
          <t>2022-03-22</t>
        </is>
      </c>
      <c r="B182" t="n">
        <v>1920.699951171875</v>
      </c>
      <c r="C182" t="n">
        <v>1920.699951171875</v>
      </c>
      <c r="D182" t="n">
        <v>1920.699951171875</v>
      </c>
      <c r="E182" t="n">
        <v>1920.699951171875</v>
      </c>
      <c r="F182" t="n">
        <v>26</v>
      </c>
    </row>
    <row r="183">
      <c r="A183" t="inlineStr">
        <is>
          <t>2022-03-23</t>
        </is>
      </c>
      <c r="B183" t="n">
        <v>1936.599975585938</v>
      </c>
      <c r="C183" t="n">
        <v>1936.599975585938</v>
      </c>
      <c r="D183" t="n">
        <v>1936.599975585938</v>
      </c>
      <c r="E183" t="n">
        <v>1936.599975585938</v>
      </c>
      <c r="F183" t="n">
        <v>204</v>
      </c>
    </row>
    <row r="184">
      <c r="A184" t="inlineStr">
        <is>
          <t>2022-03-24</t>
        </is>
      </c>
      <c r="B184" t="n">
        <v>1963.599975585938</v>
      </c>
      <c r="C184" t="n">
        <v>1964</v>
      </c>
      <c r="D184" t="n">
        <v>1961.599975585938</v>
      </c>
      <c r="E184" t="n">
        <v>1961.599975585938</v>
      </c>
      <c r="F184" t="n">
        <v>8</v>
      </c>
    </row>
    <row r="185">
      <c r="A185" t="inlineStr">
        <is>
          <t>2022-03-25</t>
        </is>
      </c>
      <c r="B185" t="n">
        <v>1953.800048828125</v>
      </c>
      <c r="C185" t="n">
        <v>1953.800048828125</v>
      </c>
      <c r="D185" t="n">
        <v>1953.800048828125</v>
      </c>
      <c r="E185" t="n">
        <v>1953.800048828125</v>
      </c>
      <c r="F185" t="n">
        <v>83</v>
      </c>
    </row>
    <row r="186">
      <c r="A186" t="inlineStr">
        <is>
          <t>2022-03-28</t>
        </is>
      </c>
      <c r="B186" t="n">
        <v>1932.599975585938</v>
      </c>
      <c r="C186" t="n">
        <v>1939.599975585938</v>
      </c>
      <c r="D186" t="n">
        <v>1932.599975585938</v>
      </c>
      <c r="E186" t="n">
        <v>1939.599975585938</v>
      </c>
      <c r="F186" t="n">
        <v>7</v>
      </c>
    </row>
    <row r="187">
      <c r="A187" t="inlineStr">
        <is>
          <t>2022-03-29</t>
        </is>
      </c>
      <c r="B187" t="n">
        <v>1893.5</v>
      </c>
      <c r="C187" t="n">
        <v>1912</v>
      </c>
      <c r="D187" t="n">
        <v>1893.5</v>
      </c>
      <c r="E187" t="n">
        <v>1912</v>
      </c>
      <c r="F187" t="n">
        <v>128051</v>
      </c>
    </row>
    <row r="188">
      <c r="A188" t="inlineStr">
        <is>
          <t>2022-03-30</t>
        </is>
      </c>
      <c r="B188" t="n">
        <v>1918.400024414062</v>
      </c>
      <c r="C188" t="n">
        <v>1937</v>
      </c>
      <c r="D188" t="n">
        <v>1914.5</v>
      </c>
      <c r="E188" t="n">
        <v>1933.5</v>
      </c>
      <c r="F188" t="n">
        <v>17765</v>
      </c>
    </row>
    <row r="189">
      <c r="A189" t="inlineStr">
        <is>
          <t>2022-03-31</t>
        </is>
      </c>
      <c r="B189" t="n">
        <v>1933.5</v>
      </c>
      <c r="C189" t="n">
        <v>1949.900024414062</v>
      </c>
      <c r="D189" t="n">
        <v>1919.099975585938</v>
      </c>
      <c r="E189" t="n">
        <v>1949.199951171875</v>
      </c>
      <c r="F189" t="n">
        <v>3617</v>
      </c>
    </row>
    <row r="190">
      <c r="A190" t="inlineStr">
        <is>
          <t>2022-04-01</t>
        </is>
      </c>
      <c r="B190" t="n">
        <v>1935</v>
      </c>
      <c r="C190" t="n">
        <v>1938</v>
      </c>
      <c r="D190" t="n">
        <v>1917</v>
      </c>
      <c r="E190" t="n">
        <v>1919.099975585938</v>
      </c>
      <c r="F190" t="n">
        <v>1016</v>
      </c>
    </row>
    <row r="191">
      <c r="A191" t="inlineStr">
        <is>
          <t>2022-04-04</t>
        </is>
      </c>
      <c r="B191" t="n">
        <v>1921.199951171875</v>
      </c>
      <c r="C191" t="n">
        <v>1936.099975585938</v>
      </c>
      <c r="D191" t="n">
        <v>1915.599975585938</v>
      </c>
      <c r="E191" t="n">
        <v>1929.199951171875</v>
      </c>
      <c r="F191" t="n">
        <v>371</v>
      </c>
    </row>
    <row r="192">
      <c r="A192" t="inlineStr">
        <is>
          <t>2022-04-05</t>
        </is>
      </c>
      <c r="B192" t="n">
        <v>1927.099975585938</v>
      </c>
      <c r="C192" t="n">
        <v>1943.5</v>
      </c>
      <c r="D192" t="n">
        <v>1918.400024414062</v>
      </c>
      <c r="E192" t="n">
        <v>1922.900024414062</v>
      </c>
      <c r="F192" t="n">
        <v>412</v>
      </c>
    </row>
    <row r="193">
      <c r="A193" t="inlineStr">
        <is>
          <t>2022-04-06</t>
        </is>
      </c>
      <c r="B193" t="n">
        <v>1916.699951171875</v>
      </c>
      <c r="C193" t="n">
        <v>1931.800048828125</v>
      </c>
      <c r="D193" t="n">
        <v>1916.699951171875</v>
      </c>
      <c r="E193" t="n">
        <v>1918.400024414062</v>
      </c>
      <c r="F193" t="n">
        <v>138</v>
      </c>
    </row>
    <row r="194">
      <c r="A194" t="inlineStr">
        <is>
          <t>2022-04-07</t>
        </is>
      </c>
      <c r="B194" t="n">
        <v>1919.5</v>
      </c>
      <c r="C194" t="n">
        <v>1934.800048828125</v>
      </c>
      <c r="D194" t="n">
        <v>1919.5</v>
      </c>
      <c r="E194" t="n">
        <v>1933.800048828125</v>
      </c>
      <c r="F194" t="n">
        <v>311</v>
      </c>
    </row>
    <row r="195">
      <c r="A195" t="inlineStr">
        <is>
          <t>2022-04-08</t>
        </is>
      </c>
      <c r="B195" t="n">
        <v>1928.800048828125</v>
      </c>
      <c r="C195" t="n">
        <v>1947.699951171875</v>
      </c>
      <c r="D195" t="n">
        <v>1928.800048828125</v>
      </c>
      <c r="E195" t="n">
        <v>1941.599975585938</v>
      </c>
      <c r="F195" t="n">
        <v>153</v>
      </c>
    </row>
    <row r="196">
      <c r="A196" t="inlineStr">
        <is>
          <t>2022-04-11</t>
        </is>
      </c>
      <c r="B196" t="n">
        <v>1946.599975585938</v>
      </c>
      <c r="C196" t="n">
        <v>1968.400024414062</v>
      </c>
      <c r="D196" t="n">
        <v>1941.800048828125</v>
      </c>
      <c r="E196" t="n">
        <v>1944.300048828125</v>
      </c>
      <c r="F196" t="n">
        <v>163</v>
      </c>
    </row>
    <row r="197">
      <c r="A197" t="inlineStr">
        <is>
          <t>2022-04-12</t>
        </is>
      </c>
      <c r="B197" t="n">
        <v>1952.5</v>
      </c>
      <c r="C197" t="n">
        <v>1977.099975585938</v>
      </c>
      <c r="D197" t="n">
        <v>1950.599975585938</v>
      </c>
      <c r="E197" t="n">
        <v>1972.099975585938</v>
      </c>
      <c r="F197" t="n">
        <v>246</v>
      </c>
    </row>
    <row r="198">
      <c r="A198" t="inlineStr">
        <is>
          <t>2022-04-13</t>
        </is>
      </c>
      <c r="B198" t="n">
        <v>1969.5</v>
      </c>
      <c r="C198" t="n">
        <v>1981</v>
      </c>
      <c r="D198" t="n">
        <v>1969.5</v>
      </c>
      <c r="E198" t="n">
        <v>1981</v>
      </c>
      <c r="F198" t="n">
        <v>204</v>
      </c>
    </row>
    <row r="199">
      <c r="A199" t="inlineStr">
        <is>
          <t>2022-04-14</t>
        </is>
      </c>
      <c r="B199" t="n">
        <v>1977.199951171875</v>
      </c>
      <c r="C199" t="n">
        <v>1978.699951171875</v>
      </c>
      <c r="D199" t="n">
        <v>1963</v>
      </c>
      <c r="E199" t="n">
        <v>1970.900024414062</v>
      </c>
      <c r="F199" t="n">
        <v>101</v>
      </c>
    </row>
    <row r="200">
      <c r="A200" t="inlineStr">
        <is>
          <t>2022-04-18</t>
        </is>
      </c>
      <c r="B200" t="n">
        <v>1973.400024414062</v>
      </c>
      <c r="C200" t="n">
        <v>1997.099975585938</v>
      </c>
      <c r="D200" t="n">
        <v>1972.800048828125</v>
      </c>
      <c r="E200" t="n">
        <v>1982.900024414062</v>
      </c>
      <c r="F200" t="n">
        <v>196</v>
      </c>
    </row>
    <row r="201">
      <c r="A201" t="inlineStr">
        <is>
          <t>2022-04-19</t>
        </is>
      </c>
      <c r="B201" t="n">
        <v>1973.800048828125</v>
      </c>
      <c r="C201" t="n">
        <v>1978.300048828125</v>
      </c>
      <c r="D201" t="n">
        <v>1945.699951171875</v>
      </c>
      <c r="E201" t="n">
        <v>1955.699951171875</v>
      </c>
      <c r="F201" t="n">
        <v>130</v>
      </c>
    </row>
    <row r="202">
      <c r="A202" t="inlineStr">
        <is>
          <t>2022-04-20</t>
        </is>
      </c>
      <c r="B202" t="n">
        <v>1945.5</v>
      </c>
      <c r="C202" t="n">
        <v>1953.599975585938</v>
      </c>
      <c r="D202" t="n">
        <v>1945.5</v>
      </c>
      <c r="E202" t="n">
        <v>1952.300048828125</v>
      </c>
      <c r="F202" t="n">
        <v>621</v>
      </c>
    </row>
    <row r="203">
      <c r="A203" t="inlineStr">
        <is>
          <t>2022-04-21</t>
        </is>
      </c>
      <c r="B203" t="n">
        <v>1942.5</v>
      </c>
      <c r="C203" t="n">
        <v>1944.900024414062</v>
      </c>
      <c r="D203" t="n">
        <v>1942.5</v>
      </c>
      <c r="E203" t="n">
        <v>1944.900024414062</v>
      </c>
      <c r="F203" t="n">
        <v>4</v>
      </c>
    </row>
    <row r="204">
      <c r="A204" t="inlineStr">
        <is>
          <t>2022-04-22</t>
        </is>
      </c>
      <c r="B204" t="n">
        <v>1949.599975585938</v>
      </c>
      <c r="C204" t="n">
        <v>1950.400024414062</v>
      </c>
      <c r="D204" t="n">
        <v>1930.199951171875</v>
      </c>
      <c r="E204" t="n">
        <v>1931</v>
      </c>
      <c r="F204" t="n">
        <v>178</v>
      </c>
    </row>
    <row r="205">
      <c r="A205" t="inlineStr">
        <is>
          <t>2022-04-25</t>
        </is>
      </c>
      <c r="B205" t="n">
        <v>1925</v>
      </c>
      <c r="C205" t="n">
        <v>1925</v>
      </c>
      <c r="D205" t="n">
        <v>1889.300048828125</v>
      </c>
      <c r="E205" t="n">
        <v>1893.199951171875</v>
      </c>
      <c r="F205" t="n">
        <v>748</v>
      </c>
    </row>
    <row r="206">
      <c r="A206" t="inlineStr">
        <is>
          <t>2022-04-26</t>
        </is>
      </c>
      <c r="B206" t="n">
        <v>1900.5</v>
      </c>
      <c r="C206" t="n">
        <v>1909.099975585938</v>
      </c>
      <c r="D206" t="n">
        <v>1894</v>
      </c>
      <c r="E206" t="n">
        <v>1901.400024414062</v>
      </c>
      <c r="F206" t="n">
        <v>302</v>
      </c>
    </row>
    <row r="207">
      <c r="A207" t="inlineStr">
        <is>
          <t>2022-04-27</t>
        </is>
      </c>
      <c r="B207" t="n">
        <v>1897.800048828125</v>
      </c>
      <c r="C207" t="n">
        <v>1900.599975585938</v>
      </c>
      <c r="D207" t="n">
        <v>1882.199951171875</v>
      </c>
      <c r="E207" t="n">
        <v>1885.900024414062</v>
      </c>
      <c r="F207" t="n">
        <v>1786</v>
      </c>
    </row>
    <row r="208">
      <c r="A208" t="inlineStr">
        <is>
          <t>2022-04-28</t>
        </is>
      </c>
      <c r="B208" t="n">
        <v>1883.800048828125</v>
      </c>
      <c r="C208" t="n">
        <v>1893</v>
      </c>
      <c r="D208" t="n">
        <v>1872.900024414062</v>
      </c>
      <c r="E208" t="n">
        <v>1888.699951171875</v>
      </c>
      <c r="F208" t="n">
        <v>513</v>
      </c>
    </row>
    <row r="209">
      <c r="A209" t="inlineStr">
        <is>
          <t>2022-04-29</t>
        </is>
      </c>
      <c r="B209" t="n">
        <v>1902.699951171875</v>
      </c>
      <c r="C209" t="n">
        <v>1918.199951171875</v>
      </c>
      <c r="D209" t="n">
        <v>1902.400024414062</v>
      </c>
      <c r="E209" t="n">
        <v>1909.300048828125</v>
      </c>
      <c r="F209" t="n">
        <v>132</v>
      </c>
    </row>
    <row r="210">
      <c r="A210" t="inlineStr">
        <is>
          <t>2022-05-02</t>
        </is>
      </c>
      <c r="B210" t="n">
        <v>1896.699951171875</v>
      </c>
      <c r="C210" t="n">
        <v>1896.800048828125</v>
      </c>
      <c r="D210" t="n">
        <v>1853</v>
      </c>
      <c r="E210" t="n">
        <v>1861.800048828125</v>
      </c>
      <c r="F210" t="n">
        <v>385</v>
      </c>
    </row>
    <row r="211">
      <c r="A211" t="inlineStr">
        <is>
          <t>2022-05-03</t>
        </is>
      </c>
      <c r="B211" t="n">
        <v>1868.800048828125</v>
      </c>
      <c r="C211" t="n">
        <v>1868.800048828125</v>
      </c>
      <c r="D211" t="n">
        <v>1868.800048828125</v>
      </c>
      <c r="E211" t="n">
        <v>1868.800048828125</v>
      </c>
      <c r="F211" t="n">
        <v>466</v>
      </c>
    </row>
    <row r="212">
      <c r="A212" t="inlineStr">
        <is>
          <t>2022-05-04</t>
        </is>
      </c>
      <c r="B212" t="n">
        <v>1867</v>
      </c>
      <c r="C212" t="n">
        <v>1867</v>
      </c>
      <c r="D212" t="n">
        <v>1867</v>
      </c>
      <c r="E212" t="n">
        <v>1867</v>
      </c>
      <c r="F212" t="n">
        <v>1</v>
      </c>
    </row>
    <row r="213">
      <c r="A213" t="inlineStr">
        <is>
          <t>2022-05-05</t>
        </is>
      </c>
      <c r="B213" t="n">
        <v>1897</v>
      </c>
      <c r="C213" t="n">
        <v>1904.300048828125</v>
      </c>
      <c r="D213" t="n">
        <v>1874</v>
      </c>
      <c r="E213" t="n">
        <v>1874</v>
      </c>
      <c r="F213" t="n">
        <v>80</v>
      </c>
    </row>
    <row r="214">
      <c r="A214" t="inlineStr">
        <is>
          <t>2022-05-06</t>
        </is>
      </c>
      <c r="B214" t="n">
        <v>1874.699951171875</v>
      </c>
      <c r="C214" t="n">
        <v>1890.300048828125</v>
      </c>
      <c r="D214" t="n">
        <v>1871.5</v>
      </c>
      <c r="E214" t="n">
        <v>1881.199951171875</v>
      </c>
      <c r="F214" t="n">
        <v>214</v>
      </c>
    </row>
    <row r="215">
      <c r="A215" t="inlineStr">
        <is>
          <t>2022-05-09</t>
        </is>
      </c>
      <c r="B215" t="n">
        <v>1866.599975585938</v>
      </c>
      <c r="C215" t="n">
        <v>1867.5</v>
      </c>
      <c r="D215" t="n">
        <v>1854</v>
      </c>
      <c r="E215" t="n">
        <v>1857.099975585938</v>
      </c>
      <c r="F215" t="n">
        <v>304</v>
      </c>
    </row>
    <row r="216">
      <c r="A216" t="inlineStr">
        <is>
          <t>2022-05-10</t>
        </is>
      </c>
      <c r="B216" t="n">
        <v>1839.900024414062</v>
      </c>
      <c r="C216" t="n">
        <v>1839.900024414062</v>
      </c>
      <c r="D216" t="n">
        <v>1839.900024414062</v>
      </c>
      <c r="E216" t="n">
        <v>1839.900024414062</v>
      </c>
      <c r="F216" t="n">
        <v>1540</v>
      </c>
    </row>
    <row r="217">
      <c r="A217" t="inlineStr">
        <is>
          <t>2022-05-11</t>
        </is>
      </c>
      <c r="B217" t="n">
        <v>1841.5</v>
      </c>
      <c r="C217" t="n">
        <v>1852.599975585938</v>
      </c>
      <c r="D217" t="n">
        <v>1841</v>
      </c>
      <c r="E217" t="n">
        <v>1852.599975585938</v>
      </c>
      <c r="F217" t="n">
        <v>892</v>
      </c>
    </row>
    <row r="218">
      <c r="A218" t="inlineStr">
        <is>
          <t>2022-05-12</t>
        </is>
      </c>
      <c r="B218" t="n">
        <v>1849.800048828125</v>
      </c>
      <c r="C218" t="n">
        <v>1851.900024414062</v>
      </c>
      <c r="D218" t="n">
        <v>1822.199951171875</v>
      </c>
      <c r="E218" t="n">
        <v>1823.800048828125</v>
      </c>
      <c r="F218" t="n">
        <v>153</v>
      </c>
    </row>
    <row r="219">
      <c r="A219" t="inlineStr">
        <is>
          <t>2022-05-13</t>
        </is>
      </c>
      <c r="B219" t="n">
        <v>1825</v>
      </c>
      <c r="C219" t="n">
        <v>1825</v>
      </c>
      <c r="D219" t="n">
        <v>1807.400024414062</v>
      </c>
      <c r="E219" t="n">
        <v>1807.400024414062</v>
      </c>
      <c r="F219" t="n">
        <v>335</v>
      </c>
    </row>
    <row r="220">
      <c r="A220" t="inlineStr">
        <is>
          <t>2022-05-16</t>
        </is>
      </c>
      <c r="B220" t="n">
        <v>1790.5</v>
      </c>
      <c r="C220" t="n">
        <v>1813.5</v>
      </c>
      <c r="D220" t="n">
        <v>1787</v>
      </c>
      <c r="E220" t="n">
        <v>1813.5</v>
      </c>
      <c r="F220" t="n">
        <v>34</v>
      </c>
    </row>
    <row r="221">
      <c r="A221" t="inlineStr">
        <is>
          <t>2022-05-17</t>
        </is>
      </c>
      <c r="B221" t="n">
        <v>1824.900024414062</v>
      </c>
      <c r="C221" t="n">
        <v>1828.599975585938</v>
      </c>
      <c r="D221" t="n">
        <v>1816.699951171875</v>
      </c>
      <c r="E221" t="n">
        <v>1818.199951171875</v>
      </c>
      <c r="F221" t="n">
        <v>121</v>
      </c>
    </row>
    <row r="222">
      <c r="A222" t="inlineStr">
        <is>
          <t>2022-05-18</t>
        </is>
      </c>
      <c r="B222" t="n">
        <v>1815</v>
      </c>
      <c r="C222" t="n">
        <v>1819.699951171875</v>
      </c>
      <c r="D222" t="n">
        <v>1805</v>
      </c>
      <c r="E222" t="n">
        <v>1815.900024414062</v>
      </c>
      <c r="F222" t="n">
        <v>311</v>
      </c>
    </row>
    <row r="223">
      <c r="A223" t="inlineStr">
        <is>
          <t>2022-05-19</t>
        </is>
      </c>
      <c r="B223" t="n">
        <v>1810.900024414062</v>
      </c>
      <c r="C223" t="n">
        <v>1841.199951171875</v>
      </c>
      <c r="D223" t="n">
        <v>1810.699951171875</v>
      </c>
      <c r="E223" t="n">
        <v>1841.199951171875</v>
      </c>
      <c r="F223" t="n">
        <v>138</v>
      </c>
    </row>
    <row r="224">
      <c r="A224" t="inlineStr">
        <is>
          <t>2022-05-20</t>
        </is>
      </c>
      <c r="B224" t="n">
        <v>1839.099975585938</v>
      </c>
      <c r="C224" t="n">
        <v>1841.800048828125</v>
      </c>
      <c r="D224" t="n">
        <v>1836.300048828125</v>
      </c>
      <c r="E224" t="n">
        <v>1841.800048828125</v>
      </c>
      <c r="F224" t="n">
        <v>110</v>
      </c>
    </row>
    <row r="225">
      <c r="A225" t="inlineStr">
        <is>
          <t>2022-05-23</t>
        </is>
      </c>
      <c r="B225" t="n">
        <v>1846.300048828125</v>
      </c>
      <c r="C225" t="n">
        <v>1863</v>
      </c>
      <c r="D225" t="n">
        <v>1845.800048828125</v>
      </c>
      <c r="E225" t="n">
        <v>1847.800048828125</v>
      </c>
      <c r="F225" t="n">
        <v>216</v>
      </c>
    </row>
    <row r="226">
      <c r="A226" t="inlineStr">
        <is>
          <t>2022-05-24</t>
        </is>
      </c>
      <c r="B226" t="n">
        <v>1852.5</v>
      </c>
      <c r="C226" t="n">
        <v>1867</v>
      </c>
      <c r="D226" t="n">
        <v>1852.5</v>
      </c>
      <c r="E226" t="n">
        <v>1865.099975585938</v>
      </c>
      <c r="F226" t="n">
        <v>33</v>
      </c>
    </row>
    <row r="227">
      <c r="A227" t="inlineStr">
        <is>
          <t>2022-05-25</t>
        </is>
      </c>
      <c r="B227" t="n">
        <v>1846.199951171875</v>
      </c>
      <c r="C227" t="n">
        <v>1846.199951171875</v>
      </c>
      <c r="D227" t="n">
        <v>1846.199951171875</v>
      </c>
      <c r="E227" t="n">
        <v>1846.199951171875</v>
      </c>
      <c r="F227" t="n">
        <v>0</v>
      </c>
    </row>
    <row r="228">
      <c r="A228" t="inlineStr">
        <is>
          <t>2022-05-26</t>
        </is>
      </c>
      <c r="B228" t="n">
        <v>1840.400024414062</v>
      </c>
      <c r="C228" t="n">
        <v>1847.400024414062</v>
      </c>
      <c r="D228" t="n">
        <v>1840.400024414062</v>
      </c>
      <c r="E228" t="n">
        <v>1847.400024414062</v>
      </c>
      <c r="F228" t="n">
        <v>123355</v>
      </c>
    </row>
    <row r="229">
      <c r="A229" t="inlineStr">
        <is>
          <t>2022-05-27</t>
        </is>
      </c>
      <c r="B229" t="n">
        <v>1848.300048828125</v>
      </c>
      <c r="C229" t="n">
        <v>1860.699951171875</v>
      </c>
      <c r="D229" t="n">
        <v>1845.900024414062</v>
      </c>
      <c r="E229" t="n">
        <v>1851.300048828125</v>
      </c>
      <c r="F229" t="n">
        <v>30091</v>
      </c>
    </row>
    <row r="230">
      <c r="A230" t="inlineStr">
        <is>
          <t>2022-05-31</t>
        </is>
      </c>
      <c r="B230" t="n">
        <v>1850.300048828125</v>
      </c>
      <c r="C230" t="n">
        <v>1862.099975585938</v>
      </c>
      <c r="D230" t="n">
        <v>1832.800048828125</v>
      </c>
      <c r="E230" t="n">
        <v>1842.699951171875</v>
      </c>
      <c r="F230" t="n">
        <v>4073</v>
      </c>
    </row>
    <row r="231">
      <c r="A231" t="inlineStr">
        <is>
          <t>2022-06-01</t>
        </is>
      </c>
      <c r="B231" t="n">
        <v>1831</v>
      </c>
      <c r="C231" t="n">
        <v>1847.900024414062</v>
      </c>
      <c r="D231" t="n">
        <v>1825.300048828125</v>
      </c>
      <c r="E231" t="n">
        <v>1843.300048828125</v>
      </c>
      <c r="F231" t="n">
        <v>1623</v>
      </c>
    </row>
    <row r="232">
      <c r="A232" t="inlineStr">
        <is>
          <t>2022-06-02</t>
        </is>
      </c>
      <c r="B232" t="n">
        <v>1845.400024414062</v>
      </c>
      <c r="C232" t="n">
        <v>1868.699951171875</v>
      </c>
      <c r="D232" t="n">
        <v>1842.099975585938</v>
      </c>
      <c r="E232" t="n">
        <v>1866.5</v>
      </c>
      <c r="F232" t="n">
        <v>551</v>
      </c>
    </row>
    <row r="233">
      <c r="A233" t="inlineStr">
        <is>
          <t>2022-06-03</t>
        </is>
      </c>
      <c r="B233" t="n">
        <v>1867.599975585938</v>
      </c>
      <c r="C233" t="n">
        <v>1871.800048828125</v>
      </c>
      <c r="D233" t="n">
        <v>1845.400024414062</v>
      </c>
      <c r="E233" t="n">
        <v>1845.400024414062</v>
      </c>
      <c r="F233" t="n">
        <v>53</v>
      </c>
    </row>
    <row r="234">
      <c r="A234" t="inlineStr">
        <is>
          <t>2022-06-06</t>
        </is>
      </c>
      <c r="B234" t="n">
        <v>1849</v>
      </c>
      <c r="C234" t="n">
        <v>1854.099975585938</v>
      </c>
      <c r="D234" t="n">
        <v>1839.199951171875</v>
      </c>
      <c r="E234" t="n">
        <v>1839.199951171875</v>
      </c>
      <c r="F234" t="n">
        <v>142</v>
      </c>
    </row>
    <row r="235">
      <c r="A235" t="inlineStr">
        <is>
          <t>2022-06-07</t>
        </is>
      </c>
      <c r="B235" t="n">
        <v>1836.900024414062</v>
      </c>
      <c r="C235" t="n">
        <v>1851.599975585938</v>
      </c>
      <c r="D235" t="n">
        <v>1835</v>
      </c>
      <c r="E235" t="n">
        <v>1847.5</v>
      </c>
      <c r="F235" t="n">
        <v>1168</v>
      </c>
    </row>
    <row r="236">
      <c r="A236" t="inlineStr">
        <is>
          <t>2022-06-08</t>
        </is>
      </c>
      <c r="B236" t="n">
        <v>1844.800048828125</v>
      </c>
      <c r="C236" t="n">
        <v>1855</v>
      </c>
      <c r="D236" t="n">
        <v>1844.400024414062</v>
      </c>
      <c r="E236" t="n">
        <v>1851.900024414062</v>
      </c>
      <c r="F236" t="n">
        <v>218</v>
      </c>
    </row>
    <row r="237">
      <c r="A237" t="inlineStr">
        <is>
          <t>2022-06-09</t>
        </is>
      </c>
      <c r="B237" t="n">
        <v>1846.099975585938</v>
      </c>
      <c r="C237" t="n">
        <v>1850.099975585938</v>
      </c>
      <c r="D237" t="n">
        <v>1837.900024414062</v>
      </c>
      <c r="E237" t="n">
        <v>1848.800048828125</v>
      </c>
      <c r="F237" t="n">
        <v>159</v>
      </c>
    </row>
    <row r="238">
      <c r="A238" t="inlineStr">
        <is>
          <t>2022-06-10</t>
        </is>
      </c>
      <c r="B238" t="n">
        <v>1842.699951171875</v>
      </c>
      <c r="C238" t="n">
        <v>1875.599975585938</v>
      </c>
      <c r="D238" t="n">
        <v>1823.900024414062</v>
      </c>
      <c r="E238" t="n">
        <v>1871.5</v>
      </c>
      <c r="F238" t="n">
        <v>1490</v>
      </c>
    </row>
    <row r="239">
      <c r="A239" t="inlineStr">
        <is>
          <t>2022-06-13</t>
        </is>
      </c>
      <c r="B239" t="n">
        <v>1873.800048828125</v>
      </c>
      <c r="C239" t="n">
        <v>1873.800048828125</v>
      </c>
      <c r="D239" t="n">
        <v>1818.699951171875</v>
      </c>
      <c r="E239" t="n">
        <v>1828</v>
      </c>
      <c r="F239" t="n">
        <v>127</v>
      </c>
    </row>
    <row r="240">
      <c r="A240" t="inlineStr">
        <is>
          <t>2022-06-14</t>
        </is>
      </c>
      <c r="B240" t="n">
        <v>1825</v>
      </c>
      <c r="C240" t="n">
        <v>1825.5</v>
      </c>
      <c r="D240" t="n">
        <v>1805.300048828125</v>
      </c>
      <c r="E240" t="n">
        <v>1809.5</v>
      </c>
      <c r="F240" t="n">
        <v>536</v>
      </c>
    </row>
    <row r="241">
      <c r="A241" t="inlineStr">
        <is>
          <t>2022-06-15</t>
        </is>
      </c>
      <c r="B241" t="n">
        <v>1814.099975585938</v>
      </c>
      <c r="C241" t="n">
        <v>1839</v>
      </c>
      <c r="D241" t="n">
        <v>1810.800048828125</v>
      </c>
      <c r="E241" t="n">
        <v>1815.300048828125</v>
      </c>
      <c r="F241" t="n">
        <v>108</v>
      </c>
    </row>
    <row r="242">
      <c r="A242" t="inlineStr">
        <is>
          <t>2022-06-16</t>
        </is>
      </c>
      <c r="B242" t="n">
        <v>1819.199951171875</v>
      </c>
      <c r="C242" t="n">
        <v>1850.599975585938</v>
      </c>
      <c r="D242" t="n">
        <v>1814.900024414062</v>
      </c>
      <c r="E242" t="n">
        <v>1845.699951171875</v>
      </c>
      <c r="F242" t="n">
        <v>136</v>
      </c>
    </row>
    <row r="243">
      <c r="A243" t="inlineStr">
        <is>
          <t>2022-06-17</t>
        </is>
      </c>
      <c r="B243" t="n">
        <v>1853.699951171875</v>
      </c>
      <c r="C243" t="n">
        <v>1853.699951171875</v>
      </c>
      <c r="D243" t="n">
        <v>1833.599975585938</v>
      </c>
      <c r="E243" t="n">
        <v>1835.599975585938</v>
      </c>
      <c r="F243" t="n">
        <v>170</v>
      </c>
    </row>
    <row r="244">
      <c r="A244" t="inlineStr">
        <is>
          <t>2022-06-21</t>
        </is>
      </c>
      <c r="B244" t="n">
        <v>1835.300048828125</v>
      </c>
      <c r="C244" t="n">
        <v>1838.599975585938</v>
      </c>
      <c r="D244" t="n">
        <v>1830.099975585938</v>
      </c>
      <c r="E244" t="n">
        <v>1834.599975585938</v>
      </c>
      <c r="F244" t="n">
        <v>216</v>
      </c>
    </row>
    <row r="245">
      <c r="A245" t="inlineStr">
        <is>
          <t>2022-06-22</t>
        </is>
      </c>
      <c r="B245" t="n">
        <v>1829.5</v>
      </c>
      <c r="C245" t="n">
        <v>1842.699951171875</v>
      </c>
      <c r="D245" t="n">
        <v>1821.599975585938</v>
      </c>
      <c r="E245" t="n">
        <v>1834.300048828125</v>
      </c>
      <c r="F245" t="n">
        <v>115</v>
      </c>
    </row>
    <row r="246">
      <c r="A246" t="inlineStr">
        <is>
          <t>2022-06-23</t>
        </is>
      </c>
      <c r="B246" t="n">
        <v>1835.5</v>
      </c>
      <c r="C246" t="n">
        <v>1841.199951171875</v>
      </c>
      <c r="D246" t="n">
        <v>1825.699951171875</v>
      </c>
      <c r="E246" t="n">
        <v>1825.699951171875</v>
      </c>
      <c r="F246" t="n">
        <v>9</v>
      </c>
    </row>
    <row r="247">
      <c r="A247" t="inlineStr">
        <is>
          <t>2022-06-24</t>
        </is>
      </c>
      <c r="B247" t="n">
        <v>1820.5</v>
      </c>
      <c r="C247" t="n">
        <v>1826.5</v>
      </c>
      <c r="D247" t="n">
        <v>1815.800048828125</v>
      </c>
      <c r="E247" t="n">
        <v>1826.5</v>
      </c>
      <c r="F247" t="n">
        <v>61</v>
      </c>
    </row>
    <row r="248">
      <c r="A248" t="inlineStr">
        <is>
          <t>2022-06-27</t>
        </is>
      </c>
      <c r="B248" t="n">
        <v>1830.5</v>
      </c>
      <c r="C248" t="n">
        <v>1830.699951171875</v>
      </c>
      <c r="D248" t="n">
        <v>1819.900024414062</v>
      </c>
      <c r="E248" t="n">
        <v>1820.900024414062</v>
      </c>
      <c r="F248" t="n">
        <v>77</v>
      </c>
    </row>
    <row r="249">
      <c r="A249" t="inlineStr">
        <is>
          <t>2022-06-28</t>
        </is>
      </c>
      <c r="B249" t="n">
        <v>1824.199951171875</v>
      </c>
      <c r="C249" t="n">
        <v>1826</v>
      </c>
      <c r="D249" t="n">
        <v>1817.5</v>
      </c>
      <c r="E249" t="n">
        <v>1817.5</v>
      </c>
      <c r="F249" t="n">
        <v>391</v>
      </c>
    </row>
    <row r="250">
      <c r="A250" t="inlineStr">
        <is>
          <t>2022-06-29</t>
        </is>
      </c>
      <c r="B250" t="n">
        <v>1818.300048828125</v>
      </c>
      <c r="C250" t="n">
        <v>1830.300048828125</v>
      </c>
      <c r="D250" t="n">
        <v>1812.800048828125</v>
      </c>
      <c r="E250" t="n">
        <v>1813.699951171875</v>
      </c>
      <c r="F250" t="n">
        <v>173</v>
      </c>
    </row>
    <row r="251">
      <c r="A251" t="inlineStr">
        <is>
          <t>2022-06-30</t>
        </is>
      </c>
      <c r="B251" t="n">
        <v>1809.599975585938</v>
      </c>
      <c r="C251" t="n">
        <v>1817.300048828125</v>
      </c>
      <c r="D251" t="n">
        <v>1801</v>
      </c>
      <c r="E251" t="n">
        <v>1804.099975585938</v>
      </c>
      <c r="F251" t="n">
        <v>328</v>
      </c>
    </row>
    <row r="252">
      <c r="A252" t="inlineStr">
        <is>
          <t>2022-07-01</t>
        </is>
      </c>
      <c r="B252" t="n">
        <v>1795.5</v>
      </c>
      <c r="C252" t="n">
        <v>1806.099975585938</v>
      </c>
      <c r="D252" t="n">
        <v>1791.599975585938</v>
      </c>
      <c r="E252" t="n">
        <v>1798.900024414062</v>
      </c>
      <c r="F252" t="n">
        <v>77</v>
      </c>
    </row>
    <row r="253">
      <c r="A253" t="inlineStr">
        <is>
          <t>2022-07-05</t>
        </is>
      </c>
      <c r="B253" t="n">
        <v>1805.400024414062</v>
      </c>
      <c r="C253" t="n">
        <v>1805.400024414062</v>
      </c>
      <c r="D253" t="n">
        <v>1761.800048828125</v>
      </c>
      <c r="E253" t="n">
        <v>1761.800048828125</v>
      </c>
      <c r="F253" t="n">
        <v>64</v>
      </c>
    </row>
    <row r="254">
      <c r="A254" t="inlineStr">
        <is>
          <t>2022-07-06</t>
        </is>
      </c>
      <c r="B254" t="n">
        <v>1762.5</v>
      </c>
      <c r="C254" t="n">
        <v>1768</v>
      </c>
      <c r="D254" t="n">
        <v>1734</v>
      </c>
      <c r="E254" t="n">
        <v>1734.900024414062</v>
      </c>
      <c r="F254" t="n">
        <v>1729</v>
      </c>
    </row>
    <row r="255">
      <c r="A255" t="inlineStr">
        <is>
          <t>2022-07-07</t>
        </is>
      </c>
      <c r="B255" t="n">
        <v>1745.199951171875</v>
      </c>
      <c r="C255" t="n">
        <v>1745.199951171875</v>
      </c>
      <c r="D255" t="n">
        <v>1737</v>
      </c>
      <c r="E255" t="n">
        <v>1737.900024414062</v>
      </c>
      <c r="F255" t="n">
        <v>1869</v>
      </c>
    </row>
    <row r="256">
      <c r="A256" t="inlineStr">
        <is>
          <t>2022-07-08</t>
        </is>
      </c>
      <c r="B256" t="n">
        <v>1738.099975585938</v>
      </c>
      <c r="C256" t="n">
        <v>1749.300048828125</v>
      </c>
      <c r="D256" t="n">
        <v>1732.099975585938</v>
      </c>
      <c r="E256" t="n">
        <v>1740.599975585938</v>
      </c>
      <c r="F256" t="n">
        <v>370</v>
      </c>
    </row>
    <row r="257">
      <c r="A257" t="inlineStr">
        <is>
          <t>2022-07-11</t>
        </is>
      </c>
      <c r="B257" t="n">
        <v>1732.5</v>
      </c>
      <c r="C257" t="n">
        <v>1736.699951171875</v>
      </c>
      <c r="D257" t="n">
        <v>1730</v>
      </c>
      <c r="E257" t="n">
        <v>1730</v>
      </c>
      <c r="F257" t="n">
        <v>75</v>
      </c>
    </row>
    <row r="258">
      <c r="A258" t="inlineStr">
        <is>
          <t>2022-07-12</t>
        </is>
      </c>
      <c r="B258" t="n">
        <v>1734.199951171875</v>
      </c>
      <c r="C258" t="n">
        <v>1735.5</v>
      </c>
      <c r="D258" t="n">
        <v>1723.300048828125</v>
      </c>
      <c r="E258" t="n">
        <v>1723.300048828125</v>
      </c>
      <c r="F258" t="n">
        <v>451</v>
      </c>
    </row>
    <row r="259">
      <c r="A259" t="inlineStr">
        <is>
          <t>2022-07-13</t>
        </is>
      </c>
      <c r="B259" t="n">
        <v>1710</v>
      </c>
      <c r="C259" t="n">
        <v>1734.199951171875</v>
      </c>
      <c r="D259" t="n">
        <v>1710</v>
      </c>
      <c r="E259" t="n">
        <v>1734.199951171875</v>
      </c>
      <c r="F259" t="n">
        <v>368</v>
      </c>
    </row>
    <row r="260">
      <c r="A260" t="inlineStr">
        <is>
          <t>2022-07-14</t>
        </is>
      </c>
      <c r="B260" t="n">
        <v>1710.300048828125</v>
      </c>
      <c r="C260" t="n">
        <v>1710.5</v>
      </c>
      <c r="D260" t="n">
        <v>1704.5</v>
      </c>
      <c r="E260" t="n">
        <v>1704.5</v>
      </c>
      <c r="F260" t="n">
        <v>1289</v>
      </c>
    </row>
    <row r="261">
      <c r="A261" t="inlineStr">
        <is>
          <t>2022-07-15</t>
        </is>
      </c>
      <c r="B261" t="n">
        <v>1705.400024414062</v>
      </c>
      <c r="C261" t="n">
        <v>1709.699951171875</v>
      </c>
      <c r="D261" t="n">
        <v>1701.099975585938</v>
      </c>
      <c r="E261" t="n">
        <v>1702.400024414062</v>
      </c>
      <c r="F261" t="n">
        <v>721</v>
      </c>
    </row>
    <row r="262">
      <c r="A262" t="inlineStr">
        <is>
          <t>2022-07-18</t>
        </is>
      </c>
      <c r="B262" t="n">
        <v>1712.199951171875</v>
      </c>
      <c r="C262" t="n">
        <v>1712.400024414062</v>
      </c>
      <c r="D262" t="n">
        <v>1709.199951171875</v>
      </c>
      <c r="E262" t="n">
        <v>1709.199951171875</v>
      </c>
      <c r="F262" t="n">
        <v>264</v>
      </c>
    </row>
    <row r="263">
      <c r="A263" t="inlineStr">
        <is>
          <t>2022-07-19</t>
        </is>
      </c>
      <c r="B263" t="n">
        <v>1712.300048828125</v>
      </c>
      <c r="C263" t="n">
        <v>1714.400024414062</v>
      </c>
      <c r="D263" t="n">
        <v>1706.099975585938</v>
      </c>
      <c r="E263" t="n">
        <v>1710</v>
      </c>
      <c r="F263" t="n">
        <v>1684</v>
      </c>
    </row>
    <row r="264">
      <c r="A264" t="inlineStr">
        <is>
          <t>2022-07-20</t>
        </is>
      </c>
      <c r="B264" t="n">
        <v>1707.099975585938</v>
      </c>
      <c r="C264" t="n">
        <v>1708.5</v>
      </c>
      <c r="D264" t="n">
        <v>1699.5</v>
      </c>
      <c r="E264" t="n">
        <v>1699.5</v>
      </c>
      <c r="F264" t="n">
        <v>130</v>
      </c>
    </row>
    <row r="265">
      <c r="A265" t="inlineStr">
        <is>
          <t>2022-07-21</t>
        </is>
      </c>
      <c r="B265" t="n">
        <v>1687</v>
      </c>
      <c r="C265" t="n">
        <v>1715.5</v>
      </c>
      <c r="D265" t="n">
        <v>1679.800048828125</v>
      </c>
      <c r="E265" t="n">
        <v>1712.699951171875</v>
      </c>
      <c r="F265" t="n">
        <v>183</v>
      </c>
    </row>
    <row r="266">
      <c r="A266" t="inlineStr">
        <is>
          <t>2022-07-22</t>
        </is>
      </c>
      <c r="B266" t="n">
        <v>1713.300048828125</v>
      </c>
      <c r="C266" t="n">
        <v>1735</v>
      </c>
      <c r="D266" t="n">
        <v>1713</v>
      </c>
      <c r="E266" t="n">
        <v>1727.099975585938</v>
      </c>
      <c r="F266" t="n">
        <v>61</v>
      </c>
    </row>
    <row r="267">
      <c r="A267" t="inlineStr">
        <is>
          <t>2022-07-25</t>
        </is>
      </c>
      <c r="B267" t="n">
        <v>1727</v>
      </c>
      <c r="C267" t="n">
        <v>1732</v>
      </c>
      <c r="D267" t="n">
        <v>1719</v>
      </c>
      <c r="E267" t="n">
        <v>1719</v>
      </c>
      <c r="F267" t="n">
        <v>67</v>
      </c>
    </row>
    <row r="268">
      <c r="A268" t="inlineStr">
        <is>
          <t>2022-07-26</t>
        </is>
      </c>
      <c r="B268" t="n">
        <v>1718</v>
      </c>
      <c r="C268" t="n">
        <v>1718</v>
      </c>
      <c r="D268" t="n">
        <v>1717.699951171875</v>
      </c>
      <c r="E268" t="n">
        <v>1717.699951171875</v>
      </c>
      <c r="F268" t="n">
        <v>1</v>
      </c>
    </row>
    <row r="269">
      <c r="A269" t="inlineStr">
        <is>
          <t>2022-07-27</t>
        </is>
      </c>
      <c r="B269" t="n">
        <v>1719.099975585938</v>
      </c>
      <c r="C269" t="n">
        <v>1719.099975585938</v>
      </c>
      <c r="D269" t="n">
        <v>1719.099975585938</v>
      </c>
      <c r="E269" t="n">
        <v>1719.099975585938</v>
      </c>
      <c r="F269" t="n">
        <v>144865</v>
      </c>
    </row>
    <row r="270">
      <c r="A270" t="inlineStr">
        <is>
          <t>2022-07-28</t>
        </is>
      </c>
      <c r="B270" t="n">
        <v>1732.300048828125</v>
      </c>
      <c r="C270" t="n">
        <v>1755</v>
      </c>
      <c r="D270" t="n">
        <v>1732</v>
      </c>
      <c r="E270" t="n">
        <v>1750.300048828125</v>
      </c>
      <c r="F270" t="n">
        <v>37236</v>
      </c>
    </row>
    <row r="271">
      <c r="A271" t="inlineStr">
        <is>
          <t>2022-07-29</t>
        </is>
      </c>
      <c r="B271" t="n">
        <v>1754</v>
      </c>
      <c r="C271" t="n">
        <v>1765.699951171875</v>
      </c>
      <c r="D271" t="n">
        <v>1750</v>
      </c>
      <c r="E271" t="n">
        <v>1762.900024414062</v>
      </c>
      <c r="F271" t="n">
        <v>3485</v>
      </c>
    </row>
    <row r="272">
      <c r="A272" t="inlineStr">
        <is>
          <t>2022-08-01</t>
        </is>
      </c>
      <c r="B272" t="n">
        <v>1763.900024414062</v>
      </c>
      <c r="C272" t="n">
        <v>1772.5</v>
      </c>
      <c r="D272" t="n">
        <v>1756.099975585938</v>
      </c>
      <c r="E272" t="n">
        <v>1769</v>
      </c>
      <c r="F272" t="n">
        <v>705</v>
      </c>
    </row>
    <row r="273">
      <c r="A273" t="inlineStr">
        <is>
          <t>2022-08-02</t>
        </is>
      </c>
      <c r="B273" t="n">
        <v>1772.099975585938</v>
      </c>
      <c r="C273" t="n">
        <v>1786.599975585938</v>
      </c>
      <c r="D273" t="n">
        <v>1759.400024414062</v>
      </c>
      <c r="E273" t="n">
        <v>1771.099975585938</v>
      </c>
      <c r="F273" t="n">
        <v>1078</v>
      </c>
    </row>
    <row r="274">
      <c r="A274" t="inlineStr">
        <is>
          <t>2022-08-03</t>
        </is>
      </c>
      <c r="B274" t="n">
        <v>1756.699951171875</v>
      </c>
      <c r="C274" t="n">
        <v>1770.5</v>
      </c>
      <c r="D274" t="n">
        <v>1753</v>
      </c>
      <c r="E274" t="n">
        <v>1758</v>
      </c>
      <c r="F274" t="n">
        <v>399</v>
      </c>
    </row>
    <row r="275">
      <c r="A275" t="inlineStr">
        <is>
          <t>2022-08-04</t>
        </is>
      </c>
      <c r="B275" t="n">
        <v>1769.400024414062</v>
      </c>
      <c r="C275" t="n">
        <v>1792.099975585938</v>
      </c>
      <c r="D275" t="n">
        <v>1767.699951171875</v>
      </c>
      <c r="E275" t="n">
        <v>1788.5</v>
      </c>
      <c r="F275" t="n">
        <v>285</v>
      </c>
    </row>
    <row r="276">
      <c r="A276" t="inlineStr">
        <is>
          <t>2022-08-05</t>
        </is>
      </c>
      <c r="B276" t="n">
        <v>1791.199951171875</v>
      </c>
      <c r="C276" t="n">
        <v>1791.400024414062</v>
      </c>
      <c r="D276" t="n">
        <v>1764.199951171875</v>
      </c>
      <c r="E276" t="n">
        <v>1772.900024414062</v>
      </c>
      <c r="F276" t="n">
        <v>645</v>
      </c>
    </row>
    <row r="277">
      <c r="A277" t="inlineStr">
        <is>
          <t>2022-08-08</t>
        </is>
      </c>
      <c r="B277" t="n">
        <v>1771.800048828125</v>
      </c>
      <c r="C277" t="n">
        <v>1786.800048828125</v>
      </c>
      <c r="D277" t="n">
        <v>1771.800048828125</v>
      </c>
      <c r="E277" t="n">
        <v>1786.800048828125</v>
      </c>
      <c r="F277" t="n">
        <v>127</v>
      </c>
    </row>
    <row r="278">
      <c r="A278" t="inlineStr">
        <is>
          <t>2022-08-09</t>
        </is>
      </c>
      <c r="B278" t="n">
        <v>1790</v>
      </c>
      <c r="C278" t="n">
        <v>1796.099975585938</v>
      </c>
      <c r="D278" t="n">
        <v>1789</v>
      </c>
      <c r="E278" t="n">
        <v>1794</v>
      </c>
      <c r="F278" t="n">
        <v>249</v>
      </c>
    </row>
    <row r="279">
      <c r="A279" t="inlineStr">
        <is>
          <t>2022-08-10</t>
        </is>
      </c>
      <c r="B279" t="n">
        <v>1804.400024414062</v>
      </c>
      <c r="C279" t="n">
        <v>1804.900024414062</v>
      </c>
      <c r="D279" t="n">
        <v>1787.800048828125</v>
      </c>
      <c r="E279" t="n">
        <v>1795.599975585938</v>
      </c>
      <c r="F279" t="n">
        <v>601</v>
      </c>
    </row>
    <row r="280">
      <c r="A280" t="inlineStr">
        <is>
          <t>2022-08-11</t>
        </is>
      </c>
      <c r="B280" t="n">
        <v>1794.300048828125</v>
      </c>
      <c r="C280" t="n">
        <v>1794.300048828125</v>
      </c>
      <c r="D280" t="n">
        <v>1785.699951171875</v>
      </c>
      <c r="E280" t="n">
        <v>1789.699951171875</v>
      </c>
      <c r="F280" t="n">
        <v>1235</v>
      </c>
    </row>
    <row r="281">
      <c r="A281" t="inlineStr">
        <is>
          <t>2022-08-12</t>
        </is>
      </c>
      <c r="B281" t="n">
        <v>1786.300048828125</v>
      </c>
      <c r="C281" t="n">
        <v>1800.400024414062</v>
      </c>
      <c r="D281" t="n">
        <v>1784.300048828125</v>
      </c>
      <c r="E281" t="n">
        <v>1798.599975585938</v>
      </c>
      <c r="F281" t="n">
        <v>187</v>
      </c>
    </row>
    <row r="282">
      <c r="A282" t="inlineStr">
        <is>
          <t>2022-08-15</t>
        </is>
      </c>
      <c r="B282" t="n">
        <v>1799</v>
      </c>
      <c r="C282" t="n">
        <v>1799</v>
      </c>
      <c r="D282" t="n">
        <v>1774.699951171875</v>
      </c>
      <c r="E282" t="n">
        <v>1781.400024414062</v>
      </c>
      <c r="F282" t="n">
        <v>64</v>
      </c>
    </row>
    <row r="283">
      <c r="A283" t="inlineStr">
        <is>
          <t>2022-08-16</t>
        </is>
      </c>
      <c r="B283" t="n">
        <v>1777.400024414062</v>
      </c>
      <c r="C283" t="n">
        <v>1777.400024414062</v>
      </c>
      <c r="D283" t="n">
        <v>1771.400024414062</v>
      </c>
      <c r="E283" t="n">
        <v>1773.199951171875</v>
      </c>
      <c r="F283" t="n">
        <v>308</v>
      </c>
    </row>
    <row r="284">
      <c r="A284" t="inlineStr">
        <is>
          <t>2022-08-17</t>
        </is>
      </c>
      <c r="B284" t="n">
        <v>1769.699951171875</v>
      </c>
      <c r="C284" t="n">
        <v>1769.699951171875</v>
      </c>
      <c r="D284" t="n">
        <v>1760</v>
      </c>
      <c r="E284" t="n">
        <v>1760.300048828125</v>
      </c>
      <c r="F284" t="n">
        <v>23</v>
      </c>
    </row>
    <row r="285">
      <c r="A285" t="inlineStr">
        <is>
          <t>2022-08-18</t>
        </is>
      </c>
      <c r="B285" t="n">
        <v>1762.900024414062</v>
      </c>
      <c r="C285" t="n">
        <v>1762.900024414062</v>
      </c>
      <c r="D285" t="n">
        <v>1753.400024414062</v>
      </c>
      <c r="E285" t="n">
        <v>1755.300048828125</v>
      </c>
      <c r="F285" t="n">
        <v>321</v>
      </c>
    </row>
    <row r="286">
      <c r="A286" t="inlineStr">
        <is>
          <t>2022-08-19</t>
        </is>
      </c>
      <c r="B286" t="n">
        <v>1753.699951171875</v>
      </c>
      <c r="C286" t="n">
        <v>1754.300048828125</v>
      </c>
      <c r="D286" t="n">
        <v>1747.5</v>
      </c>
      <c r="E286" t="n">
        <v>1747.599975585938</v>
      </c>
      <c r="F286" t="n">
        <v>49</v>
      </c>
    </row>
    <row r="287">
      <c r="A287" t="inlineStr">
        <is>
          <t>2022-08-22</t>
        </is>
      </c>
      <c r="B287" t="n">
        <v>1740.5</v>
      </c>
      <c r="C287" t="n">
        <v>1740.5</v>
      </c>
      <c r="D287" t="n">
        <v>1726.5</v>
      </c>
      <c r="E287" t="n">
        <v>1734</v>
      </c>
      <c r="F287" t="n">
        <v>347</v>
      </c>
    </row>
    <row r="288">
      <c r="A288" t="inlineStr">
        <is>
          <t>2022-08-23</t>
        </is>
      </c>
      <c r="B288" t="n">
        <v>1738</v>
      </c>
      <c r="C288" t="n">
        <v>1748.900024414062</v>
      </c>
      <c r="D288" t="n">
        <v>1731.900024414062</v>
      </c>
      <c r="E288" t="n">
        <v>1746.800048828125</v>
      </c>
      <c r="F288" t="n">
        <v>509</v>
      </c>
    </row>
    <row r="289">
      <c r="A289" t="inlineStr">
        <is>
          <t>2022-08-24</t>
        </is>
      </c>
      <c r="B289" t="n">
        <v>1745</v>
      </c>
      <c r="C289" t="n">
        <v>1751.800048828125</v>
      </c>
      <c r="D289" t="n">
        <v>1743.599975585938</v>
      </c>
      <c r="E289" t="n">
        <v>1747.800048828125</v>
      </c>
      <c r="F289" t="n">
        <v>187</v>
      </c>
    </row>
    <row r="290">
      <c r="A290" t="inlineStr">
        <is>
          <t>2022-08-25</t>
        </is>
      </c>
      <c r="B290" t="n">
        <v>1761.599975585938</v>
      </c>
      <c r="C290" t="n">
        <v>1761.800048828125</v>
      </c>
      <c r="D290" t="n">
        <v>1755</v>
      </c>
      <c r="E290" t="n">
        <v>1757.699951171875</v>
      </c>
      <c r="F290" t="n">
        <v>172</v>
      </c>
    </row>
    <row r="291">
      <c r="A291" t="inlineStr">
        <is>
          <t>2022-08-26</t>
        </is>
      </c>
      <c r="B291" t="n">
        <v>1754</v>
      </c>
      <c r="C291" t="n">
        <v>1755</v>
      </c>
      <c r="D291" t="n">
        <v>1736.099975585938</v>
      </c>
      <c r="E291" t="n">
        <v>1736.099975585938</v>
      </c>
      <c r="F291" t="n">
        <v>202</v>
      </c>
    </row>
    <row r="292">
      <c r="A292" t="inlineStr">
        <is>
          <t>2022-08-29</t>
        </is>
      </c>
      <c r="B292" t="n">
        <v>1732.400024414062</v>
      </c>
      <c r="C292" t="n">
        <v>1741.199951171875</v>
      </c>
      <c r="D292" t="n">
        <v>1732.099975585938</v>
      </c>
      <c r="E292" t="n">
        <v>1736.599975585938</v>
      </c>
      <c r="F292" t="n">
        <v>950</v>
      </c>
    </row>
    <row r="293">
      <c r="A293" t="inlineStr">
        <is>
          <t>2022-08-30</t>
        </is>
      </c>
      <c r="B293" t="n">
        <v>1736.400024414062</v>
      </c>
      <c r="C293" t="n">
        <v>1739</v>
      </c>
      <c r="D293" t="n">
        <v>1720.699951171875</v>
      </c>
      <c r="E293" t="n">
        <v>1723.199951171875</v>
      </c>
      <c r="F293" t="n">
        <v>385</v>
      </c>
    </row>
    <row r="294">
      <c r="A294" t="inlineStr">
        <is>
          <t>2022-08-31</t>
        </is>
      </c>
      <c r="B294" t="n">
        <v>1718.300048828125</v>
      </c>
      <c r="C294" t="n">
        <v>1720.900024414062</v>
      </c>
      <c r="D294" t="n">
        <v>1708.5</v>
      </c>
      <c r="E294" t="n">
        <v>1712.800048828125</v>
      </c>
      <c r="F294" t="n">
        <v>2133</v>
      </c>
    </row>
    <row r="295">
      <c r="A295" t="inlineStr">
        <is>
          <t>2022-09-01</t>
        </is>
      </c>
      <c r="B295" t="n">
        <v>1707.900024414062</v>
      </c>
      <c r="C295" t="n">
        <v>1707.900024414062</v>
      </c>
      <c r="D295" t="n">
        <v>1693.900024414062</v>
      </c>
      <c r="E295" t="n">
        <v>1696.599975585938</v>
      </c>
      <c r="F295" t="n">
        <v>683</v>
      </c>
    </row>
    <row r="296">
      <c r="A296" t="inlineStr">
        <is>
          <t>2022-09-02</t>
        </is>
      </c>
      <c r="B296" t="n">
        <v>1703.400024414062</v>
      </c>
      <c r="C296" t="n">
        <v>1715.699951171875</v>
      </c>
      <c r="D296" t="n">
        <v>1703.099975585938</v>
      </c>
      <c r="E296" t="n">
        <v>1709.800048828125</v>
      </c>
      <c r="F296" t="n">
        <v>182</v>
      </c>
    </row>
    <row r="297">
      <c r="A297" t="inlineStr">
        <is>
          <t>2022-09-06</t>
        </is>
      </c>
      <c r="B297" t="n">
        <v>1709.699951171875</v>
      </c>
      <c r="C297" t="n">
        <v>1717.400024414062</v>
      </c>
      <c r="D297" t="n">
        <v>1699.699951171875</v>
      </c>
      <c r="E297" t="n">
        <v>1700.400024414062</v>
      </c>
      <c r="F297" t="n">
        <v>697</v>
      </c>
    </row>
    <row r="298">
      <c r="A298" t="inlineStr">
        <is>
          <t>2022-09-07</t>
        </is>
      </c>
      <c r="B298" t="n">
        <v>1694.800048828125</v>
      </c>
      <c r="C298" t="n">
        <v>1715.300048828125</v>
      </c>
      <c r="D298" t="n">
        <v>1694.699951171875</v>
      </c>
      <c r="E298" t="n">
        <v>1715.300048828125</v>
      </c>
      <c r="F298" t="n">
        <v>651</v>
      </c>
    </row>
    <row r="299">
      <c r="A299" t="inlineStr">
        <is>
          <t>2022-09-08</t>
        </is>
      </c>
      <c r="B299" t="n">
        <v>1718.199951171875</v>
      </c>
      <c r="C299" t="n">
        <v>1718.199951171875</v>
      </c>
      <c r="D299" t="n">
        <v>1705.300048828125</v>
      </c>
      <c r="E299" t="n">
        <v>1708</v>
      </c>
      <c r="F299" t="n">
        <v>1193</v>
      </c>
    </row>
    <row r="300">
      <c r="A300" t="inlineStr">
        <is>
          <t>2022-09-09</t>
        </is>
      </c>
      <c r="B300" t="n">
        <v>1719.199951171875</v>
      </c>
      <c r="C300" t="n">
        <v>1720</v>
      </c>
      <c r="D300" t="n">
        <v>1712.800048828125</v>
      </c>
      <c r="E300" t="n">
        <v>1716.199951171875</v>
      </c>
      <c r="F300" t="n">
        <v>635</v>
      </c>
    </row>
    <row r="301">
      <c r="A301" t="inlineStr">
        <is>
          <t>2022-09-12</t>
        </is>
      </c>
      <c r="B301" t="n">
        <v>1727.400024414062</v>
      </c>
      <c r="C301" t="n">
        <v>1728.099975585938</v>
      </c>
      <c r="D301" t="n">
        <v>1727.400024414062</v>
      </c>
      <c r="E301" t="n">
        <v>1728.099975585938</v>
      </c>
      <c r="F301" t="n">
        <v>68</v>
      </c>
    </row>
    <row r="302">
      <c r="A302" t="inlineStr">
        <is>
          <t>2022-09-13</t>
        </is>
      </c>
      <c r="B302" t="n">
        <v>1720.5</v>
      </c>
      <c r="C302" t="n">
        <v>1720.5</v>
      </c>
      <c r="D302" t="n">
        <v>1697.300048828125</v>
      </c>
      <c r="E302" t="n">
        <v>1705</v>
      </c>
      <c r="F302" t="n">
        <v>432</v>
      </c>
    </row>
    <row r="303">
      <c r="A303" t="inlineStr">
        <is>
          <t>2022-09-14</t>
        </is>
      </c>
      <c r="B303" t="n">
        <v>1698.699951171875</v>
      </c>
      <c r="C303" t="n">
        <v>1701.800048828125</v>
      </c>
      <c r="D303" t="n">
        <v>1696.5</v>
      </c>
      <c r="E303" t="n">
        <v>1696.5</v>
      </c>
      <c r="F303" t="n">
        <v>532</v>
      </c>
    </row>
    <row r="304">
      <c r="A304" t="inlineStr">
        <is>
          <t>2022-09-15</t>
        </is>
      </c>
      <c r="B304" t="n">
        <v>1685.5</v>
      </c>
      <c r="C304" t="n">
        <v>1686</v>
      </c>
      <c r="D304" t="n">
        <v>1662.300048828125</v>
      </c>
      <c r="E304" t="n">
        <v>1665.400024414062</v>
      </c>
      <c r="F304" t="n">
        <v>1125</v>
      </c>
    </row>
    <row r="305">
      <c r="A305" t="inlineStr">
        <is>
          <t>2022-09-16</t>
        </is>
      </c>
      <c r="B305" t="n">
        <v>1660.400024414062</v>
      </c>
      <c r="C305" t="n">
        <v>1674.900024414062</v>
      </c>
      <c r="D305" t="n">
        <v>1651.699951171875</v>
      </c>
      <c r="E305" t="n">
        <v>1671.699951171875</v>
      </c>
      <c r="F305" t="n">
        <v>464</v>
      </c>
    </row>
    <row r="306">
      <c r="A306" t="inlineStr">
        <is>
          <t>2022-09-19</t>
        </is>
      </c>
      <c r="B306" t="n">
        <v>1661.800048828125</v>
      </c>
      <c r="C306" t="n">
        <v>1669.400024414062</v>
      </c>
      <c r="D306" t="n">
        <v>1658.5</v>
      </c>
      <c r="E306" t="n">
        <v>1666.199951171875</v>
      </c>
      <c r="F306" t="n">
        <v>580</v>
      </c>
    </row>
    <row r="307">
      <c r="A307" t="inlineStr">
        <is>
          <t>2022-09-20</t>
        </is>
      </c>
      <c r="B307" t="n">
        <v>1659.699951171875</v>
      </c>
      <c r="C307" t="n">
        <v>1659.699951171875</v>
      </c>
      <c r="D307" t="n">
        <v>1659.699951171875</v>
      </c>
      <c r="E307" t="n">
        <v>1659.699951171875</v>
      </c>
      <c r="F307" t="n">
        <v>2830</v>
      </c>
    </row>
    <row r="308">
      <c r="A308" t="inlineStr">
        <is>
          <t>2022-09-21</t>
        </is>
      </c>
      <c r="B308" t="n">
        <v>1665.5</v>
      </c>
      <c r="C308" t="n">
        <v>1680.099975585938</v>
      </c>
      <c r="D308" t="n">
        <v>1664.599975585938</v>
      </c>
      <c r="E308" t="n">
        <v>1664.599975585938</v>
      </c>
      <c r="F308" t="n">
        <v>2337</v>
      </c>
    </row>
    <row r="309">
      <c r="A309" t="inlineStr">
        <is>
          <t>2022-09-22</t>
        </is>
      </c>
      <c r="B309" t="n">
        <v>1668.300048828125</v>
      </c>
      <c r="C309" t="n">
        <v>1670.800048828125</v>
      </c>
      <c r="D309" t="n">
        <v>1668.300048828125</v>
      </c>
      <c r="E309" t="n">
        <v>1670.800048828125</v>
      </c>
      <c r="F309" t="n">
        <v>973</v>
      </c>
    </row>
    <row r="310">
      <c r="A310" t="inlineStr">
        <is>
          <t>2022-09-23</t>
        </is>
      </c>
      <c r="B310" t="n">
        <v>1667</v>
      </c>
      <c r="C310" t="n">
        <v>1667</v>
      </c>
      <c r="D310" t="n">
        <v>1645.300048828125</v>
      </c>
      <c r="E310" t="n">
        <v>1645.300048828125</v>
      </c>
      <c r="F310" t="n">
        <v>1224</v>
      </c>
    </row>
    <row r="311">
      <c r="A311" t="inlineStr">
        <is>
          <t>2022-09-26</t>
        </is>
      </c>
      <c r="B311" t="n">
        <v>1623.300048828125</v>
      </c>
      <c r="C311" t="n">
        <v>1623.300048828125</v>
      </c>
      <c r="D311" t="n">
        <v>1623.300048828125</v>
      </c>
      <c r="E311" t="n">
        <v>1623.300048828125</v>
      </c>
      <c r="F311" t="n">
        <v>1205</v>
      </c>
    </row>
    <row r="312">
      <c r="A312" t="inlineStr">
        <is>
          <t>2022-09-27</t>
        </is>
      </c>
      <c r="B312" t="n">
        <v>1632.199951171875</v>
      </c>
      <c r="C312" t="n">
        <v>1636.599975585938</v>
      </c>
      <c r="D312" t="n">
        <v>1626.699951171875</v>
      </c>
      <c r="E312" t="n">
        <v>1626.699951171875</v>
      </c>
      <c r="F312" t="n">
        <v>888</v>
      </c>
    </row>
    <row r="313">
      <c r="A313" t="inlineStr">
        <is>
          <t>2022-09-28</t>
        </is>
      </c>
      <c r="B313" t="n">
        <v>1620.400024414062</v>
      </c>
      <c r="C313" t="n">
        <v>1660.400024414062</v>
      </c>
      <c r="D313" t="n">
        <v>1620.400024414062</v>
      </c>
      <c r="E313" t="n">
        <v>1660.400024414062</v>
      </c>
      <c r="F313" t="n">
        <v>18311</v>
      </c>
    </row>
    <row r="314">
      <c r="A314" t="inlineStr">
        <is>
          <t>2022-09-29</t>
        </is>
      </c>
      <c r="B314" t="n">
        <v>1657</v>
      </c>
      <c r="C314" t="n">
        <v>1662.599975585938</v>
      </c>
      <c r="D314" t="n">
        <v>1640</v>
      </c>
      <c r="E314" t="n">
        <v>1658.5</v>
      </c>
      <c r="F314" t="n">
        <v>6028</v>
      </c>
    </row>
    <row r="315">
      <c r="A315" t="inlineStr">
        <is>
          <t>2022-09-30</t>
        </is>
      </c>
      <c r="B315" t="n">
        <v>1661.699951171875</v>
      </c>
      <c r="C315" t="n">
        <v>1672.699951171875</v>
      </c>
      <c r="D315" t="n">
        <v>1658</v>
      </c>
      <c r="E315" t="n">
        <v>1662.400024414062</v>
      </c>
      <c r="F315" t="n">
        <v>548</v>
      </c>
    </row>
    <row r="316">
      <c r="A316" t="inlineStr">
        <is>
          <t>2022-10-03</t>
        </is>
      </c>
      <c r="B316" t="n">
        <v>1667.199951171875</v>
      </c>
      <c r="C316" t="n">
        <v>1700</v>
      </c>
      <c r="D316" t="n">
        <v>1661.900024414062</v>
      </c>
      <c r="E316" t="n">
        <v>1692.900024414062</v>
      </c>
      <c r="F316" t="n">
        <v>410</v>
      </c>
    </row>
    <row r="317">
      <c r="A317" t="inlineStr">
        <is>
          <t>2022-10-04</t>
        </is>
      </c>
      <c r="B317" t="n">
        <v>1701.199951171875</v>
      </c>
      <c r="C317" t="n">
        <v>1728</v>
      </c>
      <c r="D317" t="n">
        <v>1696</v>
      </c>
      <c r="E317" t="n">
        <v>1721.099975585938</v>
      </c>
      <c r="F317" t="n">
        <v>291</v>
      </c>
    </row>
    <row r="318">
      <c r="A318" t="inlineStr">
        <is>
          <t>2022-10-05</t>
        </is>
      </c>
      <c r="B318" t="n">
        <v>1724.099975585938</v>
      </c>
      <c r="C318" t="n">
        <v>1726.599975585938</v>
      </c>
      <c r="D318" t="n">
        <v>1703</v>
      </c>
      <c r="E318" t="n">
        <v>1711.400024414062</v>
      </c>
      <c r="F318" t="n">
        <v>418</v>
      </c>
    </row>
    <row r="319">
      <c r="A319" t="inlineStr">
        <is>
          <t>2022-10-06</t>
        </is>
      </c>
      <c r="B319" t="n">
        <v>1721</v>
      </c>
      <c r="C319" t="n">
        <v>1723.300048828125</v>
      </c>
      <c r="D319" t="n">
        <v>1709.099975585938</v>
      </c>
      <c r="E319" t="n">
        <v>1711.699951171875</v>
      </c>
      <c r="F319" t="n">
        <v>133</v>
      </c>
    </row>
    <row r="320">
      <c r="A320" t="inlineStr">
        <is>
          <t>2022-10-07</t>
        </is>
      </c>
      <c r="B320" t="n">
        <v>1710.099975585938</v>
      </c>
      <c r="C320" t="n">
        <v>1710.099975585938</v>
      </c>
      <c r="D320" t="n">
        <v>1693.699951171875</v>
      </c>
      <c r="E320" t="n">
        <v>1700.5</v>
      </c>
      <c r="F320" t="n">
        <v>179</v>
      </c>
    </row>
    <row r="321">
      <c r="A321" t="inlineStr">
        <is>
          <t>2022-10-10</t>
        </is>
      </c>
      <c r="B321" t="n">
        <v>1693.400024414062</v>
      </c>
      <c r="C321" t="n">
        <v>1693.400024414062</v>
      </c>
      <c r="D321" t="n">
        <v>1667</v>
      </c>
      <c r="E321" t="n">
        <v>1667.300048828125</v>
      </c>
      <c r="F321" t="n">
        <v>195</v>
      </c>
    </row>
    <row r="322">
      <c r="A322" t="inlineStr">
        <is>
          <t>2022-10-11</t>
        </is>
      </c>
      <c r="B322" t="n">
        <v>1661.800048828125</v>
      </c>
      <c r="C322" t="n">
        <v>1678.699951171875</v>
      </c>
      <c r="D322" t="n">
        <v>1661</v>
      </c>
      <c r="E322" t="n">
        <v>1678.699951171875</v>
      </c>
      <c r="F322" t="n">
        <v>167</v>
      </c>
    </row>
    <row r="323">
      <c r="A323" t="inlineStr">
        <is>
          <t>2022-10-12</t>
        </is>
      </c>
      <c r="B323" t="n">
        <v>1668</v>
      </c>
      <c r="C323" t="n">
        <v>1672.699951171875</v>
      </c>
      <c r="D323" t="n">
        <v>1668</v>
      </c>
      <c r="E323" t="n">
        <v>1670.300048828125</v>
      </c>
      <c r="F323" t="n">
        <v>149</v>
      </c>
    </row>
    <row r="324">
      <c r="A324" t="inlineStr">
        <is>
          <t>2022-10-13</t>
        </is>
      </c>
      <c r="B324" t="n">
        <v>1675.199951171875</v>
      </c>
      <c r="C324" t="n">
        <v>1675.300048828125</v>
      </c>
      <c r="D324" t="n">
        <v>1641.5</v>
      </c>
      <c r="E324" t="n">
        <v>1670</v>
      </c>
      <c r="F324" t="n">
        <v>729</v>
      </c>
    </row>
    <row r="325">
      <c r="A325" t="inlineStr">
        <is>
          <t>2022-10-14</t>
        </is>
      </c>
      <c r="B325" t="n">
        <v>1665.300048828125</v>
      </c>
      <c r="C325" t="n">
        <v>1667</v>
      </c>
      <c r="D325" t="n">
        <v>1640</v>
      </c>
      <c r="E325" t="n">
        <v>1641.699951171875</v>
      </c>
      <c r="F325" t="n">
        <v>82</v>
      </c>
    </row>
    <row r="326">
      <c r="A326" t="inlineStr">
        <is>
          <t>2022-10-17</t>
        </is>
      </c>
      <c r="B326" t="n">
        <v>1650.199951171875</v>
      </c>
      <c r="C326" t="n">
        <v>1657</v>
      </c>
      <c r="D326" t="n">
        <v>1646.800048828125</v>
      </c>
      <c r="E326" t="n">
        <v>1657</v>
      </c>
      <c r="F326" t="n">
        <v>238</v>
      </c>
    </row>
    <row r="327">
      <c r="A327" t="inlineStr">
        <is>
          <t>2022-10-18</t>
        </is>
      </c>
      <c r="B327" t="n">
        <v>1651.400024414062</v>
      </c>
      <c r="C327" t="n">
        <v>1655.199951171875</v>
      </c>
      <c r="D327" t="n">
        <v>1649</v>
      </c>
      <c r="E327" t="n">
        <v>1649</v>
      </c>
      <c r="F327" t="n">
        <v>597</v>
      </c>
    </row>
    <row r="328">
      <c r="A328" t="inlineStr">
        <is>
          <t>2022-10-19</t>
        </is>
      </c>
      <c r="B328" t="n">
        <v>1637.5</v>
      </c>
      <c r="C328" t="n">
        <v>1637.5</v>
      </c>
      <c r="D328" t="n">
        <v>1627.5</v>
      </c>
      <c r="E328" t="n">
        <v>1627.5</v>
      </c>
      <c r="F328" t="n">
        <v>84</v>
      </c>
    </row>
    <row r="329">
      <c r="A329" t="inlineStr">
        <is>
          <t>2022-10-20</t>
        </is>
      </c>
      <c r="B329" t="n">
        <v>1622.800048828125</v>
      </c>
      <c r="C329" t="n">
        <v>1641.400024414062</v>
      </c>
      <c r="D329" t="n">
        <v>1622.800048828125</v>
      </c>
      <c r="E329" t="n">
        <v>1630.800048828125</v>
      </c>
      <c r="F329" t="n">
        <v>477</v>
      </c>
    </row>
    <row r="330">
      <c r="A330" t="inlineStr">
        <is>
          <t>2022-10-21</t>
        </is>
      </c>
      <c r="B330" t="n">
        <v>1634.099975585938</v>
      </c>
      <c r="C330" t="n">
        <v>1653.900024414062</v>
      </c>
      <c r="D330" t="n">
        <v>1634.099975585938</v>
      </c>
      <c r="E330" t="n">
        <v>1651</v>
      </c>
      <c r="F330" t="n">
        <v>224</v>
      </c>
    </row>
    <row r="331">
      <c r="A331" t="inlineStr">
        <is>
          <t>2022-10-24</t>
        </is>
      </c>
      <c r="B331" t="n">
        <v>1662.699951171875</v>
      </c>
      <c r="C331" t="n">
        <v>1662.699951171875</v>
      </c>
      <c r="D331" t="n">
        <v>1648.699951171875</v>
      </c>
      <c r="E331" t="n">
        <v>1648.699951171875</v>
      </c>
      <c r="F331" t="n">
        <v>29</v>
      </c>
    </row>
    <row r="332">
      <c r="A332" t="inlineStr">
        <is>
          <t>2022-10-25</t>
        </is>
      </c>
      <c r="B332" t="n">
        <v>1648.199951171875</v>
      </c>
      <c r="C332" t="n">
        <v>1652.800048828125</v>
      </c>
      <c r="D332" t="n">
        <v>1637.300048828125</v>
      </c>
      <c r="E332" t="n">
        <v>1652.800048828125</v>
      </c>
      <c r="F332" t="n">
        <v>880</v>
      </c>
    </row>
    <row r="333">
      <c r="A333" t="inlineStr">
        <is>
          <t>2022-10-26</t>
        </is>
      </c>
      <c r="B333" t="n">
        <v>1649.800048828125</v>
      </c>
      <c r="C333" t="n">
        <v>1667</v>
      </c>
      <c r="D333" t="n">
        <v>1649.800048828125</v>
      </c>
      <c r="E333" t="n">
        <v>1664</v>
      </c>
      <c r="F333" t="n">
        <v>89</v>
      </c>
    </row>
    <row r="334">
      <c r="A334" t="inlineStr">
        <is>
          <t>2022-10-27</t>
        </is>
      </c>
      <c r="B334" t="n">
        <v>1660.699951171875</v>
      </c>
      <c r="C334" t="n">
        <v>1660.699951171875</v>
      </c>
      <c r="D334" t="n">
        <v>1660.699951171875</v>
      </c>
      <c r="E334" t="n">
        <v>1660.699951171875</v>
      </c>
      <c r="F334" t="n">
        <v>2298</v>
      </c>
    </row>
    <row r="335">
      <c r="A335" t="inlineStr">
        <is>
          <t>2022-10-28</t>
        </is>
      </c>
      <c r="B335" t="n">
        <v>1661</v>
      </c>
      <c r="C335" t="n">
        <v>1661</v>
      </c>
      <c r="D335" t="n">
        <v>1638.699951171875</v>
      </c>
      <c r="E335" t="n">
        <v>1639.599975585938</v>
      </c>
      <c r="F335" t="n">
        <v>626</v>
      </c>
    </row>
    <row r="336">
      <c r="A336" t="inlineStr">
        <is>
          <t>2022-10-31</t>
        </is>
      </c>
      <c r="B336" t="n">
        <v>1641.800048828125</v>
      </c>
      <c r="C336" t="n">
        <v>1641.800048828125</v>
      </c>
      <c r="D336" t="n">
        <v>1633.400024414062</v>
      </c>
      <c r="E336" t="n">
        <v>1635.900024414062</v>
      </c>
      <c r="F336" t="n">
        <v>522</v>
      </c>
    </row>
    <row r="337">
      <c r="A337" t="inlineStr">
        <is>
          <t>2022-11-01</t>
        </is>
      </c>
      <c r="B337" t="n">
        <v>1630.800048828125</v>
      </c>
      <c r="C337" t="n">
        <v>1653.699951171875</v>
      </c>
      <c r="D337" t="n">
        <v>1630.800048828125</v>
      </c>
      <c r="E337" t="n">
        <v>1645</v>
      </c>
      <c r="F337" t="n">
        <v>985</v>
      </c>
    </row>
    <row r="338">
      <c r="A338" t="inlineStr">
        <is>
          <t>2022-11-02</t>
        </is>
      </c>
      <c r="B338" t="n">
        <v>1650.800048828125</v>
      </c>
      <c r="C338" t="n">
        <v>1664.699951171875</v>
      </c>
      <c r="D338" t="n">
        <v>1634</v>
      </c>
      <c r="E338" t="n">
        <v>1645.699951171875</v>
      </c>
      <c r="F338" t="n">
        <v>612</v>
      </c>
    </row>
    <row r="339">
      <c r="A339" t="inlineStr">
        <is>
          <t>2022-11-03</t>
        </is>
      </c>
      <c r="B339" t="n">
        <v>1629.199951171875</v>
      </c>
      <c r="C339" t="n">
        <v>1629.199951171875</v>
      </c>
      <c r="D339" t="n">
        <v>1615.099975585938</v>
      </c>
      <c r="E339" t="n">
        <v>1627.300048828125</v>
      </c>
      <c r="F339" t="n">
        <v>1427</v>
      </c>
    </row>
    <row r="340">
      <c r="A340" t="inlineStr">
        <is>
          <t>2022-11-04</t>
        </is>
      </c>
      <c r="B340" t="n">
        <v>1630.199951171875</v>
      </c>
      <c r="C340" t="n">
        <v>1674.5</v>
      </c>
      <c r="D340" t="n">
        <v>1629</v>
      </c>
      <c r="E340" t="n">
        <v>1672.5</v>
      </c>
      <c r="F340" t="n">
        <v>159</v>
      </c>
    </row>
    <row r="341">
      <c r="A341" t="inlineStr">
        <is>
          <t>2022-11-07</t>
        </is>
      </c>
      <c r="B341" t="n">
        <v>1676.900024414062</v>
      </c>
      <c r="C341" t="n">
        <v>1677.900024414062</v>
      </c>
      <c r="D341" t="n">
        <v>1672.900024414062</v>
      </c>
      <c r="E341" t="n">
        <v>1676.5</v>
      </c>
      <c r="F341" t="n">
        <v>42</v>
      </c>
    </row>
    <row r="342">
      <c r="A342" t="inlineStr">
        <is>
          <t>2022-11-08</t>
        </is>
      </c>
      <c r="B342" t="n">
        <v>1703.199951171875</v>
      </c>
      <c r="C342" t="n">
        <v>1712.099975585938</v>
      </c>
      <c r="D342" t="n">
        <v>1703.199951171875</v>
      </c>
      <c r="E342" t="n">
        <v>1712.099975585938</v>
      </c>
      <c r="F342" t="n">
        <v>23</v>
      </c>
    </row>
    <row r="343">
      <c r="A343" t="inlineStr">
        <is>
          <t>2022-11-09</t>
        </is>
      </c>
      <c r="B343" t="n">
        <v>1707.400024414062</v>
      </c>
      <c r="C343" t="n">
        <v>1720.199951171875</v>
      </c>
      <c r="D343" t="n">
        <v>1706</v>
      </c>
      <c r="E343" t="n">
        <v>1710.099975585938</v>
      </c>
      <c r="F343" t="n">
        <v>497</v>
      </c>
    </row>
    <row r="344">
      <c r="A344" t="inlineStr">
        <is>
          <t>2022-11-10</t>
        </is>
      </c>
      <c r="B344" t="n">
        <v>1708.199951171875</v>
      </c>
      <c r="C344" t="n">
        <v>1750.300048828125</v>
      </c>
      <c r="D344" t="n">
        <v>1708.199951171875</v>
      </c>
      <c r="E344" t="n">
        <v>1750.300048828125</v>
      </c>
      <c r="F344" t="n">
        <v>325</v>
      </c>
    </row>
    <row r="345">
      <c r="A345" t="inlineStr">
        <is>
          <t>2022-11-11</t>
        </is>
      </c>
      <c r="B345" t="n">
        <v>1763.800048828125</v>
      </c>
      <c r="C345" t="n">
        <v>1766</v>
      </c>
      <c r="D345" t="n">
        <v>1757.599975585938</v>
      </c>
      <c r="E345" t="n">
        <v>1766</v>
      </c>
      <c r="F345" t="n">
        <v>257</v>
      </c>
    </row>
    <row r="346">
      <c r="A346" t="inlineStr">
        <is>
          <t>2022-11-14</t>
        </is>
      </c>
      <c r="B346" t="n">
        <v>1762</v>
      </c>
      <c r="C346" t="n">
        <v>1773.599975585938</v>
      </c>
      <c r="D346" t="n">
        <v>1761.599975585938</v>
      </c>
      <c r="E346" t="n">
        <v>1773.599975585938</v>
      </c>
      <c r="F346" t="n">
        <v>358</v>
      </c>
    </row>
    <row r="347">
      <c r="A347" t="inlineStr">
        <is>
          <t>2022-11-15</t>
        </is>
      </c>
      <c r="B347" t="n">
        <v>1770.800048828125</v>
      </c>
      <c r="C347" t="n">
        <v>1773.800048828125</v>
      </c>
      <c r="D347" t="n">
        <v>1769.900024414062</v>
      </c>
      <c r="E347" t="n">
        <v>1773.800048828125</v>
      </c>
      <c r="F347" t="n">
        <v>57</v>
      </c>
    </row>
    <row r="348">
      <c r="A348" t="inlineStr">
        <is>
          <t>2022-11-16</t>
        </is>
      </c>
      <c r="B348" t="n">
        <v>1776.599975585938</v>
      </c>
      <c r="C348" t="n">
        <v>1778.900024414062</v>
      </c>
      <c r="D348" t="n">
        <v>1773</v>
      </c>
      <c r="E348" t="n">
        <v>1773</v>
      </c>
      <c r="F348" t="n">
        <v>303</v>
      </c>
    </row>
    <row r="349">
      <c r="A349" t="inlineStr">
        <is>
          <t>2022-11-17</t>
        </is>
      </c>
      <c r="B349" t="n">
        <v>1763</v>
      </c>
      <c r="C349" t="n">
        <v>1763</v>
      </c>
      <c r="D349" t="n">
        <v>1756</v>
      </c>
      <c r="E349" t="n">
        <v>1760.800048828125</v>
      </c>
      <c r="F349" t="n">
        <v>18</v>
      </c>
    </row>
    <row r="350">
      <c r="A350" t="inlineStr">
        <is>
          <t>2022-11-18</t>
        </is>
      </c>
      <c r="B350" t="n">
        <v>1763.300048828125</v>
      </c>
      <c r="C350" t="n">
        <v>1763.300048828125</v>
      </c>
      <c r="D350" t="n">
        <v>1747.599975585938</v>
      </c>
      <c r="E350" t="n">
        <v>1751.900024414062</v>
      </c>
      <c r="F350" t="n">
        <v>414</v>
      </c>
    </row>
    <row r="351">
      <c r="A351" t="inlineStr">
        <is>
          <t>2022-11-21</t>
        </is>
      </c>
      <c r="B351" t="n">
        <v>1739</v>
      </c>
      <c r="C351" t="n">
        <v>1744.900024414062</v>
      </c>
      <c r="D351" t="n">
        <v>1736.099975585938</v>
      </c>
      <c r="E351" t="n">
        <v>1737.400024414062</v>
      </c>
      <c r="F351" t="n">
        <v>544</v>
      </c>
    </row>
    <row r="352">
      <c r="A352" t="inlineStr">
        <is>
          <t>2022-11-22</t>
        </is>
      </c>
      <c r="B352" t="n">
        <v>1741.699951171875</v>
      </c>
      <c r="C352" t="n">
        <v>1741.699951171875</v>
      </c>
      <c r="D352" t="n">
        <v>1738.300048828125</v>
      </c>
      <c r="E352" t="n">
        <v>1738.300048828125</v>
      </c>
      <c r="F352" t="n">
        <v>15</v>
      </c>
    </row>
    <row r="353">
      <c r="A353" t="inlineStr">
        <is>
          <t>2022-11-23</t>
        </is>
      </c>
      <c r="B353" t="n">
        <v>1736.5</v>
      </c>
      <c r="C353" t="n">
        <v>1750.900024414062</v>
      </c>
      <c r="D353" t="n">
        <v>1736.5</v>
      </c>
      <c r="E353" t="n">
        <v>1744.900024414062</v>
      </c>
      <c r="F353" t="n">
        <v>39</v>
      </c>
    </row>
    <row r="354">
      <c r="A354" t="inlineStr">
        <is>
          <t>2022-11-25</t>
        </is>
      </c>
      <c r="B354" t="n">
        <v>1753</v>
      </c>
      <c r="C354" t="n">
        <v>1757.900024414062</v>
      </c>
      <c r="D354" t="n">
        <v>1749.199951171875</v>
      </c>
      <c r="E354" t="n">
        <v>1753.300048828125</v>
      </c>
      <c r="F354" t="n">
        <v>216</v>
      </c>
    </row>
    <row r="355">
      <c r="A355" t="inlineStr">
        <is>
          <t>2022-11-28</t>
        </is>
      </c>
      <c r="B355" t="n">
        <v>1741.300048828125</v>
      </c>
      <c r="C355" t="n">
        <v>1741.300048828125</v>
      </c>
      <c r="D355" t="n">
        <v>1740.099975585938</v>
      </c>
      <c r="E355" t="n">
        <v>1740.099975585938</v>
      </c>
      <c r="F355" t="n">
        <v>132767</v>
      </c>
    </row>
    <row r="356">
      <c r="A356" t="inlineStr">
        <is>
          <t>2022-11-29</t>
        </is>
      </c>
      <c r="B356" t="n">
        <v>1739.5</v>
      </c>
      <c r="C356" t="n">
        <v>1758.199951171875</v>
      </c>
      <c r="D356" t="n">
        <v>1737.900024414062</v>
      </c>
      <c r="E356" t="n">
        <v>1748.400024414062</v>
      </c>
      <c r="F356" t="n">
        <v>19416</v>
      </c>
    </row>
    <row r="357">
      <c r="A357" t="inlineStr">
        <is>
          <t>2022-11-30</t>
        </is>
      </c>
      <c r="B357" t="n">
        <v>1748.099975585938</v>
      </c>
      <c r="C357" t="n">
        <v>1769.400024414062</v>
      </c>
      <c r="D357" t="n">
        <v>1745.099975585938</v>
      </c>
      <c r="E357" t="n">
        <v>1746</v>
      </c>
      <c r="F357" t="n">
        <v>3339</v>
      </c>
    </row>
    <row r="358">
      <c r="A358" t="inlineStr">
        <is>
          <t>2022-12-01</t>
        </is>
      </c>
      <c r="B358" t="n">
        <v>1768.699951171875</v>
      </c>
      <c r="C358" t="n">
        <v>1803.699951171875</v>
      </c>
      <c r="D358" t="n">
        <v>1768.699951171875</v>
      </c>
      <c r="E358" t="n">
        <v>1801.099975585938</v>
      </c>
      <c r="F358" t="n">
        <v>1053</v>
      </c>
    </row>
    <row r="359">
      <c r="A359" t="inlineStr">
        <is>
          <t>2022-12-02</t>
        </is>
      </c>
      <c r="B359" t="n">
        <v>1802</v>
      </c>
      <c r="C359" t="n">
        <v>1802.300048828125</v>
      </c>
      <c r="D359" t="n">
        <v>1779.400024414062</v>
      </c>
      <c r="E359" t="n">
        <v>1795.900024414062</v>
      </c>
      <c r="F359" t="n">
        <v>1725</v>
      </c>
    </row>
    <row r="360">
      <c r="A360" t="inlineStr">
        <is>
          <t>2022-12-05</t>
        </is>
      </c>
      <c r="B360" t="n">
        <v>1795.699951171875</v>
      </c>
      <c r="C360" t="n">
        <v>1808</v>
      </c>
      <c r="D360" t="n">
        <v>1764.300048828125</v>
      </c>
      <c r="E360" t="n">
        <v>1767.400024414062</v>
      </c>
      <c r="F360" t="n">
        <v>1713</v>
      </c>
    </row>
    <row r="361">
      <c r="A361" t="inlineStr">
        <is>
          <t>2022-12-06</t>
        </is>
      </c>
      <c r="B361" t="n">
        <v>1768.599975585938</v>
      </c>
      <c r="C361" t="n">
        <v>1779.400024414062</v>
      </c>
      <c r="D361" t="n">
        <v>1767.900024414062</v>
      </c>
      <c r="E361" t="n">
        <v>1769.300048828125</v>
      </c>
      <c r="F361" t="n">
        <v>105</v>
      </c>
    </row>
    <row r="362">
      <c r="A362" t="inlineStr">
        <is>
          <t>2022-12-07</t>
        </is>
      </c>
      <c r="B362" t="n">
        <v>1769.300048828125</v>
      </c>
      <c r="C362" t="n">
        <v>1790.300048828125</v>
      </c>
      <c r="D362" t="n">
        <v>1769.300048828125</v>
      </c>
      <c r="E362" t="n">
        <v>1785.5</v>
      </c>
      <c r="F362" t="n">
        <v>422</v>
      </c>
    </row>
    <row r="363">
      <c r="A363" t="inlineStr">
        <is>
          <t>2022-12-08</t>
        </is>
      </c>
      <c r="B363" t="n">
        <v>1782</v>
      </c>
      <c r="C363" t="n">
        <v>1790.900024414062</v>
      </c>
      <c r="D363" t="n">
        <v>1782</v>
      </c>
      <c r="E363" t="n">
        <v>1788.699951171875</v>
      </c>
      <c r="F363" t="n">
        <v>713</v>
      </c>
    </row>
    <row r="364">
      <c r="A364" t="inlineStr">
        <is>
          <t>2022-12-09</t>
        </is>
      </c>
      <c r="B364" t="n">
        <v>1794.900024414062</v>
      </c>
      <c r="C364" t="n">
        <v>1804.300048828125</v>
      </c>
      <c r="D364" t="n">
        <v>1791.099975585938</v>
      </c>
      <c r="E364" t="n">
        <v>1798.099975585938</v>
      </c>
      <c r="F364" t="n">
        <v>125</v>
      </c>
    </row>
    <row r="365">
      <c r="A365" t="inlineStr">
        <is>
          <t>2022-12-12</t>
        </is>
      </c>
      <c r="B365" t="n">
        <v>1787.300048828125</v>
      </c>
      <c r="C365" t="n">
        <v>1793.900024414062</v>
      </c>
      <c r="D365" t="n">
        <v>1777.699951171875</v>
      </c>
      <c r="E365" t="n">
        <v>1780.5</v>
      </c>
      <c r="F365" t="n">
        <v>85</v>
      </c>
    </row>
    <row r="366">
      <c r="A366" t="inlineStr">
        <is>
          <t>2022-12-13</t>
        </is>
      </c>
      <c r="B366" t="n">
        <v>1780.699951171875</v>
      </c>
      <c r="C366" t="n">
        <v>1819.800048828125</v>
      </c>
      <c r="D366" t="n">
        <v>1780.5</v>
      </c>
      <c r="E366" t="n">
        <v>1813.900024414062</v>
      </c>
      <c r="F366" t="n">
        <v>205</v>
      </c>
    </row>
    <row r="367">
      <c r="A367" t="inlineStr">
        <is>
          <t>2022-12-14</t>
        </is>
      </c>
      <c r="B367" t="n">
        <v>1810.800048828125</v>
      </c>
      <c r="C367" t="n">
        <v>1812.800048828125</v>
      </c>
      <c r="D367" t="n">
        <v>1797.900024414062</v>
      </c>
      <c r="E367" t="n">
        <v>1807.5</v>
      </c>
      <c r="F367" t="n">
        <v>1074</v>
      </c>
    </row>
    <row r="368">
      <c r="A368" t="inlineStr">
        <is>
          <t>2022-12-15</t>
        </is>
      </c>
      <c r="B368" t="n">
        <v>1801</v>
      </c>
      <c r="C368" t="n">
        <v>1801</v>
      </c>
      <c r="D368" t="n">
        <v>1774.800048828125</v>
      </c>
      <c r="E368" t="n">
        <v>1777.199951171875</v>
      </c>
      <c r="F368" t="n">
        <v>421</v>
      </c>
    </row>
    <row r="369">
      <c r="A369" t="inlineStr">
        <is>
          <t>2022-12-16</t>
        </is>
      </c>
      <c r="B369" t="n">
        <v>1777.900024414062</v>
      </c>
      <c r="C369" t="n">
        <v>1791.400024414062</v>
      </c>
      <c r="D369" t="n">
        <v>1777.900024414062</v>
      </c>
      <c r="E369" t="n">
        <v>1790</v>
      </c>
      <c r="F369" t="n">
        <v>206</v>
      </c>
    </row>
    <row r="370">
      <c r="A370" t="inlineStr">
        <is>
          <t>2022-12-19</t>
        </is>
      </c>
      <c r="B370" t="n">
        <v>1791.599975585938</v>
      </c>
      <c r="C370" t="n">
        <v>1796.300048828125</v>
      </c>
      <c r="D370" t="n">
        <v>1785.599975585938</v>
      </c>
      <c r="E370" t="n">
        <v>1787.699951171875</v>
      </c>
      <c r="F370" t="n">
        <v>79</v>
      </c>
    </row>
    <row r="371">
      <c r="A371" t="inlineStr">
        <is>
          <t>2022-12-20</t>
        </is>
      </c>
      <c r="B371" t="n">
        <v>1786.5</v>
      </c>
      <c r="C371" t="n">
        <v>1821.400024414062</v>
      </c>
      <c r="D371" t="n">
        <v>1786.5</v>
      </c>
      <c r="E371" t="n">
        <v>1815.900024414062</v>
      </c>
      <c r="F371" t="n">
        <v>51</v>
      </c>
    </row>
    <row r="372">
      <c r="A372" t="inlineStr">
        <is>
          <t>2022-12-21</t>
        </is>
      </c>
      <c r="B372" t="n">
        <v>1817.400024414062</v>
      </c>
      <c r="C372" t="n">
        <v>1821.400024414062</v>
      </c>
      <c r="D372" t="n">
        <v>1814.400024414062</v>
      </c>
      <c r="E372" t="n">
        <v>1815.900024414062</v>
      </c>
      <c r="F372" t="n">
        <v>35</v>
      </c>
    </row>
    <row r="373">
      <c r="A373" t="inlineStr">
        <is>
          <t>2022-12-22</t>
        </is>
      </c>
      <c r="B373" t="n">
        <v>1818.099975585938</v>
      </c>
      <c r="C373" t="n">
        <v>1818.099975585938</v>
      </c>
      <c r="D373" t="n">
        <v>1785</v>
      </c>
      <c r="E373" t="n">
        <v>1787</v>
      </c>
      <c r="F373" t="n">
        <v>411</v>
      </c>
    </row>
    <row r="374">
      <c r="A374" t="inlineStr">
        <is>
          <t>2022-12-23</t>
        </is>
      </c>
      <c r="B374" t="n">
        <v>1794.300048828125</v>
      </c>
      <c r="C374" t="n">
        <v>1802.800048828125</v>
      </c>
      <c r="D374" t="n">
        <v>1794.099975585938</v>
      </c>
      <c r="E374" t="n">
        <v>1795.900024414062</v>
      </c>
      <c r="F374" t="n">
        <v>49</v>
      </c>
    </row>
    <row r="375">
      <c r="A375" t="inlineStr">
        <is>
          <t>2022-12-27</t>
        </is>
      </c>
      <c r="B375" t="n">
        <v>1803.400024414062</v>
      </c>
      <c r="C375" t="n">
        <v>1826.300048828125</v>
      </c>
      <c r="D375" t="n">
        <v>1803.400024414062</v>
      </c>
      <c r="E375" t="n">
        <v>1814.800048828125</v>
      </c>
      <c r="F375" t="n">
        <v>69</v>
      </c>
    </row>
    <row r="376">
      <c r="A376" t="inlineStr">
        <is>
          <t>2022-12-28</t>
        </is>
      </c>
      <c r="B376" t="n">
        <v>1803.199951171875</v>
      </c>
      <c r="C376" t="n">
        <v>1807.900024414062</v>
      </c>
      <c r="D376" t="n">
        <v>1803.099975585938</v>
      </c>
      <c r="E376" t="n">
        <v>1807.900024414062</v>
      </c>
      <c r="F376" t="n">
        <v>434</v>
      </c>
    </row>
    <row r="377">
      <c r="A377" t="inlineStr">
        <is>
          <t>2022-12-29</t>
        </is>
      </c>
      <c r="B377" t="n">
        <v>1805.800048828125</v>
      </c>
      <c r="C377" t="n">
        <v>1819.5</v>
      </c>
      <c r="D377" t="n">
        <v>1805.800048828125</v>
      </c>
      <c r="E377" t="n">
        <v>1819.5</v>
      </c>
      <c r="F377" t="n">
        <v>277</v>
      </c>
    </row>
    <row r="378">
      <c r="A378" t="inlineStr">
        <is>
          <t>2022-12-30</t>
        </is>
      </c>
      <c r="B378" t="n">
        <v>1817</v>
      </c>
      <c r="C378" t="n">
        <v>1822.300048828125</v>
      </c>
      <c r="D378" t="n">
        <v>1816.800048828125</v>
      </c>
      <c r="E378" t="n">
        <v>1819.699951171875</v>
      </c>
      <c r="F378" t="n">
        <v>95</v>
      </c>
    </row>
    <row r="379">
      <c r="A379" t="inlineStr">
        <is>
          <t>2023-01-03</t>
        </is>
      </c>
      <c r="B379" t="n">
        <v>1836.199951171875</v>
      </c>
      <c r="C379" t="n">
        <v>1839.699951171875</v>
      </c>
      <c r="D379" t="n">
        <v>1836.199951171875</v>
      </c>
      <c r="E379" t="n">
        <v>1839.699951171875</v>
      </c>
      <c r="F379" t="n">
        <v>29</v>
      </c>
    </row>
    <row r="380">
      <c r="A380" t="inlineStr">
        <is>
          <t>2023-01-04</t>
        </is>
      </c>
      <c r="B380" t="n">
        <v>1845.599975585938</v>
      </c>
      <c r="C380" t="n">
        <v>1859.099975585938</v>
      </c>
      <c r="D380" t="n">
        <v>1845.599975585938</v>
      </c>
      <c r="E380" t="n">
        <v>1852.800048828125</v>
      </c>
      <c r="F380" t="n">
        <v>25</v>
      </c>
    </row>
    <row r="381">
      <c r="A381" t="inlineStr">
        <is>
          <t>2023-01-05</t>
        </is>
      </c>
      <c r="B381" t="n">
        <v>1855.199951171875</v>
      </c>
      <c r="C381" t="n">
        <v>1855.199951171875</v>
      </c>
      <c r="D381" t="n">
        <v>1834.800048828125</v>
      </c>
      <c r="E381" t="n">
        <v>1834.800048828125</v>
      </c>
      <c r="F381" t="n">
        <v>24</v>
      </c>
    </row>
    <row r="382">
      <c r="A382" t="inlineStr">
        <is>
          <t>2023-01-06</t>
        </is>
      </c>
      <c r="B382" t="n">
        <v>1838.400024414062</v>
      </c>
      <c r="C382" t="n">
        <v>1868.199951171875</v>
      </c>
      <c r="D382" t="n">
        <v>1835.300048828125</v>
      </c>
      <c r="E382" t="n">
        <v>1864.199951171875</v>
      </c>
      <c r="F382" t="n">
        <v>26</v>
      </c>
    </row>
    <row r="383">
      <c r="A383" t="inlineStr">
        <is>
          <t>2023-01-09</t>
        </is>
      </c>
      <c r="B383" t="n">
        <v>1867</v>
      </c>
      <c r="C383" t="n">
        <v>1880</v>
      </c>
      <c r="D383" t="n">
        <v>1867</v>
      </c>
      <c r="E383" t="n">
        <v>1872.699951171875</v>
      </c>
      <c r="F383" t="n">
        <v>62</v>
      </c>
    </row>
    <row r="384">
      <c r="A384" t="inlineStr">
        <is>
          <t>2023-01-10</t>
        </is>
      </c>
      <c r="B384" t="n">
        <v>1877.800048828125</v>
      </c>
      <c r="C384" t="n">
        <v>1878.099975585938</v>
      </c>
      <c r="D384" t="n">
        <v>1871.599975585938</v>
      </c>
      <c r="E384" t="n">
        <v>1871.599975585938</v>
      </c>
      <c r="F384" t="n">
        <v>101</v>
      </c>
    </row>
    <row r="385">
      <c r="A385" t="inlineStr">
        <is>
          <t>2023-01-11</t>
        </is>
      </c>
      <c r="B385" t="n">
        <v>1873.099975585938</v>
      </c>
      <c r="C385" t="n">
        <v>1877.800048828125</v>
      </c>
      <c r="D385" t="n">
        <v>1873.099975585938</v>
      </c>
      <c r="E385" t="n">
        <v>1874.599975585938</v>
      </c>
      <c r="F385" t="n">
        <v>1236</v>
      </c>
    </row>
    <row r="386">
      <c r="A386" t="inlineStr">
        <is>
          <t>2023-01-12</t>
        </is>
      </c>
      <c r="B386" t="n">
        <v>1877.199951171875</v>
      </c>
      <c r="C386" t="n">
        <v>1897.400024414062</v>
      </c>
      <c r="D386" t="n">
        <v>1877.199951171875</v>
      </c>
      <c r="E386" t="n">
        <v>1895.5</v>
      </c>
      <c r="F386" t="n">
        <v>59</v>
      </c>
    </row>
    <row r="387">
      <c r="A387" t="inlineStr">
        <is>
          <t>2023-01-13</t>
        </is>
      </c>
      <c r="B387" t="n">
        <v>1899</v>
      </c>
      <c r="C387" t="n">
        <v>1920.900024414062</v>
      </c>
      <c r="D387" t="n">
        <v>1898.300048828125</v>
      </c>
      <c r="E387" t="n">
        <v>1918.400024414062</v>
      </c>
      <c r="F387" t="n">
        <v>512</v>
      </c>
    </row>
    <row r="388">
      <c r="A388" t="inlineStr">
        <is>
          <t>2023-01-17</t>
        </is>
      </c>
      <c r="B388" t="n">
        <v>1920.099975585938</v>
      </c>
      <c r="C388" t="n">
        <v>1920.099975585938</v>
      </c>
      <c r="D388" t="n">
        <v>1905.199951171875</v>
      </c>
      <c r="E388" t="n">
        <v>1907.199951171875</v>
      </c>
      <c r="F388" t="n">
        <v>706</v>
      </c>
    </row>
    <row r="389">
      <c r="A389" t="inlineStr">
        <is>
          <t>2023-01-18</t>
        </is>
      </c>
      <c r="B389" t="n">
        <v>1911.099975585938</v>
      </c>
      <c r="C389" t="n">
        <v>1911.099975585938</v>
      </c>
      <c r="D389" t="n">
        <v>1903.099975585938</v>
      </c>
      <c r="E389" t="n">
        <v>1904.400024414062</v>
      </c>
      <c r="F389" t="n">
        <v>1027</v>
      </c>
    </row>
    <row r="390">
      <c r="A390" t="inlineStr">
        <is>
          <t>2023-01-19</t>
        </is>
      </c>
      <c r="B390" t="n">
        <v>1922.099975585938</v>
      </c>
      <c r="C390" t="n">
        <v>1931.800048828125</v>
      </c>
      <c r="D390" t="n">
        <v>1922.099975585938</v>
      </c>
      <c r="E390" t="n">
        <v>1922.099975585938</v>
      </c>
      <c r="F390" t="n">
        <v>371</v>
      </c>
    </row>
    <row r="391">
      <c r="A391" t="inlineStr">
        <is>
          <t>2023-01-20</t>
        </is>
      </c>
      <c r="B391" t="n">
        <v>1922.099975585938</v>
      </c>
      <c r="C391" t="n">
        <v>1928.5</v>
      </c>
      <c r="D391" t="n">
        <v>1921.400024414062</v>
      </c>
      <c r="E391" t="n">
        <v>1926.400024414062</v>
      </c>
      <c r="F391" t="n">
        <v>1346</v>
      </c>
    </row>
    <row r="392">
      <c r="A392" t="inlineStr">
        <is>
          <t>2023-01-23</t>
        </is>
      </c>
      <c r="B392" t="n">
        <v>1926.5</v>
      </c>
      <c r="C392" t="n">
        <v>1927.099975585938</v>
      </c>
      <c r="D392" t="n">
        <v>1915</v>
      </c>
      <c r="E392" t="n">
        <v>1927.099975585938</v>
      </c>
      <c r="F392" t="n">
        <v>218</v>
      </c>
    </row>
    <row r="393">
      <c r="A393" t="inlineStr">
        <is>
          <t>2023-01-24</t>
        </is>
      </c>
      <c r="B393" t="n">
        <v>1931.800048828125</v>
      </c>
      <c r="C393" t="n">
        <v>1936.800048828125</v>
      </c>
      <c r="D393" t="n">
        <v>1931.800048828125</v>
      </c>
      <c r="E393" t="n">
        <v>1933.900024414062</v>
      </c>
      <c r="F393" t="n">
        <v>201</v>
      </c>
    </row>
    <row r="394">
      <c r="A394" t="inlineStr">
        <is>
          <t>2023-01-25</t>
        </is>
      </c>
      <c r="B394" t="n">
        <v>1941.199951171875</v>
      </c>
      <c r="C394" t="n">
        <v>1941.199951171875</v>
      </c>
      <c r="D394" t="n">
        <v>1939.800048828125</v>
      </c>
      <c r="E394" t="n">
        <v>1941.199951171875</v>
      </c>
      <c r="F394" t="n">
        <v>7</v>
      </c>
    </row>
    <row r="395">
      <c r="A395" t="inlineStr">
        <is>
          <t>2023-01-26</t>
        </is>
      </c>
      <c r="B395" t="n">
        <v>1936.599975585938</v>
      </c>
      <c r="C395" t="n">
        <v>1937.099975585938</v>
      </c>
      <c r="D395" t="n">
        <v>1927.099975585938</v>
      </c>
      <c r="E395" t="n">
        <v>1929.099975585938</v>
      </c>
      <c r="F395" t="n">
        <v>131</v>
      </c>
    </row>
    <row r="396">
      <c r="A396" t="inlineStr">
        <is>
          <t>2023-01-27</t>
        </is>
      </c>
      <c r="B396" t="n">
        <v>1928.599975585938</v>
      </c>
      <c r="C396" t="n">
        <v>1928.599975585938</v>
      </c>
      <c r="D396" t="n">
        <v>1928.599975585938</v>
      </c>
      <c r="E396" t="n">
        <v>1928.599975585938</v>
      </c>
      <c r="F396" t="n">
        <v>150902</v>
      </c>
    </row>
    <row r="397">
      <c r="A397" t="inlineStr">
        <is>
          <t>2023-01-30</t>
        </is>
      </c>
      <c r="B397" t="n">
        <v>1928.300048828125</v>
      </c>
      <c r="C397" t="n">
        <v>1933.599975585938</v>
      </c>
      <c r="D397" t="n">
        <v>1920.300048828125</v>
      </c>
      <c r="E397" t="n">
        <v>1922.900024414062</v>
      </c>
      <c r="F397" t="n">
        <v>27220</v>
      </c>
    </row>
    <row r="398">
      <c r="A398" t="inlineStr">
        <is>
          <t>2023-01-31</t>
        </is>
      </c>
      <c r="B398" t="n">
        <v>1923</v>
      </c>
      <c r="C398" t="n">
        <v>1930.400024414062</v>
      </c>
      <c r="D398" t="n">
        <v>1900.599975585938</v>
      </c>
      <c r="E398" t="n">
        <v>1929.5</v>
      </c>
      <c r="F398" t="n">
        <v>1910</v>
      </c>
    </row>
    <row r="399">
      <c r="A399" t="inlineStr">
        <is>
          <t>2023-02-01</t>
        </is>
      </c>
      <c r="B399" t="n">
        <v>1927.199951171875</v>
      </c>
      <c r="C399" t="n">
        <v>1955</v>
      </c>
      <c r="D399" t="n">
        <v>1922</v>
      </c>
      <c r="E399" t="n">
        <v>1927.800048828125</v>
      </c>
      <c r="F399" t="n">
        <v>2290</v>
      </c>
    </row>
    <row r="400">
      <c r="A400" t="inlineStr">
        <is>
          <t>2023-02-02</t>
        </is>
      </c>
      <c r="B400" t="n">
        <v>1952.300048828125</v>
      </c>
      <c r="C400" t="n">
        <v>1959.099975585938</v>
      </c>
      <c r="D400" t="n">
        <v>1911.300048828125</v>
      </c>
      <c r="E400" t="n">
        <v>1916.300048828125</v>
      </c>
      <c r="F400" t="n">
        <v>748</v>
      </c>
    </row>
    <row r="401">
      <c r="A401" t="inlineStr">
        <is>
          <t>2023-02-03</t>
        </is>
      </c>
      <c r="B401" t="n">
        <v>1912.400024414062</v>
      </c>
      <c r="C401" t="n">
        <v>1917</v>
      </c>
      <c r="D401" t="n">
        <v>1861.5</v>
      </c>
      <c r="E401" t="n">
        <v>1862.900024414062</v>
      </c>
      <c r="F401" t="n">
        <v>992</v>
      </c>
    </row>
    <row r="402">
      <c r="A402" t="inlineStr">
        <is>
          <t>2023-02-06</t>
        </is>
      </c>
      <c r="B402" t="n">
        <v>1865.599975585938</v>
      </c>
      <c r="C402" t="n">
        <v>1880</v>
      </c>
      <c r="D402" t="n">
        <v>1863.400024414062</v>
      </c>
      <c r="E402" t="n">
        <v>1866.199951171875</v>
      </c>
      <c r="F402" t="n">
        <v>424</v>
      </c>
    </row>
    <row r="403">
      <c r="A403" t="inlineStr">
        <is>
          <t>2023-02-07</t>
        </is>
      </c>
      <c r="B403" t="n">
        <v>1870</v>
      </c>
      <c r="C403" t="n">
        <v>1875.699951171875</v>
      </c>
      <c r="D403" t="n">
        <v>1868</v>
      </c>
      <c r="E403" t="n">
        <v>1871.699951171875</v>
      </c>
      <c r="F403" t="n">
        <v>297</v>
      </c>
    </row>
    <row r="404">
      <c r="A404" t="inlineStr">
        <is>
          <t>2023-02-08</t>
        </is>
      </c>
      <c r="B404" t="n">
        <v>1872.099975585938</v>
      </c>
      <c r="C404" t="n">
        <v>1880.400024414062</v>
      </c>
      <c r="D404" t="n">
        <v>1872.099975585938</v>
      </c>
      <c r="E404" t="n">
        <v>1877.400024414062</v>
      </c>
      <c r="F404" t="n">
        <v>230</v>
      </c>
    </row>
    <row r="405">
      <c r="A405" t="inlineStr">
        <is>
          <t>2023-02-09</t>
        </is>
      </c>
      <c r="B405" t="n">
        <v>1875.300048828125</v>
      </c>
      <c r="C405" t="n">
        <v>1884.599975585938</v>
      </c>
      <c r="D405" t="n">
        <v>1859.800048828125</v>
      </c>
      <c r="E405" t="n">
        <v>1866.199951171875</v>
      </c>
      <c r="F405" t="n">
        <v>223</v>
      </c>
    </row>
    <row r="406">
      <c r="A406" t="inlineStr">
        <is>
          <t>2023-02-10</t>
        </is>
      </c>
      <c r="B406" t="n">
        <v>1861.599975585938</v>
      </c>
      <c r="C406" t="n">
        <v>1863.5</v>
      </c>
      <c r="D406" t="n">
        <v>1852.400024414062</v>
      </c>
      <c r="E406" t="n">
        <v>1862.800048828125</v>
      </c>
      <c r="F406" t="n">
        <v>27</v>
      </c>
    </row>
    <row r="407">
      <c r="A407" t="inlineStr">
        <is>
          <t>2023-02-13</t>
        </is>
      </c>
      <c r="B407" t="n">
        <v>1859</v>
      </c>
      <c r="C407" t="n">
        <v>1861</v>
      </c>
      <c r="D407" t="n">
        <v>1850</v>
      </c>
      <c r="E407" t="n">
        <v>1851.900024414062</v>
      </c>
      <c r="F407" t="n">
        <v>569</v>
      </c>
    </row>
    <row r="408">
      <c r="A408" t="inlineStr">
        <is>
          <t>2023-02-14</t>
        </is>
      </c>
      <c r="B408" t="n">
        <v>1854.099975585938</v>
      </c>
      <c r="C408" t="n">
        <v>1862</v>
      </c>
      <c r="D408" t="n">
        <v>1846.199951171875</v>
      </c>
      <c r="E408" t="n">
        <v>1854</v>
      </c>
      <c r="F408" t="n">
        <v>656</v>
      </c>
    </row>
    <row r="409">
      <c r="A409" t="inlineStr">
        <is>
          <t>2023-02-15</t>
        </is>
      </c>
      <c r="B409" t="n">
        <v>1842</v>
      </c>
      <c r="C409" t="n">
        <v>1842</v>
      </c>
      <c r="D409" t="n">
        <v>1828.199951171875</v>
      </c>
      <c r="E409" t="n">
        <v>1834.199951171875</v>
      </c>
      <c r="F409" t="n">
        <v>368</v>
      </c>
    </row>
    <row r="410">
      <c r="A410" t="inlineStr">
        <is>
          <t>2023-02-16</t>
        </is>
      </c>
      <c r="B410" t="n">
        <v>1838.599975585938</v>
      </c>
      <c r="C410" t="n">
        <v>1843.699951171875</v>
      </c>
      <c r="D410" t="n">
        <v>1827.199951171875</v>
      </c>
      <c r="E410" t="n">
        <v>1842</v>
      </c>
      <c r="F410" t="n">
        <v>222</v>
      </c>
    </row>
    <row r="411">
      <c r="A411" t="inlineStr">
        <is>
          <t>2023-02-17</t>
        </is>
      </c>
      <c r="B411" t="n">
        <v>1827.400024414062</v>
      </c>
      <c r="C411" t="n">
        <v>1842.199951171875</v>
      </c>
      <c r="D411" t="n">
        <v>1818.400024414062</v>
      </c>
      <c r="E411" t="n">
        <v>1840.400024414062</v>
      </c>
      <c r="F411" t="n">
        <v>35</v>
      </c>
    </row>
    <row r="412">
      <c r="A412" t="inlineStr">
        <is>
          <t>2023-02-21</t>
        </is>
      </c>
      <c r="B412" t="n">
        <v>1842.599975585938</v>
      </c>
      <c r="C412" t="n">
        <v>1843</v>
      </c>
      <c r="D412" t="n">
        <v>1833</v>
      </c>
      <c r="E412" t="n">
        <v>1833</v>
      </c>
      <c r="F412" t="n">
        <v>862</v>
      </c>
    </row>
    <row r="413">
      <c r="A413" t="inlineStr">
        <is>
          <t>2023-02-22</t>
        </is>
      </c>
      <c r="B413" t="n">
        <v>1835.699951171875</v>
      </c>
      <c r="C413" t="n">
        <v>1836.199951171875</v>
      </c>
      <c r="D413" t="n">
        <v>1825.099975585938</v>
      </c>
      <c r="E413" t="n">
        <v>1832</v>
      </c>
      <c r="F413" t="n">
        <v>278</v>
      </c>
    </row>
    <row r="414">
      <c r="A414" t="inlineStr">
        <is>
          <t>2023-02-23</t>
        </is>
      </c>
      <c r="B414" t="n">
        <v>1826.400024414062</v>
      </c>
      <c r="C414" t="n">
        <v>1827.5</v>
      </c>
      <c r="D414" t="n">
        <v>1818</v>
      </c>
      <c r="E414" t="n">
        <v>1818</v>
      </c>
      <c r="F414" t="n">
        <v>291</v>
      </c>
    </row>
    <row r="415">
      <c r="A415" t="inlineStr">
        <is>
          <t>2023-02-24</t>
        </is>
      </c>
      <c r="B415" t="n">
        <v>1808.800048828125</v>
      </c>
      <c r="C415" t="n">
        <v>1808.800048828125</v>
      </c>
      <c r="D415" t="n">
        <v>1808.800048828125</v>
      </c>
      <c r="E415" t="n">
        <v>1808.800048828125</v>
      </c>
      <c r="F415" t="n">
        <v>404</v>
      </c>
    </row>
    <row r="416">
      <c r="A416" t="inlineStr">
        <is>
          <t>2023-02-27</t>
        </is>
      </c>
      <c r="B416" t="n">
        <v>1811.599975585938</v>
      </c>
      <c r="C416" t="n">
        <v>1817.5</v>
      </c>
      <c r="D416" t="n">
        <v>1808.900024414062</v>
      </c>
      <c r="E416" t="n">
        <v>1817</v>
      </c>
      <c r="F416" t="n">
        <v>829</v>
      </c>
    </row>
    <row r="417">
      <c r="A417" t="inlineStr">
        <is>
          <t>2023-02-28</t>
        </is>
      </c>
      <c r="B417" t="n">
        <v>1808.099975585938</v>
      </c>
      <c r="C417" t="n">
        <v>1830</v>
      </c>
      <c r="D417" t="n">
        <v>1808.099975585938</v>
      </c>
      <c r="E417" t="n">
        <v>1828.900024414062</v>
      </c>
      <c r="F417" t="n">
        <v>618</v>
      </c>
    </row>
    <row r="418">
      <c r="A418" t="inlineStr">
        <is>
          <t>2023-03-01</t>
        </is>
      </c>
      <c r="B418" t="n">
        <v>1827.099975585938</v>
      </c>
      <c r="C418" t="n">
        <v>1841.699951171875</v>
      </c>
      <c r="D418" t="n">
        <v>1827.099975585938</v>
      </c>
      <c r="E418" t="n">
        <v>1837.699951171875</v>
      </c>
      <c r="F418" t="n">
        <v>211</v>
      </c>
    </row>
    <row r="419">
      <c r="A419" t="inlineStr">
        <is>
          <t>2023-03-02</t>
        </is>
      </c>
      <c r="B419" t="n">
        <v>1830</v>
      </c>
      <c r="C419" t="n">
        <v>1836.300048828125</v>
      </c>
      <c r="D419" t="n">
        <v>1830</v>
      </c>
      <c r="E419" t="n">
        <v>1833.5</v>
      </c>
      <c r="F419" t="n">
        <v>154</v>
      </c>
    </row>
    <row r="420">
      <c r="A420" t="inlineStr">
        <is>
          <t>2023-03-03</t>
        </is>
      </c>
      <c r="B420" t="n">
        <v>1837.300048828125</v>
      </c>
      <c r="C420" t="n">
        <v>1855.400024414062</v>
      </c>
      <c r="D420" t="n">
        <v>1837.300048828125</v>
      </c>
      <c r="E420" t="n">
        <v>1847.699951171875</v>
      </c>
      <c r="F420" t="n">
        <v>61</v>
      </c>
    </row>
    <row r="421">
      <c r="A421" t="inlineStr">
        <is>
          <t>2023-03-06</t>
        </is>
      </c>
      <c r="B421" t="n">
        <v>1853.300048828125</v>
      </c>
      <c r="C421" t="n">
        <v>1853.800048828125</v>
      </c>
      <c r="D421" t="n">
        <v>1844.199951171875</v>
      </c>
      <c r="E421" t="n">
        <v>1847.900024414062</v>
      </c>
      <c r="F421" t="n">
        <v>5</v>
      </c>
    </row>
    <row r="422">
      <c r="A422" t="inlineStr">
        <is>
          <t>2023-03-07</t>
        </is>
      </c>
      <c r="B422" t="n">
        <v>1840.900024414062</v>
      </c>
      <c r="C422" t="n">
        <v>1840.900024414062</v>
      </c>
      <c r="D422" t="n">
        <v>1813.900024414062</v>
      </c>
      <c r="E422" t="n">
        <v>1813.900024414062</v>
      </c>
      <c r="F422" t="n">
        <v>450</v>
      </c>
    </row>
    <row r="423">
      <c r="A423" t="inlineStr">
        <is>
          <t>2023-03-08</t>
        </is>
      </c>
      <c r="B423" t="n">
        <v>1811.599975585938</v>
      </c>
      <c r="C423" t="n">
        <v>1812.900024414062</v>
      </c>
      <c r="D423" t="n">
        <v>1811.5</v>
      </c>
      <c r="E423" t="n">
        <v>1812.699951171875</v>
      </c>
      <c r="F423" t="n">
        <v>75</v>
      </c>
    </row>
    <row r="424">
      <c r="A424" t="inlineStr">
        <is>
          <t>2023-03-09</t>
        </is>
      </c>
      <c r="B424" t="n">
        <v>1816.400024414062</v>
      </c>
      <c r="C424" t="n">
        <v>1829.300048828125</v>
      </c>
      <c r="D424" t="n">
        <v>1815.599975585938</v>
      </c>
      <c r="E424" t="n">
        <v>1829.300048828125</v>
      </c>
      <c r="F424" t="n">
        <v>332</v>
      </c>
    </row>
    <row r="425">
      <c r="A425" t="inlineStr">
        <is>
          <t>2023-03-10</t>
        </is>
      </c>
      <c r="B425" t="n">
        <v>1852.300048828125</v>
      </c>
      <c r="C425" t="n">
        <v>1868.5</v>
      </c>
      <c r="D425" t="n">
        <v>1852</v>
      </c>
      <c r="E425" t="n">
        <v>1862</v>
      </c>
      <c r="F425" t="n">
        <v>248</v>
      </c>
    </row>
    <row r="426">
      <c r="A426" t="inlineStr">
        <is>
          <t>2023-03-13</t>
        </is>
      </c>
      <c r="B426" t="n">
        <v>1890.800048828125</v>
      </c>
      <c r="C426" t="n">
        <v>1913.099975585938</v>
      </c>
      <c r="D426" t="n">
        <v>1875.099975585938</v>
      </c>
      <c r="E426" t="n">
        <v>1911.699951171875</v>
      </c>
      <c r="F426" t="n">
        <v>503</v>
      </c>
    </row>
    <row r="427">
      <c r="A427" t="inlineStr">
        <is>
          <t>2023-03-14</t>
        </is>
      </c>
      <c r="B427" t="n">
        <v>1912.199951171875</v>
      </c>
      <c r="C427" t="n">
        <v>1912.199951171875</v>
      </c>
      <c r="D427" t="n">
        <v>1901.099975585938</v>
      </c>
      <c r="E427" t="n">
        <v>1906.199951171875</v>
      </c>
      <c r="F427" t="n">
        <v>107</v>
      </c>
    </row>
    <row r="428">
      <c r="A428" t="inlineStr">
        <is>
          <t>2023-03-15</t>
        </is>
      </c>
      <c r="B428" t="n">
        <v>1903.900024414062</v>
      </c>
      <c r="C428" t="n">
        <v>1926.599975585938</v>
      </c>
      <c r="D428" t="n">
        <v>1898.5</v>
      </c>
      <c r="E428" t="n">
        <v>1926.599975585938</v>
      </c>
      <c r="F428" t="n">
        <v>564</v>
      </c>
    </row>
    <row r="429">
      <c r="A429" t="inlineStr">
        <is>
          <t>2023-03-16</t>
        </is>
      </c>
      <c r="B429" t="n">
        <v>1909.900024414062</v>
      </c>
      <c r="C429" t="n">
        <v>1931.699951171875</v>
      </c>
      <c r="D429" t="n">
        <v>1909.900024414062</v>
      </c>
      <c r="E429" t="n">
        <v>1919</v>
      </c>
      <c r="F429" t="n">
        <v>394</v>
      </c>
    </row>
    <row r="430">
      <c r="A430" t="inlineStr">
        <is>
          <t>2023-03-17</t>
        </is>
      </c>
      <c r="B430" t="n">
        <v>1946</v>
      </c>
      <c r="C430" t="n">
        <v>1985.099975585938</v>
      </c>
      <c r="D430" t="n">
        <v>1946</v>
      </c>
      <c r="E430" t="n">
        <v>1969.800048828125</v>
      </c>
      <c r="F430" t="n">
        <v>82</v>
      </c>
    </row>
    <row r="431">
      <c r="A431" t="inlineStr">
        <is>
          <t>2023-03-20</t>
        </is>
      </c>
      <c r="B431" t="n">
        <v>1988.300048828125</v>
      </c>
      <c r="C431" t="n">
        <v>2003.900024414062</v>
      </c>
      <c r="D431" t="n">
        <v>1968.900024414062</v>
      </c>
      <c r="E431" t="n">
        <v>1979.199951171875</v>
      </c>
      <c r="F431" t="n">
        <v>389</v>
      </c>
    </row>
    <row r="432">
      <c r="A432" t="inlineStr">
        <is>
          <t>2023-03-21</t>
        </is>
      </c>
      <c r="B432" t="n">
        <v>1973.800048828125</v>
      </c>
      <c r="C432" t="n">
        <v>1973.800048828125</v>
      </c>
      <c r="D432" t="n">
        <v>1938</v>
      </c>
      <c r="E432" t="n">
        <v>1938</v>
      </c>
      <c r="F432" t="n">
        <v>47</v>
      </c>
    </row>
    <row r="433">
      <c r="A433" t="inlineStr">
        <is>
          <t>2023-03-22</t>
        </is>
      </c>
      <c r="B433" t="n">
        <v>1946.800048828125</v>
      </c>
      <c r="C433" t="n">
        <v>1974</v>
      </c>
      <c r="D433" t="n">
        <v>1946.800048828125</v>
      </c>
      <c r="E433" t="n">
        <v>1946.800048828125</v>
      </c>
      <c r="F433" t="n">
        <v>50</v>
      </c>
    </row>
    <row r="434">
      <c r="A434" t="inlineStr">
        <is>
          <t>2023-03-23</t>
        </is>
      </c>
      <c r="B434" t="n">
        <v>1990.5</v>
      </c>
      <c r="C434" t="n">
        <v>1994.599975585938</v>
      </c>
      <c r="D434" t="n">
        <v>1990.5</v>
      </c>
      <c r="E434" t="n">
        <v>1993.800048828125</v>
      </c>
      <c r="F434" t="n">
        <v>33</v>
      </c>
    </row>
    <row r="435">
      <c r="A435" t="inlineStr">
        <is>
          <t>2023-03-24</t>
        </is>
      </c>
      <c r="B435" t="n">
        <v>1991.699951171875</v>
      </c>
      <c r="C435" t="n">
        <v>1995.400024414062</v>
      </c>
      <c r="D435" t="n">
        <v>1982.099975585938</v>
      </c>
      <c r="E435" t="n">
        <v>1982.099975585938</v>
      </c>
      <c r="F435" t="n">
        <v>19</v>
      </c>
    </row>
    <row r="436">
      <c r="A436" t="inlineStr">
        <is>
          <t>2023-03-27</t>
        </is>
      </c>
      <c r="B436" t="n">
        <v>1957.199951171875</v>
      </c>
      <c r="C436" t="n">
        <v>1957.199951171875</v>
      </c>
      <c r="D436" t="n">
        <v>1952.400024414062</v>
      </c>
      <c r="E436" t="n">
        <v>1952.400024414062</v>
      </c>
      <c r="F436" t="n">
        <v>877</v>
      </c>
    </row>
    <row r="437">
      <c r="A437" t="inlineStr">
        <is>
          <t>2023-03-28</t>
        </is>
      </c>
      <c r="B437" t="n">
        <v>1972.400024414062</v>
      </c>
      <c r="C437" t="n">
        <v>1972.400024414062</v>
      </c>
      <c r="D437" t="n">
        <v>1972.400024414062</v>
      </c>
      <c r="E437" t="n">
        <v>1972.400024414062</v>
      </c>
      <c r="F437" t="n">
        <v>21</v>
      </c>
    </row>
    <row r="438">
      <c r="A438" t="inlineStr">
        <is>
          <t>2023-03-29</t>
        </is>
      </c>
      <c r="B438" t="n">
        <v>1966.099975585938</v>
      </c>
      <c r="C438" t="n">
        <v>1966.099975585938</v>
      </c>
      <c r="D438" t="n">
        <v>1966.099975585938</v>
      </c>
      <c r="E438" t="n">
        <v>1966.099975585938</v>
      </c>
      <c r="F438" t="n">
        <v>88563</v>
      </c>
    </row>
    <row r="439">
      <c r="A439" t="inlineStr">
        <is>
          <t>2023-03-30</t>
        </is>
      </c>
      <c r="B439" t="n">
        <v>1965.900024414062</v>
      </c>
      <c r="C439" t="n">
        <v>1984.400024414062</v>
      </c>
      <c r="D439" t="n">
        <v>1954.900024414062</v>
      </c>
      <c r="E439" t="n">
        <v>1980.300048828125</v>
      </c>
      <c r="F439" t="n">
        <v>10119</v>
      </c>
    </row>
    <row r="440">
      <c r="A440" t="inlineStr">
        <is>
          <t>2023-03-31</t>
        </is>
      </c>
      <c r="B440" t="n">
        <v>1981.300048828125</v>
      </c>
      <c r="C440" t="n">
        <v>1986.800048828125</v>
      </c>
      <c r="D440" t="n">
        <v>1968</v>
      </c>
      <c r="E440" t="n">
        <v>1969</v>
      </c>
      <c r="F440" t="n">
        <v>957</v>
      </c>
    </row>
    <row r="441">
      <c r="A441" t="inlineStr">
        <is>
          <t>2023-04-03</t>
        </is>
      </c>
      <c r="B441" t="n">
        <v>1968.099975585938</v>
      </c>
      <c r="C441" t="n">
        <v>1991.699951171875</v>
      </c>
      <c r="D441" t="n">
        <v>1950</v>
      </c>
      <c r="E441" t="n">
        <v>1983.900024414062</v>
      </c>
      <c r="F441" t="n">
        <v>737</v>
      </c>
    </row>
    <row r="442">
      <c r="A442" t="inlineStr">
        <is>
          <t>2023-04-04</t>
        </is>
      </c>
      <c r="B442" t="n">
        <v>1984.599975585938</v>
      </c>
      <c r="C442" t="n">
        <v>2027.099975585938</v>
      </c>
      <c r="D442" t="n">
        <v>1979</v>
      </c>
      <c r="E442" t="n">
        <v>2022.199951171875</v>
      </c>
      <c r="F442" t="n">
        <v>811</v>
      </c>
    </row>
    <row r="443">
      <c r="A443" t="inlineStr">
        <is>
          <t>2023-04-05</t>
        </is>
      </c>
      <c r="B443" t="n">
        <v>2022.099975585938</v>
      </c>
      <c r="C443" t="n">
        <v>2033.800048828125</v>
      </c>
      <c r="D443" t="n">
        <v>2013.599975585938</v>
      </c>
      <c r="E443" t="n">
        <v>2020.900024414062</v>
      </c>
      <c r="F443" t="n">
        <v>525</v>
      </c>
    </row>
    <row r="444">
      <c r="A444" t="inlineStr">
        <is>
          <t>2023-04-06</t>
        </is>
      </c>
      <c r="B444" t="n">
        <v>2022.199951171875</v>
      </c>
      <c r="C444" t="n">
        <v>2023.300048828125</v>
      </c>
      <c r="D444" t="n">
        <v>2005</v>
      </c>
      <c r="E444" t="n">
        <v>2011.900024414062</v>
      </c>
      <c r="F444" t="n">
        <v>0</v>
      </c>
    </row>
    <row r="445">
      <c r="A445" t="inlineStr">
        <is>
          <t>2023-04-10</t>
        </is>
      </c>
      <c r="B445" t="n">
        <v>2000</v>
      </c>
      <c r="C445" t="n">
        <v>2006.599975585938</v>
      </c>
      <c r="D445" t="n">
        <v>1984</v>
      </c>
      <c r="E445" t="n">
        <v>1989.099975585938</v>
      </c>
      <c r="F445" t="n">
        <v>652</v>
      </c>
    </row>
    <row r="446">
      <c r="A446" t="inlineStr">
        <is>
          <t>2023-04-11</t>
        </is>
      </c>
      <c r="B446" t="n">
        <v>1991.400024414062</v>
      </c>
      <c r="C446" t="n">
        <v>2006.5</v>
      </c>
      <c r="D446" t="n">
        <v>1991.400024414062</v>
      </c>
      <c r="E446" t="n">
        <v>2004.800048828125</v>
      </c>
      <c r="F446" t="n">
        <v>68</v>
      </c>
    </row>
    <row r="447">
      <c r="A447" t="inlineStr">
        <is>
          <t>2023-04-12</t>
        </is>
      </c>
      <c r="B447" t="n">
        <v>2005.199951171875</v>
      </c>
      <c r="C447" t="n">
        <v>2025.699951171875</v>
      </c>
      <c r="D447" t="n">
        <v>2005.199951171875</v>
      </c>
      <c r="E447" t="n">
        <v>2010.900024414062</v>
      </c>
      <c r="F447" t="n">
        <v>172</v>
      </c>
    </row>
    <row r="448">
      <c r="A448" t="inlineStr">
        <is>
          <t>2023-04-13</t>
        </is>
      </c>
      <c r="B448" t="n">
        <v>2015.599975585938</v>
      </c>
      <c r="C448" t="n">
        <v>2048.60009765625</v>
      </c>
      <c r="D448" t="n">
        <v>2015.599975585938</v>
      </c>
      <c r="E448" t="n">
        <v>2041.300048828125</v>
      </c>
      <c r="F448" t="n">
        <v>1043</v>
      </c>
    </row>
    <row r="449">
      <c r="A449" t="inlineStr">
        <is>
          <t>2023-04-14</t>
        </is>
      </c>
      <c r="B449" t="n">
        <v>2041</v>
      </c>
      <c r="C449" t="n">
        <v>2047.800048828125</v>
      </c>
      <c r="D449" t="n">
        <v>1995</v>
      </c>
      <c r="E449" t="n">
        <v>2002.199951171875</v>
      </c>
      <c r="F449" t="n">
        <v>718</v>
      </c>
    </row>
    <row r="450">
      <c r="A450" t="inlineStr">
        <is>
          <t>2023-04-17</t>
        </is>
      </c>
      <c r="B450" t="n">
        <v>2002.699951171875</v>
      </c>
      <c r="C450" t="n">
        <v>2007.599975585938</v>
      </c>
      <c r="D450" t="n">
        <v>1983.199951171875</v>
      </c>
      <c r="E450" t="n">
        <v>1994.199951171875</v>
      </c>
      <c r="F450" t="n">
        <v>554</v>
      </c>
    </row>
    <row r="451">
      <c r="A451" t="inlineStr">
        <is>
          <t>2023-04-18</t>
        </is>
      </c>
      <c r="B451" t="n">
        <v>1996.900024414062</v>
      </c>
      <c r="C451" t="n">
        <v>2007.400024414062</v>
      </c>
      <c r="D451" t="n">
        <v>1996.900024414062</v>
      </c>
      <c r="E451" t="n">
        <v>2007.400024414062</v>
      </c>
      <c r="F451" t="n">
        <v>72</v>
      </c>
    </row>
    <row r="452">
      <c r="A452" t="inlineStr">
        <is>
          <t>2023-04-19</t>
        </is>
      </c>
      <c r="B452" t="n">
        <v>2005.699951171875</v>
      </c>
      <c r="C452" t="n">
        <v>2006.400024414062</v>
      </c>
      <c r="D452" t="n">
        <v>1969.800048828125</v>
      </c>
      <c r="E452" t="n">
        <v>1995.199951171875</v>
      </c>
      <c r="F452" t="n">
        <v>61</v>
      </c>
    </row>
    <row r="453">
      <c r="A453" t="inlineStr">
        <is>
          <t>2023-04-20</t>
        </is>
      </c>
      <c r="B453" t="n">
        <v>1998</v>
      </c>
      <c r="C453" t="n">
        <v>2007.599975585938</v>
      </c>
      <c r="D453" t="n">
        <v>1998</v>
      </c>
      <c r="E453" t="n">
        <v>2007.599975585938</v>
      </c>
      <c r="F453" t="n">
        <v>164</v>
      </c>
    </row>
    <row r="454">
      <c r="A454" t="inlineStr">
        <is>
          <t>2023-04-21</t>
        </is>
      </c>
      <c r="B454" t="n">
        <v>1996.199951171875</v>
      </c>
      <c r="C454" t="n">
        <v>1996.199951171875</v>
      </c>
      <c r="D454" t="n">
        <v>1974.099975585938</v>
      </c>
      <c r="E454" t="n">
        <v>1979.5</v>
      </c>
      <c r="F454" t="n">
        <v>132</v>
      </c>
    </row>
    <row r="455">
      <c r="A455" t="inlineStr">
        <is>
          <t>2023-04-24</t>
        </is>
      </c>
      <c r="B455" t="n">
        <v>1981.300048828125</v>
      </c>
      <c r="C455" t="n">
        <v>1989.800048828125</v>
      </c>
      <c r="D455" t="n">
        <v>1977.400024414062</v>
      </c>
      <c r="E455" t="n">
        <v>1989.099975585938</v>
      </c>
      <c r="F455" t="n">
        <v>145</v>
      </c>
    </row>
    <row r="456">
      <c r="A456" t="inlineStr">
        <is>
          <t>2023-04-25</t>
        </is>
      </c>
      <c r="B456" t="n">
        <v>1995.699951171875</v>
      </c>
      <c r="C456" t="n">
        <v>1999.099975585938</v>
      </c>
      <c r="D456" t="n">
        <v>1982.300048828125</v>
      </c>
      <c r="E456" t="n">
        <v>1994</v>
      </c>
      <c r="F456" t="n">
        <v>306</v>
      </c>
    </row>
    <row r="457">
      <c r="A457" t="inlineStr">
        <is>
          <t>2023-04-26</t>
        </is>
      </c>
      <c r="B457" t="n">
        <v>1997.800048828125</v>
      </c>
      <c r="C457" t="n">
        <v>1998.800048828125</v>
      </c>
      <c r="D457" t="n">
        <v>1985.599975585938</v>
      </c>
      <c r="E457" t="n">
        <v>1985.699951171875</v>
      </c>
      <c r="F457" t="n">
        <v>615</v>
      </c>
    </row>
    <row r="458">
      <c r="A458" t="inlineStr">
        <is>
          <t>2023-04-27</t>
        </is>
      </c>
      <c r="B458" t="n">
        <v>1990.599975585938</v>
      </c>
      <c r="C458" t="n">
        <v>2002.300048828125</v>
      </c>
      <c r="D458" t="n">
        <v>1979.900024414062</v>
      </c>
      <c r="E458" t="n">
        <v>1989.900024414062</v>
      </c>
      <c r="F458" t="n">
        <v>355</v>
      </c>
    </row>
    <row r="459">
      <c r="A459" t="inlineStr">
        <is>
          <t>2023-04-28</t>
        </is>
      </c>
      <c r="B459" t="n">
        <v>1986.900024414062</v>
      </c>
      <c r="C459" t="n">
        <v>1990.099975585938</v>
      </c>
      <c r="D459" t="n">
        <v>1977.699951171875</v>
      </c>
      <c r="E459" t="n">
        <v>1990.099975585938</v>
      </c>
      <c r="F459" t="n">
        <v>152</v>
      </c>
    </row>
    <row r="460">
      <c r="A460" t="inlineStr">
        <is>
          <t>2023-05-01</t>
        </is>
      </c>
      <c r="B460" t="n">
        <v>1980.099975585938</v>
      </c>
      <c r="C460" t="n">
        <v>2005</v>
      </c>
      <c r="D460" t="n">
        <v>1976.900024414062</v>
      </c>
      <c r="E460" t="n">
        <v>1983.400024414062</v>
      </c>
      <c r="F460" t="n">
        <v>210</v>
      </c>
    </row>
    <row r="461">
      <c r="A461" t="inlineStr">
        <is>
          <t>2023-05-02</t>
        </is>
      </c>
      <c r="B461" t="n">
        <v>1994.699951171875</v>
      </c>
      <c r="C461" t="n">
        <v>2018</v>
      </c>
      <c r="D461" t="n">
        <v>1994.699951171875</v>
      </c>
      <c r="E461" t="n">
        <v>2014.300048828125</v>
      </c>
      <c r="F461" t="n">
        <v>1896</v>
      </c>
    </row>
    <row r="462">
      <c r="A462" t="inlineStr">
        <is>
          <t>2023-05-03</t>
        </is>
      </c>
      <c r="B462" t="n">
        <v>2017.099975585938</v>
      </c>
      <c r="C462" t="n">
        <v>2035.099975585938</v>
      </c>
      <c r="D462" t="n">
        <v>2015.199951171875</v>
      </c>
      <c r="E462" t="n">
        <v>2028.599975585938</v>
      </c>
      <c r="F462" t="n">
        <v>1349</v>
      </c>
    </row>
    <row r="463">
      <c r="A463" t="inlineStr">
        <is>
          <t>2023-05-04</t>
        </is>
      </c>
      <c r="B463" t="n">
        <v>2045</v>
      </c>
      <c r="C463" t="n">
        <v>2072</v>
      </c>
      <c r="D463" t="n">
        <v>2040</v>
      </c>
      <c r="E463" t="n">
        <v>2048</v>
      </c>
      <c r="F463" t="n">
        <v>930</v>
      </c>
    </row>
    <row r="464">
      <c r="A464" t="inlineStr">
        <is>
          <t>2023-05-05</t>
        </is>
      </c>
      <c r="B464" t="n">
        <v>2046.400024414062</v>
      </c>
      <c r="C464" t="n">
        <v>2046.400024414062</v>
      </c>
      <c r="D464" t="n">
        <v>2004.300048828125</v>
      </c>
      <c r="E464" t="n">
        <v>2017.400024414062</v>
      </c>
      <c r="F464" t="n">
        <v>59</v>
      </c>
    </row>
    <row r="465">
      <c r="A465" t="inlineStr">
        <is>
          <t>2023-05-08</t>
        </is>
      </c>
      <c r="B465" t="n">
        <v>2022.5</v>
      </c>
      <c r="C465" t="n">
        <v>2026.300048828125</v>
      </c>
      <c r="D465" t="n">
        <v>2022.5</v>
      </c>
      <c r="E465" t="n">
        <v>2026.300048828125</v>
      </c>
      <c r="F465" t="n">
        <v>3</v>
      </c>
    </row>
    <row r="466">
      <c r="A466" t="inlineStr">
        <is>
          <t>2023-05-09</t>
        </is>
      </c>
      <c r="B466" t="n">
        <v>2026.599975585938</v>
      </c>
      <c r="C466" t="n">
        <v>2037.300048828125</v>
      </c>
      <c r="D466" t="n">
        <v>2025.900024414062</v>
      </c>
      <c r="E466" t="n">
        <v>2036.199951171875</v>
      </c>
      <c r="F466" t="n">
        <v>241</v>
      </c>
    </row>
    <row r="467">
      <c r="A467" t="inlineStr">
        <is>
          <t>2023-05-10</t>
        </is>
      </c>
      <c r="B467" t="n">
        <v>2032.300048828125</v>
      </c>
      <c r="C467" t="n">
        <v>2044.300048828125</v>
      </c>
      <c r="D467" t="n">
        <v>2029.5</v>
      </c>
      <c r="E467" t="n">
        <v>2030.5</v>
      </c>
      <c r="F467" t="n">
        <v>248</v>
      </c>
    </row>
    <row r="468">
      <c r="A468" t="inlineStr">
        <is>
          <t>2023-05-11</t>
        </is>
      </c>
      <c r="B468" t="n">
        <v>2034.099975585938</v>
      </c>
      <c r="C468" t="n">
        <v>2038.300048828125</v>
      </c>
      <c r="D468" t="n">
        <v>2014</v>
      </c>
      <c r="E468" t="n">
        <v>2014.699951171875</v>
      </c>
      <c r="F468" t="n">
        <v>90</v>
      </c>
    </row>
    <row r="469">
      <c r="A469" t="inlineStr">
        <is>
          <t>2023-05-12</t>
        </is>
      </c>
      <c r="B469" t="n">
        <v>2014.5</v>
      </c>
      <c r="C469" t="n">
        <v>2014.5</v>
      </c>
      <c r="D469" t="n">
        <v>2014.5</v>
      </c>
      <c r="E469" t="n">
        <v>2014.5</v>
      </c>
      <c r="F469" t="n">
        <v>115</v>
      </c>
    </row>
    <row r="470">
      <c r="A470" t="inlineStr">
        <is>
          <t>2023-05-15</t>
        </is>
      </c>
      <c r="B470" t="n">
        <v>2013.800048828125</v>
      </c>
      <c r="C470" t="n">
        <v>2018</v>
      </c>
      <c r="D470" t="n">
        <v>2013.800048828125</v>
      </c>
      <c r="E470" t="n">
        <v>2018</v>
      </c>
      <c r="F470" t="n">
        <v>3</v>
      </c>
    </row>
    <row r="471">
      <c r="A471" t="inlineStr">
        <is>
          <t>2023-05-16</t>
        </is>
      </c>
      <c r="B471" t="n">
        <v>1988.400024414062</v>
      </c>
      <c r="C471" t="n">
        <v>1988.400024414062</v>
      </c>
      <c r="D471" t="n">
        <v>1988.400024414062</v>
      </c>
      <c r="E471" t="n">
        <v>1988.400024414062</v>
      </c>
      <c r="F471" t="n">
        <v>49</v>
      </c>
    </row>
    <row r="472">
      <c r="A472" t="inlineStr">
        <is>
          <t>2023-05-17</t>
        </is>
      </c>
      <c r="B472" t="n">
        <v>1983.599975585938</v>
      </c>
      <c r="C472" t="n">
        <v>1983.599975585938</v>
      </c>
      <c r="D472" t="n">
        <v>1980.699951171875</v>
      </c>
      <c r="E472" t="n">
        <v>1980.699951171875</v>
      </c>
      <c r="F472" t="n">
        <v>13</v>
      </c>
    </row>
    <row r="473">
      <c r="A473" t="inlineStr">
        <is>
          <t>2023-05-18</t>
        </is>
      </c>
      <c r="B473" t="n">
        <v>1956.5</v>
      </c>
      <c r="C473" t="n">
        <v>1956.800048828125</v>
      </c>
      <c r="D473" t="n">
        <v>1956.5</v>
      </c>
      <c r="E473" t="n">
        <v>1956.5</v>
      </c>
      <c r="F473" t="n">
        <v>23</v>
      </c>
    </row>
    <row r="474">
      <c r="A474" t="inlineStr">
        <is>
          <t>2023-05-19</t>
        </is>
      </c>
      <c r="B474" t="n">
        <v>1960</v>
      </c>
      <c r="C474" t="n">
        <v>1978.699951171875</v>
      </c>
      <c r="D474" t="n">
        <v>1960</v>
      </c>
      <c r="E474" t="n">
        <v>1978.699951171875</v>
      </c>
      <c r="F474" t="n">
        <v>106</v>
      </c>
    </row>
    <row r="475">
      <c r="A475" t="inlineStr">
        <is>
          <t>2023-05-22</t>
        </is>
      </c>
      <c r="B475" t="n">
        <v>1980.5</v>
      </c>
      <c r="C475" t="n">
        <v>1980.5</v>
      </c>
      <c r="D475" t="n">
        <v>1974.800048828125</v>
      </c>
      <c r="E475" t="n">
        <v>1974.800048828125</v>
      </c>
      <c r="F475" t="n">
        <v>8</v>
      </c>
    </row>
    <row r="476">
      <c r="A476" t="inlineStr">
        <is>
          <t>2023-05-23</t>
        </is>
      </c>
      <c r="B476" t="n">
        <v>1972.400024414062</v>
      </c>
      <c r="C476" t="n">
        <v>1972.400024414062</v>
      </c>
      <c r="D476" t="n">
        <v>1972.400024414062</v>
      </c>
      <c r="E476" t="n">
        <v>1972.400024414062</v>
      </c>
      <c r="F476" t="n">
        <v>1</v>
      </c>
    </row>
    <row r="477">
      <c r="A477" t="inlineStr">
        <is>
          <t>2023-05-24</t>
        </is>
      </c>
      <c r="B477" t="n">
        <v>1975.400024414062</v>
      </c>
      <c r="C477" t="n">
        <v>1975.400024414062</v>
      </c>
      <c r="D477" t="n">
        <v>1962.800048828125</v>
      </c>
      <c r="E477" t="n">
        <v>1962.800048828125</v>
      </c>
      <c r="F477" t="n">
        <v>189</v>
      </c>
    </row>
    <row r="478">
      <c r="A478" t="inlineStr">
        <is>
          <t>2023-05-25</t>
        </is>
      </c>
      <c r="B478" t="n">
        <v>1943.099975585938</v>
      </c>
      <c r="C478" t="n">
        <v>1943.099975585938</v>
      </c>
      <c r="D478" t="n">
        <v>1943.099975585938</v>
      </c>
      <c r="E478" t="n">
        <v>1943.099975585938</v>
      </c>
      <c r="F478" t="n">
        <v>1</v>
      </c>
    </row>
    <row r="479">
      <c r="A479" t="inlineStr">
        <is>
          <t>2023-05-26</t>
        </is>
      </c>
      <c r="B479" t="n">
        <v>1948.199951171875</v>
      </c>
      <c r="C479" t="n">
        <v>1948.400024414062</v>
      </c>
      <c r="D479" t="n">
        <v>1944.099975585938</v>
      </c>
      <c r="E479" t="n">
        <v>1944.099975585938</v>
      </c>
      <c r="F479" t="n">
        <v>166036</v>
      </c>
    </row>
    <row r="480">
      <c r="A480" t="inlineStr">
        <is>
          <t>2023-05-30</t>
        </is>
      </c>
      <c r="B480" t="n">
        <v>1942.699951171875</v>
      </c>
      <c r="C480" t="n">
        <v>1962.599975585938</v>
      </c>
      <c r="D480" t="n">
        <v>1931</v>
      </c>
      <c r="E480" t="n">
        <v>1958</v>
      </c>
      <c r="F480" t="n">
        <v>37838</v>
      </c>
    </row>
    <row r="481">
      <c r="A481" t="inlineStr">
        <is>
          <t>2023-05-31</t>
        </is>
      </c>
      <c r="B481" t="n">
        <v>1958.199951171875</v>
      </c>
      <c r="C481" t="n">
        <v>1973</v>
      </c>
      <c r="D481" t="n">
        <v>1953</v>
      </c>
      <c r="E481" t="n">
        <v>1963.900024414062</v>
      </c>
      <c r="F481" t="n">
        <v>5959</v>
      </c>
    </row>
    <row r="482">
      <c r="A482" t="inlineStr">
        <is>
          <t>2023-06-01</t>
        </is>
      </c>
      <c r="B482" t="n">
        <v>1963.199951171875</v>
      </c>
      <c r="C482" t="n">
        <v>1983</v>
      </c>
      <c r="D482" t="n">
        <v>1954.300048828125</v>
      </c>
      <c r="E482" t="n">
        <v>1978</v>
      </c>
      <c r="F482" t="n">
        <v>750</v>
      </c>
    </row>
    <row r="483">
      <c r="A483" t="inlineStr">
        <is>
          <t>2023-06-02</t>
        </is>
      </c>
      <c r="B483" t="n">
        <v>1977.099975585938</v>
      </c>
      <c r="C483" t="n">
        <v>1982.5</v>
      </c>
      <c r="D483" t="n">
        <v>1947.400024414062</v>
      </c>
      <c r="E483" t="n">
        <v>1952.400024414062</v>
      </c>
      <c r="F483" t="n">
        <v>356</v>
      </c>
    </row>
    <row r="484">
      <c r="A484" t="inlineStr">
        <is>
          <t>2023-06-05</t>
        </is>
      </c>
      <c r="B484" t="n">
        <v>1947.5</v>
      </c>
      <c r="C484" t="n">
        <v>1961.900024414062</v>
      </c>
      <c r="D484" t="n">
        <v>1937.800048828125</v>
      </c>
      <c r="E484" t="n">
        <v>1958</v>
      </c>
      <c r="F484" t="n">
        <v>713</v>
      </c>
    </row>
    <row r="485">
      <c r="A485" t="inlineStr">
        <is>
          <t>2023-06-06</t>
        </is>
      </c>
      <c r="B485" t="n">
        <v>1960.800048828125</v>
      </c>
      <c r="C485" t="n">
        <v>1965.5</v>
      </c>
      <c r="D485" t="n">
        <v>1958.800048828125</v>
      </c>
      <c r="E485" t="n">
        <v>1965.5</v>
      </c>
      <c r="F485" t="n">
        <v>164</v>
      </c>
    </row>
    <row r="486">
      <c r="A486" t="inlineStr">
        <is>
          <t>2023-06-07</t>
        </is>
      </c>
      <c r="B486" t="n">
        <v>1959</v>
      </c>
      <c r="C486" t="n">
        <v>1968.400024414062</v>
      </c>
      <c r="D486" t="n">
        <v>1940.699951171875</v>
      </c>
      <c r="E486" t="n">
        <v>1942.699951171875</v>
      </c>
      <c r="F486" t="n">
        <v>139</v>
      </c>
    </row>
    <row r="487">
      <c r="A487" t="inlineStr">
        <is>
          <t>2023-06-08</t>
        </is>
      </c>
      <c r="B487" t="n">
        <v>1943.199951171875</v>
      </c>
      <c r="C487" t="n">
        <v>1969</v>
      </c>
      <c r="D487" t="n">
        <v>1943.099975585938</v>
      </c>
      <c r="E487" t="n">
        <v>1963.599975585938</v>
      </c>
      <c r="F487" t="n">
        <v>433</v>
      </c>
    </row>
    <row r="488">
      <c r="A488" t="inlineStr">
        <is>
          <t>2023-06-09</t>
        </is>
      </c>
      <c r="B488" t="n">
        <v>1965.099975585938</v>
      </c>
      <c r="C488" t="n">
        <v>1969.800048828125</v>
      </c>
      <c r="D488" t="n">
        <v>1960.300048828125</v>
      </c>
      <c r="E488" t="n">
        <v>1962.199951171875</v>
      </c>
      <c r="F488" t="n">
        <v>49</v>
      </c>
    </row>
    <row r="489">
      <c r="A489" t="inlineStr">
        <is>
          <t>2023-06-12</t>
        </is>
      </c>
      <c r="B489" t="n">
        <v>1959.699951171875</v>
      </c>
      <c r="C489" t="n">
        <v>1963.5</v>
      </c>
      <c r="D489" t="n">
        <v>1951.400024414062</v>
      </c>
      <c r="E489" t="n">
        <v>1955.300048828125</v>
      </c>
      <c r="F489" t="n">
        <v>212</v>
      </c>
    </row>
    <row r="490">
      <c r="A490" t="inlineStr">
        <is>
          <t>2023-06-13</t>
        </is>
      </c>
      <c r="B490" t="n">
        <v>1960.599975585938</v>
      </c>
      <c r="C490" t="n">
        <v>1967.5</v>
      </c>
      <c r="D490" t="n">
        <v>1940.300048828125</v>
      </c>
      <c r="E490" t="n">
        <v>1944.599975585938</v>
      </c>
      <c r="F490" t="n">
        <v>343</v>
      </c>
    </row>
    <row r="491">
      <c r="A491" t="inlineStr">
        <is>
          <t>2023-06-14</t>
        </is>
      </c>
      <c r="B491" t="n">
        <v>1946.199951171875</v>
      </c>
      <c r="C491" t="n">
        <v>1958.199951171875</v>
      </c>
      <c r="D491" t="n">
        <v>1940.300048828125</v>
      </c>
      <c r="E491" t="n">
        <v>1955.300048828125</v>
      </c>
      <c r="F491" t="n">
        <v>202</v>
      </c>
    </row>
    <row r="492">
      <c r="A492" t="inlineStr">
        <is>
          <t>2023-06-15</t>
        </is>
      </c>
      <c r="B492" t="n">
        <v>1941.699951171875</v>
      </c>
      <c r="C492" t="n">
        <v>1958.800048828125</v>
      </c>
      <c r="D492" t="n">
        <v>1926</v>
      </c>
      <c r="E492" t="n">
        <v>1957.800048828125</v>
      </c>
      <c r="F492" t="n">
        <v>329</v>
      </c>
    </row>
    <row r="493">
      <c r="A493" t="inlineStr">
        <is>
          <t>2023-06-16</t>
        </is>
      </c>
      <c r="B493" t="n">
        <v>1961.400024414062</v>
      </c>
      <c r="C493" t="n">
        <v>1962.900024414062</v>
      </c>
      <c r="D493" t="n">
        <v>1953.5</v>
      </c>
      <c r="E493" t="n">
        <v>1958.400024414062</v>
      </c>
      <c r="F493" t="n">
        <v>119</v>
      </c>
    </row>
    <row r="494">
      <c r="A494" t="inlineStr">
        <is>
          <t>2023-06-20</t>
        </is>
      </c>
      <c r="B494" t="n">
        <v>1958.599975585938</v>
      </c>
      <c r="C494" t="n">
        <v>1958.599975585938</v>
      </c>
      <c r="D494" t="n">
        <v>1931.300048828125</v>
      </c>
      <c r="E494" t="n">
        <v>1935.5</v>
      </c>
      <c r="F494" t="n">
        <v>193</v>
      </c>
    </row>
    <row r="495">
      <c r="A495" t="inlineStr">
        <is>
          <t>2023-06-21</t>
        </is>
      </c>
      <c r="B495" t="n">
        <v>1935.599975585938</v>
      </c>
      <c r="C495" t="n">
        <v>1936.800048828125</v>
      </c>
      <c r="D495" t="n">
        <v>1920</v>
      </c>
      <c r="E495" t="n">
        <v>1933.300048828125</v>
      </c>
      <c r="F495" t="n">
        <v>557</v>
      </c>
    </row>
    <row r="496">
      <c r="A496" t="inlineStr">
        <is>
          <t>2023-06-22</t>
        </is>
      </c>
      <c r="B496" t="n">
        <v>1920</v>
      </c>
      <c r="C496" t="n">
        <v>1921</v>
      </c>
      <c r="D496" t="n">
        <v>1912.099975585938</v>
      </c>
      <c r="E496" t="n">
        <v>1912.699951171875</v>
      </c>
      <c r="F496" t="n">
        <v>237</v>
      </c>
    </row>
    <row r="497">
      <c r="A497" t="inlineStr">
        <is>
          <t>2023-06-23</t>
        </is>
      </c>
      <c r="B497" t="n">
        <v>1918.699951171875</v>
      </c>
      <c r="C497" t="n">
        <v>1932.5</v>
      </c>
      <c r="D497" t="n">
        <v>1918.699951171875</v>
      </c>
      <c r="E497" t="n">
        <v>1919.099975585938</v>
      </c>
      <c r="F497" t="n">
        <v>105</v>
      </c>
    </row>
    <row r="498">
      <c r="A498" t="inlineStr">
        <is>
          <t>2023-06-26</t>
        </is>
      </c>
      <c r="B498" t="n">
        <v>1922.900024414062</v>
      </c>
      <c r="C498" t="n">
        <v>1928.5</v>
      </c>
      <c r="D498" t="n">
        <v>1922.5</v>
      </c>
      <c r="E498" t="n">
        <v>1923.699951171875</v>
      </c>
      <c r="F498" t="n">
        <v>71</v>
      </c>
    </row>
    <row r="499">
      <c r="A499" t="inlineStr">
        <is>
          <t>2023-06-27</t>
        </is>
      </c>
      <c r="B499" t="n">
        <v>1927</v>
      </c>
      <c r="C499" t="n">
        <v>1929.400024414062</v>
      </c>
      <c r="D499" t="n">
        <v>1914</v>
      </c>
      <c r="E499" t="n">
        <v>1914</v>
      </c>
      <c r="F499" t="n">
        <v>49</v>
      </c>
    </row>
    <row r="500">
      <c r="A500" t="inlineStr">
        <is>
          <t>2023-06-28</t>
        </is>
      </c>
      <c r="B500" t="n">
        <v>1912.300048828125</v>
      </c>
      <c r="C500" t="n">
        <v>1912.300048828125</v>
      </c>
      <c r="D500" t="n">
        <v>1912.300048828125</v>
      </c>
      <c r="E500" t="n">
        <v>1912.300048828125</v>
      </c>
      <c r="F500" t="n">
        <v>628</v>
      </c>
    </row>
    <row r="501">
      <c r="A501" t="inlineStr">
        <is>
          <t>2023-06-29</t>
        </is>
      </c>
      <c r="B501" t="n">
        <v>1909.900024414062</v>
      </c>
      <c r="C501" t="n">
        <v>1909.900024414062</v>
      </c>
      <c r="D501" t="n">
        <v>1892.5</v>
      </c>
      <c r="E501" t="n">
        <v>1909.199951171875</v>
      </c>
      <c r="F501" t="n">
        <v>289</v>
      </c>
    </row>
    <row r="502">
      <c r="A502" t="inlineStr">
        <is>
          <t>2023-06-30</t>
        </is>
      </c>
      <c r="B502" t="n">
        <v>1908.599975585938</v>
      </c>
      <c r="C502" t="n">
        <v>1921.099975585938</v>
      </c>
      <c r="D502" t="n">
        <v>1900.599975585938</v>
      </c>
      <c r="E502" t="n">
        <v>1921.099975585938</v>
      </c>
      <c r="F502" t="n">
        <v>445</v>
      </c>
    </row>
    <row r="503">
      <c r="A503" t="inlineStr">
        <is>
          <t>2023-07-03</t>
        </is>
      </c>
      <c r="B503" t="n">
        <v>1917.900024414062</v>
      </c>
      <c r="C503" t="n">
        <v>1929.5</v>
      </c>
      <c r="D503" t="n">
        <v>1917.900024414062</v>
      </c>
      <c r="E503" t="n">
        <v>1921.699951171875</v>
      </c>
      <c r="F503" t="n">
        <v>41</v>
      </c>
    </row>
    <row r="504">
      <c r="A504" t="inlineStr">
        <is>
          <t>2023-07-05</t>
        </is>
      </c>
      <c r="B504" t="n">
        <v>1923.5</v>
      </c>
      <c r="C504" t="n">
        <v>1933.900024414062</v>
      </c>
      <c r="D504" t="n">
        <v>1914.699951171875</v>
      </c>
      <c r="E504" t="n">
        <v>1919.599975585938</v>
      </c>
      <c r="F504" t="n">
        <v>193</v>
      </c>
    </row>
    <row r="505">
      <c r="A505" t="inlineStr">
        <is>
          <t>2023-07-06</t>
        </is>
      </c>
      <c r="B505" t="n">
        <v>1909.300048828125</v>
      </c>
      <c r="C505" t="n">
        <v>1910.199951171875</v>
      </c>
      <c r="D505" t="n">
        <v>1903.199951171875</v>
      </c>
      <c r="E505" t="n">
        <v>1908.699951171875</v>
      </c>
      <c r="F505" t="n">
        <v>81</v>
      </c>
    </row>
    <row r="506">
      <c r="A506" t="inlineStr">
        <is>
          <t>2023-07-07</t>
        </is>
      </c>
      <c r="B506" t="n">
        <v>1913.400024414062</v>
      </c>
      <c r="C506" t="n">
        <v>1934.099975585938</v>
      </c>
      <c r="D506" t="n">
        <v>1913.400024414062</v>
      </c>
      <c r="E506" t="n">
        <v>1926.199951171875</v>
      </c>
      <c r="F506" t="n">
        <v>61</v>
      </c>
    </row>
    <row r="507">
      <c r="A507" t="inlineStr">
        <is>
          <t>2023-07-10</t>
        </is>
      </c>
      <c r="B507" t="n">
        <v>1923.599975585938</v>
      </c>
      <c r="C507" t="n">
        <v>1926.099975585938</v>
      </c>
      <c r="D507" t="n">
        <v>1912.300048828125</v>
      </c>
      <c r="E507" t="n">
        <v>1925</v>
      </c>
      <c r="F507" t="n">
        <v>269</v>
      </c>
    </row>
    <row r="508">
      <c r="A508" t="inlineStr">
        <is>
          <t>2023-07-11</t>
        </is>
      </c>
      <c r="B508" t="n">
        <v>1925</v>
      </c>
      <c r="C508" t="n">
        <v>1937</v>
      </c>
      <c r="D508" t="n">
        <v>1924.199951171875</v>
      </c>
      <c r="E508" t="n">
        <v>1931.300048828125</v>
      </c>
      <c r="F508" t="n">
        <v>142</v>
      </c>
    </row>
    <row r="509">
      <c r="A509" t="inlineStr">
        <is>
          <t>2023-07-12</t>
        </is>
      </c>
      <c r="B509" t="n">
        <v>1932.300048828125</v>
      </c>
      <c r="C509" t="n">
        <v>1958</v>
      </c>
      <c r="D509" t="n">
        <v>1932.199951171875</v>
      </c>
      <c r="E509" t="n">
        <v>1956.199951171875</v>
      </c>
      <c r="F509" t="n">
        <v>132</v>
      </c>
    </row>
    <row r="510">
      <c r="A510" t="inlineStr">
        <is>
          <t>2023-07-13</t>
        </is>
      </c>
      <c r="B510" t="n">
        <v>1961.099975585938</v>
      </c>
      <c r="C510" t="n">
        <v>1961.099975585938</v>
      </c>
      <c r="D510" t="n">
        <v>1953</v>
      </c>
      <c r="E510" t="n">
        <v>1959.199951171875</v>
      </c>
      <c r="F510" t="n">
        <v>121</v>
      </c>
    </row>
    <row r="511">
      <c r="A511" t="inlineStr">
        <is>
          <t>2023-07-14</t>
        </is>
      </c>
      <c r="B511" t="n">
        <v>1958.400024414062</v>
      </c>
      <c r="C511" t="n">
        <v>1960.599975585938</v>
      </c>
      <c r="D511" t="n">
        <v>1952.699951171875</v>
      </c>
      <c r="E511" t="n">
        <v>1960.099975585938</v>
      </c>
      <c r="F511" t="n">
        <v>94</v>
      </c>
    </row>
    <row r="512">
      <c r="A512" t="inlineStr">
        <is>
          <t>2023-07-17</t>
        </is>
      </c>
      <c r="B512" t="n">
        <v>1954</v>
      </c>
      <c r="C512" t="n">
        <v>1956.5</v>
      </c>
      <c r="D512" t="n">
        <v>1946.599975585938</v>
      </c>
      <c r="E512" t="n">
        <v>1952.400024414062</v>
      </c>
      <c r="F512" t="n">
        <v>29</v>
      </c>
    </row>
    <row r="513">
      <c r="A513" t="inlineStr">
        <is>
          <t>2023-07-18</t>
        </is>
      </c>
      <c r="B513" t="n">
        <v>1968.800048828125</v>
      </c>
      <c r="C513" t="n">
        <v>1978.400024414062</v>
      </c>
      <c r="D513" t="n">
        <v>1963.400024414062</v>
      </c>
      <c r="E513" t="n">
        <v>1977.199951171875</v>
      </c>
      <c r="F513" t="n">
        <v>83</v>
      </c>
    </row>
    <row r="514">
      <c r="A514" t="inlineStr">
        <is>
          <t>2023-07-19</t>
        </is>
      </c>
      <c r="B514" t="n">
        <v>1977</v>
      </c>
      <c r="C514" t="n">
        <v>1977.5</v>
      </c>
      <c r="D514" t="n">
        <v>1973</v>
      </c>
      <c r="E514" t="n">
        <v>1977.5</v>
      </c>
      <c r="F514" t="n">
        <v>35</v>
      </c>
    </row>
    <row r="515">
      <c r="A515" t="inlineStr">
        <is>
          <t>2023-07-20</t>
        </is>
      </c>
      <c r="B515" t="n">
        <v>1973.699951171875</v>
      </c>
      <c r="C515" t="n">
        <v>1973.699951171875</v>
      </c>
      <c r="D515" t="n">
        <v>1965.599975585938</v>
      </c>
      <c r="E515" t="n">
        <v>1968.300048828125</v>
      </c>
      <c r="F515" t="n">
        <v>638</v>
      </c>
    </row>
    <row r="516">
      <c r="A516" t="inlineStr">
        <is>
          <t>2023-07-21</t>
        </is>
      </c>
      <c r="B516" t="n">
        <v>1961.800048828125</v>
      </c>
      <c r="C516" t="n">
        <v>1964.300048828125</v>
      </c>
      <c r="D516" t="n">
        <v>1961.800048828125</v>
      </c>
      <c r="E516" t="n">
        <v>1964.300048828125</v>
      </c>
      <c r="F516" t="n">
        <v>50</v>
      </c>
    </row>
    <row r="517">
      <c r="A517" t="inlineStr">
        <is>
          <t>2023-07-24</t>
        </is>
      </c>
      <c r="B517" t="n">
        <v>1965.300048828125</v>
      </c>
      <c r="C517" t="n">
        <v>1965.5</v>
      </c>
      <c r="D517" t="n">
        <v>1960.300048828125</v>
      </c>
      <c r="E517" t="n">
        <v>1960.300048828125</v>
      </c>
      <c r="F517" t="n">
        <v>2</v>
      </c>
    </row>
    <row r="518">
      <c r="A518" t="inlineStr">
        <is>
          <t>2023-07-25</t>
        </is>
      </c>
      <c r="B518" t="n">
        <v>1953</v>
      </c>
      <c r="C518" t="n">
        <v>1962.5</v>
      </c>
      <c r="D518" t="n">
        <v>1953</v>
      </c>
      <c r="E518" t="n">
        <v>1962.099975585938</v>
      </c>
      <c r="F518" t="n">
        <v>19</v>
      </c>
    </row>
    <row r="519">
      <c r="A519" t="inlineStr">
        <is>
          <t>2023-07-26</t>
        </is>
      </c>
      <c r="B519" t="n">
        <v>1966.199951171875</v>
      </c>
      <c r="C519" t="n">
        <v>1972</v>
      </c>
      <c r="D519" t="n">
        <v>1966.199951171875</v>
      </c>
      <c r="E519" t="n">
        <v>1968.900024414062</v>
      </c>
      <c r="F519" t="n">
        <v>51</v>
      </c>
    </row>
    <row r="520">
      <c r="A520" t="inlineStr">
        <is>
          <t>2023-07-27</t>
        </is>
      </c>
      <c r="B520" t="n">
        <v>1945.400024414062</v>
      </c>
      <c r="C520" t="n">
        <v>1945.400024414062</v>
      </c>
      <c r="D520" t="n">
        <v>1945.400024414062</v>
      </c>
      <c r="E520" t="n">
        <v>1945.400024414062</v>
      </c>
      <c r="F520" t="n">
        <v>194253</v>
      </c>
    </row>
    <row r="521">
      <c r="A521" t="inlineStr">
        <is>
          <t>2023-07-28</t>
        </is>
      </c>
      <c r="B521" t="n">
        <v>1945.5</v>
      </c>
      <c r="C521" t="n">
        <v>1962.199951171875</v>
      </c>
      <c r="D521" t="n">
        <v>1944.199951171875</v>
      </c>
      <c r="E521" t="n">
        <v>1960.400024414062</v>
      </c>
      <c r="F521" t="n">
        <v>23155</v>
      </c>
    </row>
    <row r="522">
      <c r="A522" t="inlineStr">
        <is>
          <t>2023-07-31</t>
        </is>
      </c>
      <c r="B522" t="n">
        <v>1959.199951171875</v>
      </c>
      <c r="C522" t="n">
        <v>1971.599975585938</v>
      </c>
      <c r="D522" t="n">
        <v>1950</v>
      </c>
      <c r="E522" t="n">
        <v>1970.5</v>
      </c>
      <c r="F522" t="n">
        <v>1025</v>
      </c>
    </row>
    <row r="523">
      <c r="A523" t="inlineStr">
        <is>
          <t>2023-08-01</t>
        </is>
      </c>
      <c r="B523" t="n">
        <v>1964.900024414062</v>
      </c>
      <c r="C523" t="n">
        <v>1965.400024414062</v>
      </c>
      <c r="D523" t="n">
        <v>1940.699951171875</v>
      </c>
      <c r="E523" t="n">
        <v>1940.699951171875</v>
      </c>
      <c r="F523" t="n">
        <v>688</v>
      </c>
    </row>
    <row r="524">
      <c r="A524" t="inlineStr">
        <is>
          <t>2023-08-02</t>
        </is>
      </c>
      <c r="B524" t="n">
        <v>1948.400024414062</v>
      </c>
      <c r="C524" t="n">
        <v>1953.599975585938</v>
      </c>
      <c r="D524" t="n">
        <v>1933.199951171875</v>
      </c>
      <c r="E524" t="n">
        <v>1937.400024414062</v>
      </c>
      <c r="F524" t="n">
        <v>652</v>
      </c>
    </row>
    <row r="525">
      <c r="A525" t="inlineStr">
        <is>
          <t>2023-08-03</t>
        </is>
      </c>
      <c r="B525" t="n">
        <v>1934.199951171875</v>
      </c>
      <c r="C525" t="n">
        <v>1936.5</v>
      </c>
      <c r="D525" t="n">
        <v>1928</v>
      </c>
      <c r="E525" t="n">
        <v>1932</v>
      </c>
      <c r="F525" t="n">
        <v>773</v>
      </c>
    </row>
    <row r="526">
      <c r="A526" t="inlineStr">
        <is>
          <t>2023-08-04</t>
        </is>
      </c>
      <c r="B526" t="n">
        <v>1934.900024414062</v>
      </c>
      <c r="C526" t="n">
        <v>1945</v>
      </c>
      <c r="D526" t="n">
        <v>1920</v>
      </c>
      <c r="E526" t="n">
        <v>1939.599975585938</v>
      </c>
      <c r="F526" t="n">
        <v>290</v>
      </c>
    </row>
    <row r="527">
      <c r="A527" t="inlineStr">
        <is>
          <t>2023-08-07</t>
        </is>
      </c>
      <c r="B527" t="n">
        <v>1941</v>
      </c>
      <c r="C527" t="n">
        <v>1941</v>
      </c>
      <c r="D527" t="n">
        <v>1929.800048828125</v>
      </c>
      <c r="E527" t="n">
        <v>1933.5</v>
      </c>
      <c r="F527" t="n">
        <v>376</v>
      </c>
    </row>
    <row r="528">
      <c r="A528" t="inlineStr">
        <is>
          <t>2023-08-08</t>
        </is>
      </c>
      <c r="B528" t="n">
        <v>1931.699951171875</v>
      </c>
      <c r="C528" t="n">
        <v>1933.199951171875</v>
      </c>
      <c r="D528" t="n">
        <v>1923</v>
      </c>
      <c r="E528" t="n">
        <v>1924.099975585938</v>
      </c>
      <c r="F528" t="n">
        <v>555</v>
      </c>
    </row>
    <row r="529">
      <c r="A529" t="inlineStr">
        <is>
          <t>2023-08-09</t>
        </is>
      </c>
      <c r="B529" t="n">
        <v>1925.400024414062</v>
      </c>
      <c r="C529" t="n">
        <v>1928.800048828125</v>
      </c>
      <c r="D529" t="n">
        <v>1913.699951171875</v>
      </c>
      <c r="E529" t="n">
        <v>1915.400024414062</v>
      </c>
      <c r="F529" t="n">
        <v>451</v>
      </c>
    </row>
    <row r="530">
      <c r="A530" t="inlineStr">
        <is>
          <t>2023-08-10</t>
        </is>
      </c>
      <c r="B530" t="n">
        <v>1921.099975585938</v>
      </c>
      <c r="C530" t="n">
        <v>1927.800048828125</v>
      </c>
      <c r="D530" t="n">
        <v>1911.400024414062</v>
      </c>
      <c r="E530" t="n">
        <v>1914.400024414062</v>
      </c>
      <c r="F530" t="n">
        <v>178</v>
      </c>
    </row>
    <row r="531">
      <c r="A531" t="inlineStr">
        <is>
          <t>2023-08-11</t>
        </is>
      </c>
      <c r="B531" t="n">
        <v>1913</v>
      </c>
      <c r="C531" t="n">
        <v>1916.599975585938</v>
      </c>
      <c r="D531" t="n">
        <v>1911.800048828125</v>
      </c>
      <c r="E531" t="n">
        <v>1912.900024414062</v>
      </c>
      <c r="F531" t="n">
        <v>57</v>
      </c>
    </row>
    <row r="532">
      <c r="A532" t="inlineStr">
        <is>
          <t>2023-08-14</t>
        </is>
      </c>
      <c r="B532" t="n">
        <v>1909.300048828125</v>
      </c>
      <c r="C532" t="n">
        <v>1912.599975585938</v>
      </c>
      <c r="D532" t="n">
        <v>1903.300048828125</v>
      </c>
      <c r="E532" t="n">
        <v>1910.599975585938</v>
      </c>
      <c r="F532" t="n">
        <v>46</v>
      </c>
    </row>
    <row r="533">
      <c r="A533" t="inlineStr">
        <is>
          <t>2023-08-15</t>
        </is>
      </c>
      <c r="B533" t="n">
        <v>1906</v>
      </c>
      <c r="C533" t="n">
        <v>1907.699951171875</v>
      </c>
      <c r="D533" t="n">
        <v>1895</v>
      </c>
      <c r="E533" t="n">
        <v>1902.5</v>
      </c>
      <c r="F533" t="n">
        <v>73</v>
      </c>
    </row>
    <row r="534">
      <c r="A534" t="inlineStr">
        <is>
          <t>2023-08-16</t>
        </is>
      </c>
      <c r="B534" t="n">
        <v>1904.5</v>
      </c>
      <c r="C534" t="n">
        <v>1904.5</v>
      </c>
      <c r="D534" t="n">
        <v>1890.300048828125</v>
      </c>
      <c r="E534" t="n">
        <v>1896.099975585938</v>
      </c>
      <c r="F534" t="n">
        <v>22</v>
      </c>
    </row>
    <row r="535">
      <c r="A535" t="inlineStr">
        <is>
          <t>2023-08-17</t>
        </is>
      </c>
      <c r="B535" t="n">
        <v>1893.699951171875</v>
      </c>
      <c r="C535" t="n">
        <v>1902.400024414062</v>
      </c>
      <c r="D535" t="n">
        <v>1884</v>
      </c>
      <c r="E535" t="n">
        <v>1884.099975585938</v>
      </c>
      <c r="F535" t="n">
        <v>245</v>
      </c>
    </row>
    <row r="536">
      <c r="A536" t="inlineStr">
        <is>
          <t>2023-08-18</t>
        </is>
      </c>
      <c r="B536" t="n">
        <v>1891.800048828125</v>
      </c>
      <c r="C536" t="n">
        <v>1891.800048828125</v>
      </c>
      <c r="D536" t="n">
        <v>1886.099975585938</v>
      </c>
      <c r="E536" t="n">
        <v>1886.099975585938</v>
      </c>
      <c r="F536" t="n">
        <v>19</v>
      </c>
    </row>
    <row r="537">
      <c r="A537" t="inlineStr">
        <is>
          <t>2023-08-21</t>
        </is>
      </c>
      <c r="B537" t="n">
        <v>1893.599975585938</v>
      </c>
      <c r="C537" t="n">
        <v>1893.599975585938</v>
      </c>
      <c r="D537" t="n">
        <v>1893.300048828125</v>
      </c>
      <c r="E537" t="n">
        <v>1893.300048828125</v>
      </c>
      <c r="F537" t="n">
        <v>876</v>
      </c>
    </row>
    <row r="538">
      <c r="A538" t="inlineStr">
        <is>
          <t>2023-08-22</t>
        </is>
      </c>
      <c r="B538" t="n">
        <v>1894.599975585938</v>
      </c>
      <c r="C538" t="n">
        <v>1896.800048828125</v>
      </c>
      <c r="D538" t="n">
        <v>1892.800048828125</v>
      </c>
      <c r="E538" t="n">
        <v>1896.400024414062</v>
      </c>
      <c r="F538" t="n">
        <v>46</v>
      </c>
    </row>
    <row r="539">
      <c r="A539" t="inlineStr">
        <is>
          <t>2023-08-23</t>
        </is>
      </c>
      <c r="B539" t="n">
        <v>1909.599975585938</v>
      </c>
      <c r="C539" t="n">
        <v>1918.5</v>
      </c>
      <c r="D539" t="n">
        <v>1909.599975585938</v>
      </c>
      <c r="E539" t="n">
        <v>1918.5</v>
      </c>
      <c r="F539" t="n">
        <v>547</v>
      </c>
    </row>
    <row r="540">
      <c r="A540" t="inlineStr">
        <is>
          <t>2023-08-24</t>
        </is>
      </c>
      <c r="B540" t="n">
        <v>1920</v>
      </c>
      <c r="C540" t="n">
        <v>1920.800048828125</v>
      </c>
      <c r="D540" t="n">
        <v>1918.199951171875</v>
      </c>
      <c r="E540" t="n">
        <v>1918.199951171875</v>
      </c>
      <c r="F540" t="n">
        <v>337</v>
      </c>
    </row>
    <row r="541">
      <c r="A541" t="inlineStr">
        <is>
          <t>2023-08-25</t>
        </is>
      </c>
      <c r="B541" t="n">
        <v>1919.800048828125</v>
      </c>
      <c r="C541" t="n">
        <v>1919.800048828125</v>
      </c>
      <c r="D541" t="n">
        <v>1911.099975585938</v>
      </c>
      <c r="E541" t="n">
        <v>1911.099975585938</v>
      </c>
      <c r="F541" t="n">
        <v>195</v>
      </c>
    </row>
    <row r="542">
      <c r="A542" t="inlineStr">
        <is>
          <t>2023-08-28</t>
        </is>
      </c>
      <c r="B542" t="n">
        <v>1915.5</v>
      </c>
      <c r="C542" t="n">
        <v>1921.5</v>
      </c>
      <c r="D542" t="n">
        <v>1915.5</v>
      </c>
      <c r="E542" t="n">
        <v>1917.900024414062</v>
      </c>
      <c r="F542" t="n">
        <v>99</v>
      </c>
    </row>
    <row r="543">
      <c r="A543" t="inlineStr">
        <is>
          <t>2023-08-29</t>
        </is>
      </c>
      <c r="B543" t="n">
        <v>1917.900024414062</v>
      </c>
      <c r="C543" t="n">
        <v>1936.5</v>
      </c>
      <c r="D543" t="n">
        <v>1916.900024414062</v>
      </c>
      <c r="E543" t="n">
        <v>1936.5</v>
      </c>
      <c r="F543" t="n">
        <v>1674</v>
      </c>
    </row>
    <row r="544">
      <c r="A544" t="inlineStr">
        <is>
          <t>2023-08-30</t>
        </is>
      </c>
      <c r="B544" t="n">
        <v>1936</v>
      </c>
      <c r="C544" t="n">
        <v>1946.400024414062</v>
      </c>
      <c r="D544" t="n">
        <v>1934.599975585938</v>
      </c>
      <c r="E544" t="n">
        <v>1944.300048828125</v>
      </c>
      <c r="F544" t="n">
        <v>396</v>
      </c>
    </row>
    <row r="545">
      <c r="A545" t="inlineStr">
        <is>
          <t>2023-08-31</t>
        </is>
      </c>
      <c r="B545" t="n">
        <v>1944.400024414062</v>
      </c>
      <c r="C545" t="n">
        <v>1944.400024414062</v>
      </c>
      <c r="D545" t="n">
        <v>1938.199951171875</v>
      </c>
      <c r="E545" t="n">
        <v>1938.199951171875</v>
      </c>
      <c r="F545" t="n">
        <v>491</v>
      </c>
    </row>
    <row r="546">
      <c r="A546" t="inlineStr">
        <is>
          <t>2023-09-01</t>
        </is>
      </c>
      <c r="B546" t="n">
        <v>1950</v>
      </c>
      <c r="C546" t="n">
        <v>1950</v>
      </c>
      <c r="D546" t="n">
        <v>1936.599975585938</v>
      </c>
      <c r="E546" t="n">
        <v>1939.800048828125</v>
      </c>
      <c r="F546" t="n">
        <v>167</v>
      </c>
    </row>
    <row r="547">
      <c r="A547" t="inlineStr">
        <is>
          <t>2023-09-05</t>
        </is>
      </c>
      <c r="B547" t="n">
        <v>1934.400024414062</v>
      </c>
      <c r="C547" t="n">
        <v>1934.400024414062</v>
      </c>
      <c r="D547" t="n">
        <v>1924.699951171875</v>
      </c>
      <c r="E547" t="n">
        <v>1926.199951171875</v>
      </c>
      <c r="F547" t="n">
        <v>113</v>
      </c>
    </row>
    <row r="548">
      <c r="A548" t="inlineStr">
        <is>
          <t>2023-09-06</t>
        </is>
      </c>
      <c r="B548" t="n">
        <v>1924.099975585938</v>
      </c>
      <c r="C548" t="n">
        <v>1925.300048828125</v>
      </c>
      <c r="D548" t="n">
        <v>1916.300048828125</v>
      </c>
      <c r="E548" t="n">
        <v>1918.099975585938</v>
      </c>
      <c r="F548" t="n">
        <v>24</v>
      </c>
    </row>
    <row r="549">
      <c r="A549" t="inlineStr">
        <is>
          <t>2023-09-07</t>
        </is>
      </c>
      <c r="B549" t="n">
        <v>1917.599975585938</v>
      </c>
      <c r="C549" t="n">
        <v>1921.5</v>
      </c>
      <c r="D549" t="n">
        <v>1917.5</v>
      </c>
      <c r="E549" t="n">
        <v>1917.5</v>
      </c>
      <c r="F549" t="n">
        <v>41</v>
      </c>
    </row>
    <row r="550">
      <c r="A550" t="inlineStr">
        <is>
          <t>2023-09-08</t>
        </is>
      </c>
      <c r="B550" t="n">
        <v>1924</v>
      </c>
      <c r="C550" t="n">
        <v>1924.699951171875</v>
      </c>
      <c r="D550" t="n">
        <v>1918.400024414062</v>
      </c>
      <c r="E550" t="n">
        <v>1918.400024414062</v>
      </c>
      <c r="F550" t="n">
        <v>105</v>
      </c>
    </row>
    <row r="551">
      <c r="A551" t="inlineStr">
        <is>
          <t>2023-09-11</t>
        </is>
      </c>
      <c r="B551" t="n">
        <v>1923</v>
      </c>
      <c r="C551" t="n">
        <v>1928.300048828125</v>
      </c>
      <c r="D551" t="n">
        <v>1921.800048828125</v>
      </c>
      <c r="E551" t="n">
        <v>1923.300048828125</v>
      </c>
      <c r="F551" t="n">
        <v>50</v>
      </c>
    </row>
    <row r="552">
      <c r="A552" t="inlineStr">
        <is>
          <t>2023-09-12</t>
        </is>
      </c>
      <c r="B552" t="n">
        <v>1920.800048828125</v>
      </c>
      <c r="C552" t="n">
        <v>1920.800048828125</v>
      </c>
      <c r="D552" t="n">
        <v>1911.300048828125</v>
      </c>
      <c r="E552" t="n">
        <v>1911.300048828125</v>
      </c>
      <c r="F552" t="n">
        <v>365</v>
      </c>
    </row>
    <row r="553">
      <c r="A553" t="inlineStr">
        <is>
          <t>2023-09-13</t>
        </is>
      </c>
      <c r="B553" t="n">
        <v>1910.300048828125</v>
      </c>
      <c r="C553" t="n">
        <v>1914.599975585938</v>
      </c>
      <c r="D553" t="n">
        <v>1908.900024414062</v>
      </c>
      <c r="E553" t="n">
        <v>1909.099975585938</v>
      </c>
      <c r="F553" t="n">
        <v>15</v>
      </c>
    </row>
    <row r="554">
      <c r="A554" t="inlineStr">
        <is>
          <t>2023-09-14</t>
        </is>
      </c>
      <c r="B554" t="n">
        <v>1903</v>
      </c>
      <c r="C554" t="n">
        <v>1910</v>
      </c>
      <c r="D554" t="n">
        <v>1903</v>
      </c>
      <c r="E554" t="n">
        <v>1910</v>
      </c>
      <c r="F554" t="n">
        <v>169</v>
      </c>
    </row>
    <row r="555">
      <c r="A555" t="inlineStr">
        <is>
          <t>2023-09-15</t>
        </is>
      </c>
      <c r="B555" t="n">
        <v>1923.5</v>
      </c>
      <c r="C555" t="n">
        <v>1927.300048828125</v>
      </c>
      <c r="D555" t="n">
        <v>1923.5</v>
      </c>
      <c r="E555" t="n">
        <v>1923.699951171875</v>
      </c>
      <c r="F555" t="n">
        <v>8</v>
      </c>
    </row>
    <row r="556">
      <c r="A556" t="inlineStr">
        <is>
          <t>2023-09-18</t>
        </is>
      </c>
      <c r="B556" t="n">
        <v>1928.199951171875</v>
      </c>
      <c r="C556" t="n">
        <v>1931.5</v>
      </c>
      <c r="D556" t="n">
        <v>1926.400024414062</v>
      </c>
      <c r="E556" t="n">
        <v>1931.5</v>
      </c>
      <c r="F556" t="n">
        <v>19</v>
      </c>
    </row>
    <row r="557">
      <c r="A557" t="inlineStr">
        <is>
          <t>2023-09-19</t>
        </is>
      </c>
      <c r="B557" t="n">
        <v>1934</v>
      </c>
      <c r="C557" t="n">
        <v>1934</v>
      </c>
      <c r="D557" t="n">
        <v>1932</v>
      </c>
      <c r="E557" t="n">
        <v>1932</v>
      </c>
      <c r="F557" t="n">
        <v>6</v>
      </c>
    </row>
    <row r="558">
      <c r="A558" t="inlineStr">
        <is>
          <t>2023-09-20</t>
        </is>
      </c>
      <c r="B558" t="n">
        <v>1945.599975585938</v>
      </c>
      <c r="C558" t="n">
        <v>1945.599975585938</v>
      </c>
      <c r="D558" t="n">
        <v>1929.199951171875</v>
      </c>
      <c r="E558" t="n">
        <v>1945.599975585938</v>
      </c>
      <c r="F558" t="n">
        <v>119</v>
      </c>
    </row>
    <row r="559">
      <c r="A559" t="inlineStr">
        <is>
          <t>2023-09-21</t>
        </is>
      </c>
      <c r="B559" t="n">
        <v>1924</v>
      </c>
      <c r="C559" t="n">
        <v>1924</v>
      </c>
      <c r="D559" t="n">
        <v>1919.199951171875</v>
      </c>
      <c r="E559" t="n">
        <v>1919.199951171875</v>
      </c>
      <c r="F559" t="n">
        <v>9</v>
      </c>
    </row>
    <row r="560">
      <c r="A560" t="inlineStr">
        <is>
          <t>2023-09-22</t>
        </is>
      </c>
      <c r="B560" t="n">
        <v>1925.400024414062</v>
      </c>
      <c r="C560" t="n">
        <v>1925.400024414062</v>
      </c>
      <c r="D560" t="n">
        <v>1925.400024414062</v>
      </c>
      <c r="E560" t="n">
        <v>1925.400024414062</v>
      </c>
      <c r="F560" t="n">
        <v>1</v>
      </c>
    </row>
    <row r="561">
      <c r="A561" t="inlineStr">
        <is>
          <t>2023-09-25</t>
        </is>
      </c>
      <c r="B561" t="n">
        <v>1916.599975585938</v>
      </c>
      <c r="C561" t="n">
        <v>1916.599975585938</v>
      </c>
      <c r="D561" t="n">
        <v>1916.599975585938</v>
      </c>
      <c r="E561" t="n">
        <v>1916.599975585938</v>
      </c>
      <c r="F561" t="n">
        <v>114</v>
      </c>
    </row>
    <row r="562">
      <c r="A562" t="inlineStr">
        <is>
          <t>2023-09-26</t>
        </is>
      </c>
      <c r="B562" t="n">
        <v>1905</v>
      </c>
      <c r="C562" t="n">
        <v>1905.099975585938</v>
      </c>
      <c r="D562" t="n">
        <v>1900.400024414062</v>
      </c>
      <c r="E562" t="n">
        <v>1900.400024414062</v>
      </c>
      <c r="F562" t="n">
        <v>161</v>
      </c>
    </row>
    <row r="563">
      <c r="A563" t="inlineStr">
        <is>
          <t>2023-09-27</t>
        </is>
      </c>
      <c r="B563" t="n">
        <v>1871.599975585938</v>
      </c>
      <c r="C563" t="n">
        <v>1871.599975585938</v>
      </c>
      <c r="D563" t="n">
        <v>1871.599975585938</v>
      </c>
      <c r="E563" t="n">
        <v>1871.599975585938</v>
      </c>
      <c r="F563" t="n">
        <v>12251</v>
      </c>
    </row>
    <row r="564">
      <c r="A564" t="inlineStr">
        <is>
          <t>2023-09-28</t>
        </is>
      </c>
      <c r="B564" t="n">
        <v>1875.5</v>
      </c>
      <c r="C564" t="n">
        <v>1878.199951171875</v>
      </c>
      <c r="D564" t="n">
        <v>1856.699951171875</v>
      </c>
      <c r="E564" t="n">
        <v>1860.400024414062</v>
      </c>
      <c r="F564" t="n">
        <v>4654</v>
      </c>
    </row>
    <row r="565">
      <c r="A565" t="inlineStr">
        <is>
          <t>2023-09-29</t>
        </is>
      </c>
      <c r="B565" t="n">
        <v>1864.300048828125</v>
      </c>
      <c r="C565" t="n">
        <v>1872.300048828125</v>
      </c>
      <c r="D565" t="n">
        <v>1846</v>
      </c>
      <c r="E565" t="n">
        <v>1848.099975585938</v>
      </c>
      <c r="F565" t="n">
        <v>1605</v>
      </c>
    </row>
    <row r="566">
      <c r="A566" t="inlineStr">
        <is>
          <t>2023-10-02</t>
        </is>
      </c>
      <c r="B566" t="n">
        <v>1844.099975585938</v>
      </c>
      <c r="C566" t="n">
        <v>1845.900024414062</v>
      </c>
      <c r="D566" t="n">
        <v>1826.699951171875</v>
      </c>
      <c r="E566" t="n">
        <v>1830</v>
      </c>
      <c r="F566" t="n">
        <v>2309</v>
      </c>
    </row>
    <row r="567">
      <c r="A567" t="inlineStr">
        <is>
          <t>2023-10-03</t>
        </is>
      </c>
      <c r="B567" t="n">
        <v>1825</v>
      </c>
      <c r="C567" t="n">
        <v>1830.900024414062</v>
      </c>
      <c r="D567" t="n">
        <v>1816.800048828125</v>
      </c>
      <c r="E567" t="n">
        <v>1824.599975585938</v>
      </c>
      <c r="F567" t="n">
        <v>310</v>
      </c>
    </row>
    <row r="568">
      <c r="A568" t="inlineStr">
        <is>
          <t>2023-10-04</t>
        </is>
      </c>
      <c r="B568" t="n">
        <v>1821.800048828125</v>
      </c>
      <c r="C568" t="n">
        <v>1828.199951171875</v>
      </c>
      <c r="D568" t="n">
        <v>1816.400024414062</v>
      </c>
      <c r="E568" t="n">
        <v>1818.5</v>
      </c>
      <c r="F568" t="n">
        <v>357</v>
      </c>
    </row>
    <row r="569">
      <c r="A569" t="inlineStr">
        <is>
          <t>2023-10-05</t>
        </is>
      </c>
      <c r="B569" t="n">
        <v>1826.300048828125</v>
      </c>
      <c r="C569" t="n">
        <v>1826.300048828125</v>
      </c>
      <c r="D569" t="n">
        <v>1815.599975585938</v>
      </c>
      <c r="E569" t="n">
        <v>1816.599975585938</v>
      </c>
      <c r="F569" t="n">
        <v>393</v>
      </c>
    </row>
    <row r="570">
      <c r="A570" t="inlineStr">
        <is>
          <t>2023-10-06</t>
        </is>
      </c>
      <c r="B570" t="n">
        <v>1819</v>
      </c>
      <c r="C570" t="n">
        <v>1831.800048828125</v>
      </c>
      <c r="D570" t="n">
        <v>1809.400024414062</v>
      </c>
      <c r="E570" t="n">
        <v>1830.199951171875</v>
      </c>
      <c r="F570" t="n">
        <v>390</v>
      </c>
    </row>
    <row r="571">
      <c r="A571" t="inlineStr">
        <is>
          <t>2023-10-09</t>
        </is>
      </c>
      <c r="B571" t="n">
        <v>1842.5</v>
      </c>
      <c r="C571" t="n">
        <v>1861.5</v>
      </c>
      <c r="D571" t="n">
        <v>1842.5</v>
      </c>
      <c r="E571" t="n">
        <v>1849.5</v>
      </c>
      <c r="F571" t="n">
        <v>232</v>
      </c>
    </row>
    <row r="572">
      <c r="A572" t="inlineStr">
        <is>
          <t>2023-10-10</t>
        </is>
      </c>
      <c r="B572" t="n">
        <v>1857</v>
      </c>
      <c r="C572" t="n">
        <v>1861.400024414062</v>
      </c>
      <c r="D572" t="n">
        <v>1852.800048828125</v>
      </c>
      <c r="E572" t="n">
        <v>1861</v>
      </c>
      <c r="F572" t="n">
        <v>236</v>
      </c>
    </row>
    <row r="573">
      <c r="A573" t="inlineStr">
        <is>
          <t>2023-10-11</t>
        </is>
      </c>
      <c r="B573" t="n">
        <v>1869.5</v>
      </c>
      <c r="C573" t="n">
        <v>1874.599975585938</v>
      </c>
      <c r="D573" t="n">
        <v>1869.099975585938</v>
      </c>
      <c r="E573" t="n">
        <v>1872.800048828125</v>
      </c>
      <c r="F573" t="n">
        <v>65</v>
      </c>
    </row>
    <row r="574">
      <c r="A574" t="inlineStr">
        <is>
          <t>2023-10-12</t>
        </is>
      </c>
      <c r="B574" t="n">
        <v>1874.699951171875</v>
      </c>
      <c r="C574" t="n">
        <v>1881.199951171875</v>
      </c>
      <c r="D574" t="n">
        <v>1867</v>
      </c>
      <c r="E574" t="n">
        <v>1869.300048828125</v>
      </c>
      <c r="F574" t="n">
        <v>46</v>
      </c>
    </row>
    <row r="575">
      <c r="A575" t="inlineStr">
        <is>
          <t>2023-10-13</t>
        </is>
      </c>
      <c r="B575" t="n">
        <v>1877.5</v>
      </c>
      <c r="C575" t="n">
        <v>1930.099975585938</v>
      </c>
      <c r="D575" t="n">
        <v>1877.5</v>
      </c>
      <c r="E575" t="n">
        <v>1927.400024414062</v>
      </c>
      <c r="F575" t="n">
        <v>43</v>
      </c>
    </row>
    <row r="576">
      <c r="A576" t="inlineStr">
        <is>
          <t>2023-10-16</t>
        </is>
      </c>
      <c r="B576" t="n">
        <v>1910.400024414062</v>
      </c>
      <c r="C576" t="n">
        <v>1921.099975585938</v>
      </c>
      <c r="D576" t="n">
        <v>1910.300048828125</v>
      </c>
      <c r="E576" t="n">
        <v>1921.099975585938</v>
      </c>
      <c r="F576" t="n">
        <v>53</v>
      </c>
    </row>
    <row r="577">
      <c r="A577" t="inlineStr">
        <is>
          <t>2023-10-17</t>
        </is>
      </c>
      <c r="B577" t="n">
        <v>1914.300048828125</v>
      </c>
      <c r="C577" t="n">
        <v>1925.800048828125</v>
      </c>
      <c r="D577" t="n">
        <v>1914.300048828125</v>
      </c>
      <c r="E577" t="n">
        <v>1922.699951171875</v>
      </c>
      <c r="F577" t="n">
        <v>103</v>
      </c>
    </row>
    <row r="578">
      <c r="A578" t="inlineStr">
        <is>
          <t>2023-10-18</t>
        </is>
      </c>
      <c r="B578" t="n">
        <v>1935</v>
      </c>
      <c r="C578" t="n">
        <v>1957.900024414062</v>
      </c>
      <c r="D578" t="n">
        <v>1935</v>
      </c>
      <c r="E578" t="n">
        <v>1955.300048828125</v>
      </c>
      <c r="F578" t="n">
        <v>67</v>
      </c>
    </row>
    <row r="579">
      <c r="A579" t="inlineStr">
        <is>
          <t>2023-10-19</t>
        </is>
      </c>
      <c r="B579" t="n">
        <v>1950.099975585938</v>
      </c>
      <c r="C579" t="n">
        <v>1977.699951171875</v>
      </c>
      <c r="D579" t="n">
        <v>1945.699951171875</v>
      </c>
      <c r="E579" t="n">
        <v>1968.400024414062</v>
      </c>
      <c r="F579" t="n">
        <v>1945</v>
      </c>
    </row>
    <row r="580">
      <c r="A580" t="inlineStr">
        <is>
          <t>2023-10-20</t>
        </is>
      </c>
      <c r="B580" t="n">
        <v>1981.099975585938</v>
      </c>
      <c r="C580" t="n">
        <v>1988.599975585938</v>
      </c>
      <c r="D580" t="n">
        <v>1980.400024414062</v>
      </c>
      <c r="E580" t="n">
        <v>1982.5</v>
      </c>
      <c r="F580" t="n">
        <v>557</v>
      </c>
    </row>
    <row r="581">
      <c r="A581" t="inlineStr">
        <is>
          <t>2023-10-23</t>
        </is>
      </c>
      <c r="B581" t="n">
        <v>1976.199951171875</v>
      </c>
      <c r="C581" t="n">
        <v>1978.900024414062</v>
      </c>
      <c r="D581" t="n">
        <v>1972.900024414062</v>
      </c>
      <c r="E581" t="n">
        <v>1976.300048828125</v>
      </c>
      <c r="F581" t="n">
        <v>127</v>
      </c>
    </row>
    <row r="582">
      <c r="A582" t="inlineStr">
        <is>
          <t>2023-10-24</t>
        </is>
      </c>
      <c r="B582" t="n">
        <v>1970.300048828125</v>
      </c>
      <c r="C582" t="n">
        <v>1975</v>
      </c>
      <c r="D582" t="n">
        <v>1970.300048828125</v>
      </c>
      <c r="E582" t="n">
        <v>1975</v>
      </c>
      <c r="F582" t="n">
        <v>10</v>
      </c>
    </row>
    <row r="583">
      <c r="A583" t="inlineStr">
        <is>
          <t>2023-10-25</t>
        </is>
      </c>
      <c r="B583" t="n">
        <v>1971.199951171875</v>
      </c>
      <c r="C583" t="n">
        <v>1985.300048828125</v>
      </c>
      <c r="D583" t="n">
        <v>1971.199951171875</v>
      </c>
      <c r="E583" t="n">
        <v>1984.099975585938</v>
      </c>
      <c r="F583" t="n">
        <v>97</v>
      </c>
    </row>
    <row r="584">
      <c r="A584" t="inlineStr">
        <is>
          <t>2023-10-26</t>
        </is>
      </c>
      <c r="B584" t="n">
        <v>1988.199951171875</v>
      </c>
      <c r="C584" t="n">
        <v>1988.199951171875</v>
      </c>
      <c r="D584" t="n">
        <v>1980.400024414062</v>
      </c>
      <c r="E584" t="n">
        <v>1987.199951171875</v>
      </c>
      <c r="F584" t="n">
        <v>521</v>
      </c>
    </row>
    <row r="585">
      <c r="A585" t="inlineStr">
        <is>
          <t>2023-10-27</t>
        </is>
      </c>
      <c r="B585" t="n">
        <v>1988.599975585938</v>
      </c>
      <c r="C585" t="n">
        <v>1988.599975585938</v>
      </c>
      <c r="D585" t="n">
        <v>1988.599975585938</v>
      </c>
      <c r="E585" t="n">
        <v>1988.599975585938</v>
      </c>
      <c r="F585" t="n">
        <v>372</v>
      </c>
    </row>
    <row r="586">
      <c r="A586" t="inlineStr">
        <is>
          <t>2023-10-30</t>
        </is>
      </c>
      <c r="B586" t="n">
        <v>2004.099975585938</v>
      </c>
      <c r="C586" t="n">
        <v>2004.099975585938</v>
      </c>
      <c r="D586" t="n">
        <v>1992.5</v>
      </c>
      <c r="E586" t="n">
        <v>1996.199951171875</v>
      </c>
      <c r="F586" t="n">
        <v>157</v>
      </c>
    </row>
    <row r="587">
      <c r="A587" t="inlineStr">
        <is>
          <t>2023-10-31</t>
        </is>
      </c>
      <c r="B587" t="n">
        <v>1996.5</v>
      </c>
      <c r="C587" t="n">
        <v>2001</v>
      </c>
      <c r="D587" t="n">
        <v>1983.699951171875</v>
      </c>
      <c r="E587" t="n">
        <v>1985.199951171875</v>
      </c>
      <c r="F587" t="n">
        <v>84</v>
      </c>
    </row>
    <row r="588">
      <c r="A588" t="inlineStr">
        <is>
          <t>2023-11-01</t>
        </is>
      </c>
      <c r="B588" t="n">
        <v>1990.5</v>
      </c>
      <c r="C588" t="n">
        <v>1990.5</v>
      </c>
      <c r="D588" t="n">
        <v>1977.800048828125</v>
      </c>
      <c r="E588" t="n">
        <v>1978.800048828125</v>
      </c>
      <c r="F588" t="n">
        <v>41</v>
      </c>
    </row>
    <row r="589">
      <c r="A589" t="inlineStr">
        <is>
          <t>2023-11-02</t>
        </is>
      </c>
      <c r="B589" t="n">
        <v>1989.099975585938</v>
      </c>
      <c r="C589" t="n">
        <v>1990.300048828125</v>
      </c>
      <c r="D589" t="n">
        <v>1979.5</v>
      </c>
      <c r="E589" t="n">
        <v>1985.599975585938</v>
      </c>
      <c r="F589" t="n">
        <v>39</v>
      </c>
    </row>
    <row r="590">
      <c r="A590" t="inlineStr">
        <is>
          <t>2023-11-03</t>
        </is>
      </c>
      <c r="B590" t="n">
        <v>1989</v>
      </c>
      <c r="C590" t="n">
        <v>1991.5</v>
      </c>
      <c r="D590" t="n">
        <v>1989</v>
      </c>
      <c r="E590" t="n">
        <v>1991.5</v>
      </c>
      <c r="F590" t="n">
        <v>12</v>
      </c>
    </row>
    <row r="591">
      <c r="A591" t="inlineStr">
        <is>
          <t>2023-11-06</t>
        </is>
      </c>
      <c r="B591" t="n">
        <v>1981.599975585938</v>
      </c>
      <c r="C591" t="n">
        <v>1981.599975585938</v>
      </c>
      <c r="D591" t="n">
        <v>1977.400024414062</v>
      </c>
      <c r="E591" t="n">
        <v>1981.599975585938</v>
      </c>
      <c r="F591" t="n">
        <v>130</v>
      </c>
    </row>
    <row r="592">
      <c r="A592" t="inlineStr">
        <is>
          <t>2023-11-07</t>
        </is>
      </c>
      <c r="B592" t="n">
        <v>1966.5</v>
      </c>
      <c r="C592" t="n">
        <v>1966.800048828125</v>
      </c>
      <c r="D592" t="n">
        <v>1960.699951171875</v>
      </c>
      <c r="E592" t="n">
        <v>1966.800048828125</v>
      </c>
      <c r="F592" t="n">
        <v>20</v>
      </c>
    </row>
    <row r="593">
      <c r="A593" t="inlineStr">
        <is>
          <t>2023-11-08</t>
        </is>
      </c>
      <c r="B593" t="n">
        <v>1967.800048828125</v>
      </c>
      <c r="C593" t="n">
        <v>1967.800048828125</v>
      </c>
      <c r="D593" t="n">
        <v>1947.699951171875</v>
      </c>
      <c r="E593" t="n">
        <v>1951.5</v>
      </c>
      <c r="F593" t="n">
        <v>43</v>
      </c>
    </row>
    <row r="594">
      <c r="A594" t="inlineStr">
        <is>
          <t>2023-11-09</t>
        </is>
      </c>
      <c r="B594" t="n">
        <v>1951.699951171875</v>
      </c>
      <c r="C594" t="n">
        <v>1964.199951171875</v>
      </c>
      <c r="D594" t="n">
        <v>1945.300048828125</v>
      </c>
      <c r="E594" t="n">
        <v>1964.199951171875</v>
      </c>
      <c r="F594" t="n">
        <v>10</v>
      </c>
    </row>
    <row r="595">
      <c r="A595" t="inlineStr">
        <is>
          <t>2023-11-10</t>
        </is>
      </c>
      <c r="B595" t="n">
        <v>1959.599975585938</v>
      </c>
      <c r="C595" t="n">
        <v>1959.599975585938</v>
      </c>
      <c r="D595" t="n">
        <v>1932.599975585938</v>
      </c>
      <c r="E595" t="n">
        <v>1932.599975585938</v>
      </c>
      <c r="F595" t="n">
        <v>375</v>
      </c>
    </row>
    <row r="596">
      <c r="A596" t="inlineStr">
        <is>
          <t>2023-11-13</t>
        </is>
      </c>
      <c r="B596" t="n">
        <v>1939.900024414062</v>
      </c>
      <c r="C596" t="n">
        <v>1947.199951171875</v>
      </c>
      <c r="D596" t="n">
        <v>1934</v>
      </c>
      <c r="E596" t="n">
        <v>1945.5</v>
      </c>
      <c r="F596" t="n">
        <v>191</v>
      </c>
    </row>
    <row r="597">
      <c r="A597" t="inlineStr">
        <is>
          <t>2023-11-14</t>
        </is>
      </c>
      <c r="B597" t="n">
        <v>1965.800048828125</v>
      </c>
      <c r="C597" t="n">
        <v>1965.800048828125</v>
      </c>
      <c r="D597" t="n">
        <v>1961.800048828125</v>
      </c>
      <c r="E597" t="n">
        <v>1961.800048828125</v>
      </c>
      <c r="F597" t="n">
        <v>2</v>
      </c>
    </row>
    <row r="598">
      <c r="A598" t="inlineStr">
        <is>
          <t>2023-11-15</t>
        </is>
      </c>
      <c r="B598" t="n">
        <v>1962.800048828125</v>
      </c>
      <c r="C598" t="n">
        <v>1962.800048828125</v>
      </c>
      <c r="D598" t="n">
        <v>1960</v>
      </c>
      <c r="E598" t="n">
        <v>1960.099975585938</v>
      </c>
      <c r="F598" t="n">
        <v>6</v>
      </c>
    </row>
    <row r="599">
      <c r="A599" t="inlineStr">
        <is>
          <t>2023-11-16</t>
        </is>
      </c>
      <c r="B599" t="n">
        <v>1965.300048828125</v>
      </c>
      <c r="C599" t="n">
        <v>1983.900024414062</v>
      </c>
      <c r="D599" t="n">
        <v>1964.599975585938</v>
      </c>
      <c r="E599" t="n">
        <v>1983.900024414062</v>
      </c>
      <c r="F599" t="n">
        <v>39</v>
      </c>
    </row>
    <row r="600">
      <c r="A600" t="inlineStr">
        <is>
          <t>2023-11-17</t>
        </is>
      </c>
      <c r="B600" t="n">
        <v>1982.5</v>
      </c>
      <c r="C600" t="n">
        <v>1984</v>
      </c>
      <c r="D600" t="n">
        <v>1979.800048828125</v>
      </c>
      <c r="E600" t="n">
        <v>1981.599975585938</v>
      </c>
      <c r="F600" t="n">
        <v>32</v>
      </c>
    </row>
    <row r="601">
      <c r="A601" t="inlineStr">
        <is>
          <t>2023-11-20</t>
        </is>
      </c>
      <c r="B601" t="n">
        <v>1978.699951171875</v>
      </c>
      <c r="C601" t="n">
        <v>1979.400024414062</v>
      </c>
      <c r="D601" t="n">
        <v>1969.699951171875</v>
      </c>
      <c r="E601" t="n">
        <v>1977.699951171875</v>
      </c>
      <c r="F601" t="n">
        <v>182</v>
      </c>
    </row>
    <row r="602">
      <c r="A602" t="inlineStr">
        <is>
          <t>2023-11-21</t>
        </is>
      </c>
      <c r="B602" t="n">
        <v>1990.699951171875</v>
      </c>
      <c r="C602" t="n">
        <v>2005.5</v>
      </c>
      <c r="D602" t="n">
        <v>1988.5</v>
      </c>
      <c r="E602" t="n">
        <v>1999.300048828125</v>
      </c>
      <c r="F602" t="n">
        <v>16</v>
      </c>
    </row>
    <row r="603">
      <c r="A603" t="inlineStr">
        <is>
          <t>2023-11-22</t>
        </is>
      </c>
      <c r="B603" t="n">
        <v>1999.099975585938</v>
      </c>
      <c r="C603" t="n">
        <v>1999.400024414062</v>
      </c>
      <c r="D603" t="n">
        <v>1991</v>
      </c>
      <c r="E603" t="n">
        <v>1991.400024414062</v>
      </c>
      <c r="F603" t="n">
        <v>6075</v>
      </c>
    </row>
    <row r="604">
      <c r="A604" t="inlineStr">
        <is>
          <t>2023-11-24</t>
        </is>
      </c>
      <c r="B604" t="n">
        <v>1991.900024414062</v>
      </c>
      <c r="C604" t="n">
        <v>2002.199951171875</v>
      </c>
      <c r="D604" t="n">
        <v>1991.5</v>
      </c>
      <c r="E604" t="n">
        <v>2002.199951171875</v>
      </c>
      <c r="F604" t="n">
        <v>63</v>
      </c>
    </row>
    <row r="605">
      <c r="A605" t="inlineStr">
        <is>
          <t>2023-11-27</t>
        </is>
      </c>
      <c r="B605" t="n">
        <v>2011.699951171875</v>
      </c>
      <c r="C605" t="n">
        <v>2011.800048828125</v>
      </c>
      <c r="D605" t="n">
        <v>2011.699951171875</v>
      </c>
      <c r="E605" t="n">
        <v>2011.800048828125</v>
      </c>
      <c r="F605" t="n">
        <v>228</v>
      </c>
    </row>
    <row r="606">
      <c r="A606" t="inlineStr">
        <is>
          <t>2023-11-28</t>
        </is>
      </c>
      <c r="B606" t="n">
        <v>2040.599975585938</v>
      </c>
      <c r="C606" t="n">
        <v>2042.699951171875</v>
      </c>
      <c r="D606" t="n">
        <v>2039.699951171875</v>
      </c>
      <c r="E606" t="n">
        <v>2039.699951171875</v>
      </c>
      <c r="F606" t="n">
        <v>174665</v>
      </c>
    </row>
    <row r="607">
      <c r="A607" t="inlineStr">
        <is>
          <t>2023-11-29</t>
        </is>
      </c>
      <c r="B607" t="n">
        <v>2041.699951171875</v>
      </c>
      <c r="C607" t="n">
        <v>2052.10009765625</v>
      </c>
      <c r="D607" t="n">
        <v>2036</v>
      </c>
      <c r="E607" t="n">
        <v>2047.099975585938</v>
      </c>
      <c r="F607" t="n">
        <v>15290</v>
      </c>
    </row>
    <row r="608">
      <c r="A608" t="inlineStr">
        <is>
          <t>2023-11-30</t>
        </is>
      </c>
      <c r="B608" t="n">
        <v>2046.099975585938</v>
      </c>
      <c r="C608" t="n">
        <v>2047.099975585938</v>
      </c>
      <c r="D608" t="n">
        <v>2033.099975585938</v>
      </c>
      <c r="E608" t="n">
        <v>2038.099975585938</v>
      </c>
      <c r="F608" t="n">
        <v>2506</v>
      </c>
    </row>
    <row r="609">
      <c r="A609" t="inlineStr">
        <is>
          <t>2023-12-01</t>
        </is>
      </c>
      <c r="B609" t="n">
        <v>2038.300048828125</v>
      </c>
      <c r="C609" t="n">
        <v>2073.199951171875</v>
      </c>
      <c r="D609" t="n">
        <v>2036</v>
      </c>
      <c r="E609" t="n">
        <v>2071</v>
      </c>
      <c r="F609" t="n">
        <v>614</v>
      </c>
    </row>
    <row r="610">
      <c r="A610" t="inlineStr">
        <is>
          <t>2023-12-04</t>
        </is>
      </c>
      <c r="B610" t="n">
        <v>2075.300048828125</v>
      </c>
      <c r="C610" t="n">
        <v>2130.199951171875</v>
      </c>
      <c r="D610" t="n">
        <v>2021</v>
      </c>
      <c r="E610" t="n">
        <v>2024.099975585938</v>
      </c>
      <c r="F610" t="n">
        <v>1071</v>
      </c>
    </row>
    <row r="611">
      <c r="A611" t="inlineStr">
        <is>
          <t>2023-12-05</t>
        </is>
      </c>
      <c r="B611" t="n">
        <v>2035.099975585938</v>
      </c>
      <c r="C611" t="n">
        <v>2037</v>
      </c>
      <c r="D611" t="n">
        <v>2010.199951171875</v>
      </c>
      <c r="E611" t="n">
        <v>2018.5</v>
      </c>
      <c r="F611" t="n">
        <v>289</v>
      </c>
    </row>
    <row r="612">
      <c r="A612" t="inlineStr">
        <is>
          <t>2023-12-06</t>
        </is>
      </c>
      <c r="B612" t="n">
        <v>2019.900024414062</v>
      </c>
      <c r="C612" t="n">
        <v>2035.800048828125</v>
      </c>
      <c r="D612" t="n">
        <v>2019</v>
      </c>
      <c r="E612" t="n">
        <v>2030.5</v>
      </c>
      <c r="F612" t="n">
        <v>417</v>
      </c>
    </row>
    <row r="613">
      <c r="A613" t="inlineStr">
        <is>
          <t>2023-12-07</t>
        </is>
      </c>
      <c r="B613" t="n">
        <v>2029.199951171875</v>
      </c>
      <c r="C613" t="n">
        <v>2034.900024414062</v>
      </c>
      <c r="D613" t="n">
        <v>2024</v>
      </c>
      <c r="E613" t="n">
        <v>2029.900024414062</v>
      </c>
      <c r="F613" t="n">
        <v>67</v>
      </c>
    </row>
    <row r="614">
      <c r="A614" t="inlineStr">
        <is>
          <t>2023-12-08</t>
        </is>
      </c>
      <c r="B614" t="n">
        <v>2031.699951171875</v>
      </c>
      <c r="C614" t="n">
        <v>2033.099975585938</v>
      </c>
      <c r="D614" t="n">
        <v>1995</v>
      </c>
      <c r="E614" t="n">
        <v>1998.300048828125</v>
      </c>
      <c r="F614" t="n">
        <v>449</v>
      </c>
    </row>
    <row r="615">
      <c r="A615" t="inlineStr">
        <is>
          <t>2023-12-11</t>
        </is>
      </c>
      <c r="B615" t="n">
        <v>2004.099975585938</v>
      </c>
      <c r="C615" t="n">
        <v>2004.199951171875</v>
      </c>
      <c r="D615" t="n">
        <v>1977.199951171875</v>
      </c>
      <c r="E615" t="n">
        <v>1978</v>
      </c>
      <c r="F615" t="n">
        <v>651</v>
      </c>
    </row>
    <row r="616">
      <c r="A616" t="inlineStr">
        <is>
          <t>2023-12-12</t>
        </is>
      </c>
      <c r="B616" t="n">
        <v>1984.199951171875</v>
      </c>
      <c r="C616" t="n">
        <v>1994.199951171875</v>
      </c>
      <c r="D616" t="n">
        <v>1977.800048828125</v>
      </c>
      <c r="E616" t="n">
        <v>1977.800048828125</v>
      </c>
      <c r="F616" t="n">
        <v>95</v>
      </c>
    </row>
    <row r="617">
      <c r="A617" t="inlineStr">
        <is>
          <t>2023-12-13</t>
        </is>
      </c>
      <c r="B617" t="n">
        <v>1978.5</v>
      </c>
      <c r="C617" t="n">
        <v>2024.800048828125</v>
      </c>
      <c r="D617" t="n">
        <v>1975</v>
      </c>
      <c r="E617" t="n">
        <v>1982.300048828125</v>
      </c>
      <c r="F617" t="n">
        <v>2252</v>
      </c>
    </row>
    <row r="618">
      <c r="A618" t="inlineStr">
        <is>
          <t>2023-12-14</t>
        </is>
      </c>
      <c r="B618" t="n">
        <v>2024.699951171875</v>
      </c>
      <c r="C618" t="n">
        <v>2040.099975585938</v>
      </c>
      <c r="D618" t="n">
        <v>2024.300048828125</v>
      </c>
      <c r="E618" t="n">
        <v>2030.199951171875</v>
      </c>
      <c r="F618" t="n">
        <v>236</v>
      </c>
    </row>
    <row r="619">
      <c r="A619" t="inlineStr">
        <is>
          <t>2023-12-15</t>
        </is>
      </c>
      <c r="B619" t="n">
        <v>2032.599975585938</v>
      </c>
      <c r="C619" t="n">
        <v>2043.400024414062</v>
      </c>
      <c r="D619" t="n">
        <v>2018.300048828125</v>
      </c>
      <c r="E619" t="n">
        <v>2021.099975585938</v>
      </c>
      <c r="F619" t="n">
        <v>261</v>
      </c>
    </row>
    <row r="620">
      <c r="A620" t="inlineStr">
        <is>
          <t>2023-12-18</t>
        </is>
      </c>
      <c r="B620" t="n">
        <v>2024.300048828125</v>
      </c>
      <c r="C620" t="n">
        <v>2032.800048828125</v>
      </c>
      <c r="D620" t="n">
        <v>2024</v>
      </c>
      <c r="E620" t="n">
        <v>2026.300048828125</v>
      </c>
      <c r="F620" t="n">
        <v>100</v>
      </c>
    </row>
    <row r="621">
      <c r="A621" t="inlineStr">
        <is>
          <t>2023-12-19</t>
        </is>
      </c>
      <c r="B621" t="n">
        <v>2025.199951171875</v>
      </c>
      <c r="C621" t="n">
        <v>2042.699951171875</v>
      </c>
      <c r="D621" t="n">
        <v>2025.199951171875</v>
      </c>
      <c r="E621" t="n">
        <v>2038.400024414062</v>
      </c>
      <c r="F621" t="n">
        <v>498</v>
      </c>
    </row>
    <row r="622">
      <c r="A622" t="inlineStr">
        <is>
          <t>2023-12-20</t>
        </is>
      </c>
      <c r="B622" t="n">
        <v>2037.099975585938</v>
      </c>
      <c r="C622" t="n">
        <v>2037.099975585938</v>
      </c>
      <c r="D622" t="n">
        <v>2030.300048828125</v>
      </c>
      <c r="E622" t="n">
        <v>2034.5</v>
      </c>
      <c r="F622" t="n">
        <v>258</v>
      </c>
    </row>
    <row r="623">
      <c r="A623" t="inlineStr">
        <is>
          <t>2023-12-21</t>
        </is>
      </c>
      <c r="B623" t="n">
        <v>2035.800048828125</v>
      </c>
      <c r="C623" t="n">
        <v>2044.5</v>
      </c>
      <c r="D623" t="n">
        <v>2033</v>
      </c>
      <c r="E623" t="n">
        <v>2039.099975585938</v>
      </c>
      <c r="F623" t="n">
        <v>228</v>
      </c>
    </row>
    <row r="624">
      <c r="A624" t="inlineStr">
        <is>
          <t>2023-12-22</t>
        </is>
      </c>
      <c r="B624" t="n">
        <v>2055.699951171875</v>
      </c>
      <c r="C624" t="n">
        <v>2068.699951171875</v>
      </c>
      <c r="D624" t="n">
        <v>2052.199951171875</v>
      </c>
      <c r="E624" t="n">
        <v>2057.10009765625</v>
      </c>
      <c r="F624" t="n">
        <v>202</v>
      </c>
    </row>
    <row r="625">
      <c r="A625" t="inlineStr">
        <is>
          <t>2023-12-26</t>
        </is>
      </c>
      <c r="B625" t="n">
        <v>2060</v>
      </c>
      <c r="C625" t="n">
        <v>2060.800048828125</v>
      </c>
      <c r="D625" t="n">
        <v>2054.199951171875</v>
      </c>
      <c r="E625" t="n">
        <v>2058.199951171875</v>
      </c>
      <c r="F625" t="n">
        <v>64</v>
      </c>
    </row>
    <row r="626">
      <c r="A626" t="inlineStr">
        <is>
          <t>2023-12-27</t>
        </is>
      </c>
      <c r="B626" t="n">
        <v>2067.300048828125</v>
      </c>
      <c r="C626" t="n">
        <v>2081.89990234375</v>
      </c>
      <c r="D626" t="n">
        <v>2064.800048828125</v>
      </c>
      <c r="E626" t="n">
        <v>2081.89990234375</v>
      </c>
      <c r="F626" t="n">
        <v>586</v>
      </c>
    </row>
    <row r="627">
      <c r="A627" t="inlineStr">
        <is>
          <t>2023-12-28</t>
        </is>
      </c>
      <c r="B627" t="n">
        <v>2081.60009765625</v>
      </c>
      <c r="C627" t="n">
        <v>2087.300048828125</v>
      </c>
      <c r="D627" t="n">
        <v>2066.5</v>
      </c>
      <c r="E627" t="n">
        <v>2073.89990234375</v>
      </c>
      <c r="F627" t="n">
        <v>338</v>
      </c>
    </row>
    <row r="628">
      <c r="A628" t="inlineStr">
        <is>
          <t>2023-12-29</t>
        </is>
      </c>
      <c r="B628" t="n">
        <v>2068</v>
      </c>
      <c r="C628" t="n">
        <v>2068.89990234375</v>
      </c>
      <c r="D628" t="n">
        <v>2062.10009765625</v>
      </c>
      <c r="E628" t="n">
        <v>2062.39990234375</v>
      </c>
      <c r="F628" t="n">
        <v>47</v>
      </c>
    </row>
    <row r="629">
      <c r="A629" t="inlineStr">
        <is>
          <t>2024-01-02</t>
        </is>
      </c>
      <c r="B629" t="n">
        <v>2063.5</v>
      </c>
      <c r="C629" t="n">
        <v>2073.699951171875</v>
      </c>
      <c r="D629" t="n">
        <v>2057.10009765625</v>
      </c>
      <c r="E629" t="n">
        <v>2064.39990234375</v>
      </c>
      <c r="F629" t="n">
        <v>61</v>
      </c>
    </row>
    <row r="630">
      <c r="A630" t="inlineStr">
        <is>
          <t>2024-01-03</t>
        </is>
      </c>
      <c r="B630" t="n">
        <v>2034.199951171875</v>
      </c>
      <c r="C630" t="n">
        <v>2044</v>
      </c>
      <c r="D630" t="n">
        <v>2034.199951171875</v>
      </c>
      <c r="E630" t="n">
        <v>2034.199951171875</v>
      </c>
      <c r="F630" t="n">
        <v>54</v>
      </c>
    </row>
    <row r="631">
      <c r="A631" t="inlineStr">
        <is>
          <t>2024-01-04</t>
        </is>
      </c>
      <c r="B631" t="n">
        <v>2041.599975585938</v>
      </c>
      <c r="C631" t="n">
        <v>2044.5</v>
      </c>
      <c r="D631" t="n">
        <v>2038</v>
      </c>
      <c r="E631" t="n">
        <v>2042.300048828125</v>
      </c>
      <c r="F631" t="n">
        <v>88</v>
      </c>
    </row>
    <row r="632">
      <c r="A632" t="inlineStr">
        <is>
          <t>2024-01-05</t>
        </is>
      </c>
      <c r="B632" t="n">
        <v>2044.5</v>
      </c>
      <c r="C632" t="n">
        <v>2048.10009765625</v>
      </c>
      <c r="D632" t="n">
        <v>2042.400024414062</v>
      </c>
      <c r="E632" t="n">
        <v>2042.400024414062</v>
      </c>
      <c r="F632" t="n">
        <v>12</v>
      </c>
    </row>
    <row r="633">
      <c r="A633" t="inlineStr">
        <is>
          <t>2024-01-08</t>
        </is>
      </c>
      <c r="B633" t="n">
        <v>2019.099975585938</v>
      </c>
      <c r="C633" t="n">
        <v>2033.699951171875</v>
      </c>
      <c r="D633" t="n">
        <v>2019.099975585938</v>
      </c>
      <c r="E633" t="n">
        <v>2026.599975585938</v>
      </c>
      <c r="F633" t="n">
        <v>10</v>
      </c>
    </row>
    <row r="634">
      <c r="A634" t="inlineStr">
        <is>
          <t>2024-01-09</t>
        </is>
      </c>
      <c r="B634" t="n">
        <v>2035.800048828125</v>
      </c>
      <c r="C634" t="n">
        <v>2035.800048828125</v>
      </c>
      <c r="D634" t="n">
        <v>2026.400024414062</v>
      </c>
      <c r="E634" t="n">
        <v>2026.400024414062</v>
      </c>
      <c r="F634" t="n">
        <v>27</v>
      </c>
    </row>
    <row r="635">
      <c r="A635" t="inlineStr">
        <is>
          <t>2024-01-10</t>
        </is>
      </c>
      <c r="B635" t="n">
        <v>2029</v>
      </c>
      <c r="C635" t="n">
        <v>2035.599975585938</v>
      </c>
      <c r="D635" t="n">
        <v>2021.699951171875</v>
      </c>
      <c r="E635" t="n">
        <v>2021.699951171875</v>
      </c>
      <c r="F635" t="n">
        <v>538</v>
      </c>
    </row>
    <row r="636">
      <c r="A636" t="inlineStr">
        <is>
          <t>2024-01-11</t>
        </is>
      </c>
      <c r="B636" t="n">
        <v>2025.099975585938</v>
      </c>
      <c r="C636" t="n">
        <v>2025.099975585938</v>
      </c>
      <c r="D636" t="n">
        <v>2014.300048828125</v>
      </c>
      <c r="E636" t="n">
        <v>2014.300048828125</v>
      </c>
      <c r="F636" t="n">
        <v>97</v>
      </c>
    </row>
    <row r="637">
      <c r="A637" t="inlineStr">
        <is>
          <t>2024-01-12</t>
        </is>
      </c>
      <c r="B637" t="n">
        <v>2031.099975585938</v>
      </c>
      <c r="C637" t="n">
        <v>2057</v>
      </c>
      <c r="D637" t="n">
        <v>2031.099975585938</v>
      </c>
      <c r="E637" t="n">
        <v>2046.699951171875</v>
      </c>
      <c r="F637" t="n">
        <v>390</v>
      </c>
    </row>
    <row r="638">
      <c r="A638" t="inlineStr">
        <is>
          <t>2024-01-16</t>
        </is>
      </c>
      <c r="B638" t="n">
        <v>2051.699951171875</v>
      </c>
      <c r="C638" t="n">
        <v>2054.800048828125</v>
      </c>
      <c r="D638" t="n">
        <v>2026</v>
      </c>
      <c r="E638" t="n">
        <v>2026</v>
      </c>
      <c r="F638" t="n">
        <v>46</v>
      </c>
    </row>
    <row r="639">
      <c r="A639" t="inlineStr">
        <is>
          <t>2024-01-17</t>
        </is>
      </c>
      <c r="B639" t="n">
        <v>2026.5</v>
      </c>
      <c r="C639" t="n">
        <v>2026.5</v>
      </c>
      <c r="D639" t="n">
        <v>2002.599975585938</v>
      </c>
      <c r="E639" t="n">
        <v>2002.599975585938</v>
      </c>
      <c r="F639" t="n">
        <v>764</v>
      </c>
    </row>
    <row r="640">
      <c r="A640" t="inlineStr">
        <is>
          <t>2024-01-18</t>
        </is>
      </c>
      <c r="B640" t="n">
        <v>2012.800048828125</v>
      </c>
      <c r="C640" t="n">
        <v>2018.599975585938</v>
      </c>
      <c r="D640" t="n">
        <v>2009.5</v>
      </c>
      <c r="E640" t="n">
        <v>2018.599975585938</v>
      </c>
      <c r="F640" t="n">
        <v>1474</v>
      </c>
    </row>
    <row r="641">
      <c r="A641" t="inlineStr">
        <is>
          <t>2024-01-19</t>
        </is>
      </c>
      <c r="B641" t="n">
        <v>2023.199951171875</v>
      </c>
      <c r="C641" t="n">
        <v>2036</v>
      </c>
      <c r="D641" t="n">
        <v>2019.5</v>
      </c>
      <c r="E641" t="n">
        <v>2026.5</v>
      </c>
      <c r="F641" t="n">
        <v>50</v>
      </c>
    </row>
    <row r="642">
      <c r="A642" t="inlineStr">
        <is>
          <t>2024-01-22</t>
        </is>
      </c>
      <c r="B642" t="n">
        <v>2021.300048828125</v>
      </c>
      <c r="C642" t="n">
        <v>2021.300048828125</v>
      </c>
      <c r="D642" t="n">
        <v>2019.800048828125</v>
      </c>
      <c r="E642" t="n">
        <v>2019.800048828125</v>
      </c>
      <c r="F642" t="n">
        <v>12</v>
      </c>
    </row>
    <row r="643">
      <c r="A643" t="inlineStr">
        <is>
          <t>2024-01-23</t>
        </is>
      </c>
      <c r="B643" t="n">
        <v>2030.300048828125</v>
      </c>
      <c r="C643" t="n">
        <v>2030.300048828125</v>
      </c>
      <c r="D643" t="n">
        <v>2022.5</v>
      </c>
      <c r="E643" t="n">
        <v>2023.699951171875</v>
      </c>
      <c r="F643" t="n">
        <v>15</v>
      </c>
    </row>
    <row r="644">
      <c r="A644" t="inlineStr">
        <is>
          <t>2024-01-24</t>
        </is>
      </c>
      <c r="B644" t="n">
        <v>2023.199951171875</v>
      </c>
      <c r="C644" t="n">
        <v>2033.199951171875</v>
      </c>
      <c r="D644" t="n">
        <v>2013.900024414062</v>
      </c>
      <c r="E644" t="n">
        <v>2013.900024414062</v>
      </c>
      <c r="F644" t="n">
        <v>253</v>
      </c>
    </row>
    <row r="645">
      <c r="A645" t="inlineStr">
        <is>
          <t>2024-01-25</t>
        </is>
      </c>
      <c r="B645" t="n">
        <v>2012.099975585938</v>
      </c>
      <c r="C645" t="n">
        <v>2022.400024414062</v>
      </c>
      <c r="D645" t="n">
        <v>2012.099975585938</v>
      </c>
      <c r="E645" t="n">
        <v>2016.900024414062</v>
      </c>
      <c r="F645" t="n">
        <v>548</v>
      </c>
    </row>
    <row r="646">
      <c r="A646" t="inlineStr">
        <is>
          <t>2024-01-26</t>
        </is>
      </c>
      <c r="B646" t="n">
        <v>2021.699951171875</v>
      </c>
      <c r="C646" t="n">
        <v>2022.400024414062</v>
      </c>
      <c r="D646" t="n">
        <v>2016.800048828125</v>
      </c>
      <c r="E646" t="n">
        <v>2016.800048828125</v>
      </c>
      <c r="F646" t="n">
        <v>49</v>
      </c>
    </row>
    <row r="647">
      <c r="A647" t="inlineStr">
        <is>
          <t>2024-01-29</t>
        </is>
      </c>
      <c r="B647" t="n">
        <v>2025.199951171875</v>
      </c>
      <c r="C647" t="n">
        <v>2025.199951171875</v>
      </c>
      <c r="D647" t="n">
        <v>2025.199951171875</v>
      </c>
      <c r="E647" t="n">
        <v>2025.199951171875</v>
      </c>
      <c r="F647" t="n">
        <v>150708</v>
      </c>
    </row>
    <row r="648">
      <c r="A648" t="inlineStr">
        <is>
          <t>2024-01-30</t>
        </is>
      </c>
      <c r="B648" t="n">
        <v>2032.5</v>
      </c>
      <c r="C648" t="n">
        <v>2048.5</v>
      </c>
      <c r="D648" t="n">
        <v>2028.099975585938</v>
      </c>
      <c r="E648" t="n">
        <v>2031.5</v>
      </c>
      <c r="F648" t="n">
        <v>26907</v>
      </c>
    </row>
    <row r="649">
      <c r="A649" t="inlineStr">
        <is>
          <t>2024-01-31</t>
        </is>
      </c>
      <c r="B649" t="n">
        <v>2035.400024414062</v>
      </c>
      <c r="C649" t="n">
        <v>2055</v>
      </c>
      <c r="D649" t="n">
        <v>2030</v>
      </c>
      <c r="E649" t="n">
        <v>2048.39990234375</v>
      </c>
      <c r="F649" t="n">
        <v>2007</v>
      </c>
    </row>
    <row r="650">
      <c r="A650" t="inlineStr">
        <is>
          <t>2024-02-01</t>
        </is>
      </c>
      <c r="B650" t="n">
        <v>2040.199951171875</v>
      </c>
      <c r="C650" t="n">
        <v>2064.5</v>
      </c>
      <c r="D650" t="n">
        <v>2029</v>
      </c>
      <c r="E650" t="n">
        <v>2053</v>
      </c>
      <c r="F650" t="n">
        <v>947</v>
      </c>
    </row>
    <row r="651">
      <c r="A651" t="inlineStr">
        <is>
          <t>2024-02-02</t>
        </is>
      </c>
      <c r="B651" t="n">
        <v>2054.800048828125</v>
      </c>
      <c r="C651" t="n">
        <v>2055.89990234375</v>
      </c>
      <c r="D651" t="n">
        <v>2027.699951171875</v>
      </c>
      <c r="E651" t="n">
        <v>2036.099975585938</v>
      </c>
      <c r="F651" t="n">
        <v>888</v>
      </c>
    </row>
    <row r="652">
      <c r="A652" t="inlineStr">
        <is>
          <t>2024-02-05</t>
        </is>
      </c>
      <c r="B652" t="n">
        <v>2038.900024414062</v>
      </c>
      <c r="C652" t="n">
        <v>2040.800048828125</v>
      </c>
      <c r="D652" t="n">
        <v>2013.800048828125</v>
      </c>
      <c r="E652" t="n">
        <v>2025.699951171875</v>
      </c>
      <c r="F652" t="n">
        <v>412</v>
      </c>
    </row>
    <row r="653">
      <c r="A653" t="inlineStr">
        <is>
          <t>2024-02-06</t>
        </is>
      </c>
      <c r="B653" t="n">
        <v>2025.900024414062</v>
      </c>
      <c r="C653" t="n">
        <v>2037.300048828125</v>
      </c>
      <c r="D653" t="n">
        <v>2025.900024414062</v>
      </c>
      <c r="E653" t="n">
        <v>2034.5</v>
      </c>
      <c r="F653" t="n">
        <v>249</v>
      </c>
    </row>
    <row r="654">
      <c r="A654" t="inlineStr">
        <is>
          <t>2024-02-07</t>
        </is>
      </c>
      <c r="B654" t="n">
        <v>2032.800048828125</v>
      </c>
      <c r="C654" t="n">
        <v>2039.5</v>
      </c>
      <c r="D654" t="n">
        <v>2032.699951171875</v>
      </c>
      <c r="E654" t="n">
        <v>2035.199951171875</v>
      </c>
      <c r="F654" t="n">
        <v>71</v>
      </c>
    </row>
    <row r="655">
      <c r="A655" t="inlineStr">
        <is>
          <t>2024-02-08</t>
        </is>
      </c>
      <c r="B655" t="n">
        <v>2028</v>
      </c>
      <c r="C655" t="n">
        <v>2036.699951171875</v>
      </c>
      <c r="D655" t="n">
        <v>2020.300048828125</v>
      </c>
      <c r="E655" t="n">
        <v>2032.199951171875</v>
      </c>
      <c r="F655" t="n">
        <v>341</v>
      </c>
    </row>
    <row r="656">
      <c r="A656" t="inlineStr">
        <is>
          <t>2024-02-09</t>
        </is>
      </c>
      <c r="B656" t="n">
        <v>2032</v>
      </c>
      <c r="C656" t="n">
        <v>2032</v>
      </c>
      <c r="D656" t="n">
        <v>2020</v>
      </c>
      <c r="E656" t="n">
        <v>2023.300048828125</v>
      </c>
      <c r="F656" t="n">
        <v>62</v>
      </c>
    </row>
    <row r="657">
      <c r="A657" t="inlineStr">
        <is>
          <t>2024-02-12</t>
        </is>
      </c>
      <c r="B657" t="n">
        <v>2025.5</v>
      </c>
      <c r="C657" t="n">
        <v>2025.5</v>
      </c>
      <c r="D657" t="n">
        <v>2011.599975585938</v>
      </c>
      <c r="E657" t="n">
        <v>2018.199951171875</v>
      </c>
      <c r="F657" t="n">
        <v>317</v>
      </c>
    </row>
    <row r="658">
      <c r="A658" t="inlineStr">
        <is>
          <t>2024-02-13</t>
        </is>
      </c>
      <c r="B658" t="n">
        <v>2025.099975585938</v>
      </c>
      <c r="C658" t="n">
        <v>2025.800048828125</v>
      </c>
      <c r="D658" t="n">
        <v>1990</v>
      </c>
      <c r="E658" t="n">
        <v>1992.900024414062</v>
      </c>
      <c r="F658" t="n">
        <v>198</v>
      </c>
    </row>
    <row r="659">
      <c r="A659" t="inlineStr">
        <is>
          <t>2024-02-14</t>
        </is>
      </c>
      <c r="B659" t="n">
        <v>1990.300048828125</v>
      </c>
      <c r="C659" t="n">
        <v>1993.5</v>
      </c>
      <c r="D659" t="n">
        <v>1984.800048828125</v>
      </c>
      <c r="E659" t="n">
        <v>1990.300048828125</v>
      </c>
      <c r="F659" t="n">
        <v>1916</v>
      </c>
    </row>
    <row r="660">
      <c r="A660" t="inlineStr">
        <is>
          <t>2024-02-15</t>
        </is>
      </c>
      <c r="B660" t="n">
        <v>1993.599975585938</v>
      </c>
      <c r="C660" t="n">
        <v>2007.199951171875</v>
      </c>
      <c r="D660" t="n">
        <v>1993.599975585938</v>
      </c>
      <c r="E660" t="n">
        <v>2002.099975585938</v>
      </c>
      <c r="F660" t="n">
        <v>286</v>
      </c>
    </row>
    <row r="661">
      <c r="A661" t="inlineStr">
        <is>
          <t>2024-02-16</t>
        </is>
      </c>
      <c r="B661" t="n">
        <v>2005</v>
      </c>
      <c r="C661" t="n">
        <v>2011.5</v>
      </c>
      <c r="D661" t="n">
        <v>1996.5</v>
      </c>
      <c r="E661" t="n">
        <v>2011.5</v>
      </c>
      <c r="F661" t="n">
        <v>32</v>
      </c>
    </row>
    <row r="662">
      <c r="A662" t="inlineStr">
        <is>
          <t>2024-02-20</t>
        </is>
      </c>
      <c r="B662" t="n">
        <v>2015.599975585938</v>
      </c>
      <c r="C662" t="n">
        <v>2029</v>
      </c>
      <c r="D662" t="n">
        <v>2015.599975585938</v>
      </c>
      <c r="E662" t="n">
        <v>2027.5</v>
      </c>
      <c r="F662" t="n">
        <v>1326</v>
      </c>
    </row>
    <row r="663">
      <c r="A663" t="inlineStr">
        <is>
          <t>2024-02-21</t>
        </is>
      </c>
      <c r="B663" t="n">
        <v>2028.199951171875</v>
      </c>
      <c r="C663" t="n">
        <v>2028.199951171875</v>
      </c>
      <c r="D663" t="n">
        <v>2022.300048828125</v>
      </c>
      <c r="E663" t="n">
        <v>2022.300048828125</v>
      </c>
      <c r="F663" t="n">
        <v>15</v>
      </c>
    </row>
    <row r="664">
      <c r="A664" t="inlineStr">
        <is>
          <t>2024-02-22</t>
        </is>
      </c>
      <c r="B664" t="n">
        <v>2033.199951171875</v>
      </c>
      <c r="C664" t="n">
        <v>2033.199951171875</v>
      </c>
      <c r="D664" t="n">
        <v>2019.699951171875</v>
      </c>
      <c r="E664" t="n">
        <v>2019.699951171875</v>
      </c>
      <c r="F664" t="n">
        <v>964</v>
      </c>
    </row>
    <row r="665">
      <c r="A665" t="inlineStr">
        <is>
          <t>2024-02-23</t>
        </is>
      </c>
      <c r="B665" t="n">
        <v>2026</v>
      </c>
      <c r="C665" t="n">
        <v>2038.599975585938</v>
      </c>
      <c r="D665" t="n">
        <v>2014.900024414062</v>
      </c>
      <c r="E665" t="n">
        <v>2038.599975585938</v>
      </c>
      <c r="F665" t="n">
        <v>22</v>
      </c>
    </row>
    <row r="666">
      <c r="A666" t="inlineStr">
        <is>
          <t>2024-02-26</t>
        </is>
      </c>
      <c r="B666" t="n">
        <v>2034.099975585938</v>
      </c>
      <c r="C666" t="n">
        <v>2035.400024414062</v>
      </c>
      <c r="D666" t="n">
        <v>2024.800048828125</v>
      </c>
      <c r="E666" t="n">
        <v>2028.5</v>
      </c>
      <c r="F666" t="n">
        <v>143</v>
      </c>
    </row>
    <row r="667">
      <c r="A667" t="inlineStr">
        <is>
          <t>2024-02-27</t>
        </is>
      </c>
      <c r="B667" t="n">
        <v>2035.900024414062</v>
      </c>
      <c r="C667" t="n">
        <v>2035.900024414062</v>
      </c>
      <c r="D667" t="n">
        <v>2034</v>
      </c>
      <c r="E667" t="n">
        <v>2034</v>
      </c>
      <c r="F667" t="n">
        <v>964</v>
      </c>
    </row>
    <row r="668">
      <c r="A668" t="inlineStr">
        <is>
          <t>2024-02-28</t>
        </is>
      </c>
      <c r="B668" t="n">
        <v>2029.5</v>
      </c>
      <c r="C668" t="n">
        <v>2037</v>
      </c>
      <c r="D668" t="n">
        <v>2024.800048828125</v>
      </c>
      <c r="E668" t="n">
        <v>2033</v>
      </c>
      <c r="F668" t="n">
        <v>581</v>
      </c>
    </row>
    <row r="669">
      <c r="A669" t="inlineStr">
        <is>
          <t>2024-02-29</t>
        </is>
      </c>
      <c r="B669" t="n">
        <v>2034.300048828125</v>
      </c>
      <c r="C669" t="n">
        <v>2049.800048828125</v>
      </c>
      <c r="D669" t="n">
        <v>2034.300048828125</v>
      </c>
      <c r="E669" t="n">
        <v>2045.699951171875</v>
      </c>
      <c r="F669" t="n">
        <v>706</v>
      </c>
    </row>
    <row r="670">
      <c r="A670" t="inlineStr">
        <is>
          <t>2024-03-01</t>
        </is>
      </c>
      <c r="B670" t="n">
        <v>2043.099975585938</v>
      </c>
      <c r="C670" t="n">
        <v>2086.89990234375</v>
      </c>
      <c r="D670" t="n">
        <v>2041.800048828125</v>
      </c>
      <c r="E670" t="n">
        <v>2086.89990234375</v>
      </c>
      <c r="F670" t="n">
        <v>1210</v>
      </c>
    </row>
    <row r="671">
      <c r="A671" t="inlineStr">
        <is>
          <t>2024-03-04</t>
        </is>
      </c>
      <c r="B671" t="n">
        <v>2083.60009765625</v>
      </c>
      <c r="C671" t="n">
        <v>2119.800048828125</v>
      </c>
      <c r="D671" t="n">
        <v>2080.699951171875</v>
      </c>
      <c r="E671" t="n">
        <v>2117.699951171875</v>
      </c>
      <c r="F671" t="n">
        <v>805</v>
      </c>
    </row>
    <row r="672">
      <c r="A672" t="inlineStr">
        <is>
          <t>2024-03-05</t>
        </is>
      </c>
      <c r="B672" t="n">
        <v>2114.89990234375</v>
      </c>
      <c r="C672" t="n">
        <v>2133.5</v>
      </c>
      <c r="D672" t="n">
        <v>2111.39990234375</v>
      </c>
      <c r="E672" t="n">
        <v>2133.5</v>
      </c>
      <c r="F672" t="n">
        <v>1287</v>
      </c>
    </row>
    <row r="673">
      <c r="A673" t="inlineStr">
        <is>
          <t>2024-03-06</t>
        </is>
      </c>
      <c r="B673" t="n">
        <v>2125.5</v>
      </c>
      <c r="C673" t="n">
        <v>2150.300048828125</v>
      </c>
      <c r="D673" t="n">
        <v>2125.5</v>
      </c>
      <c r="E673" t="n">
        <v>2150.300048828125</v>
      </c>
      <c r="F673" t="n">
        <v>443</v>
      </c>
    </row>
    <row r="674">
      <c r="A674" t="inlineStr">
        <is>
          <t>2024-03-07</t>
        </is>
      </c>
      <c r="B674" t="n">
        <v>2147</v>
      </c>
      <c r="C674" t="n">
        <v>2163</v>
      </c>
      <c r="D674" t="n">
        <v>2147</v>
      </c>
      <c r="E674" t="n">
        <v>2158</v>
      </c>
      <c r="F674" t="n">
        <v>152</v>
      </c>
    </row>
    <row r="675">
      <c r="A675" t="inlineStr">
        <is>
          <t>2024-03-08</t>
        </is>
      </c>
      <c r="B675" t="n">
        <v>2167.300048828125</v>
      </c>
      <c r="C675" t="n">
        <v>2194.89990234375</v>
      </c>
      <c r="D675" t="n">
        <v>2166.300048828125</v>
      </c>
      <c r="E675" t="n">
        <v>2178.60009765625</v>
      </c>
      <c r="F675" t="n">
        <v>259</v>
      </c>
    </row>
    <row r="676">
      <c r="A676" t="inlineStr">
        <is>
          <t>2024-03-11</t>
        </is>
      </c>
      <c r="B676" t="n">
        <v>2181</v>
      </c>
      <c r="C676" t="n">
        <v>2184</v>
      </c>
      <c r="D676" t="n">
        <v>2177.199951171875</v>
      </c>
      <c r="E676" t="n">
        <v>2182.5</v>
      </c>
      <c r="F676" t="n">
        <v>738</v>
      </c>
    </row>
    <row r="677">
      <c r="A677" t="inlineStr">
        <is>
          <t>2024-03-12</t>
        </is>
      </c>
      <c r="B677" t="n">
        <v>2182.5</v>
      </c>
      <c r="C677" t="n">
        <v>2182.699951171875</v>
      </c>
      <c r="D677" t="n">
        <v>2160.39990234375</v>
      </c>
      <c r="E677" t="n">
        <v>2160.39990234375</v>
      </c>
      <c r="F677" t="n">
        <v>550</v>
      </c>
    </row>
    <row r="678">
      <c r="A678" t="inlineStr">
        <is>
          <t>2024-03-13</t>
        </is>
      </c>
      <c r="B678" t="n">
        <v>2162.5</v>
      </c>
      <c r="C678" t="n">
        <v>2175.39990234375</v>
      </c>
      <c r="D678" t="n">
        <v>2162.5</v>
      </c>
      <c r="E678" t="n">
        <v>2175.39990234375</v>
      </c>
      <c r="F678" t="n">
        <v>20</v>
      </c>
    </row>
    <row r="679">
      <c r="A679" t="inlineStr">
        <is>
          <t>2024-03-14</t>
        </is>
      </c>
      <c r="B679" t="n">
        <v>2163</v>
      </c>
      <c r="C679" t="n">
        <v>2163</v>
      </c>
      <c r="D679" t="n">
        <v>2162.300048828125</v>
      </c>
      <c r="E679" t="n">
        <v>2163</v>
      </c>
      <c r="F679" t="n">
        <v>515</v>
      </c>
    </row>
    <row r="680">
      <c r="A680" t="inlineStr">
        <is>
          <t>2024-03-15</t>
        </is>
      </c>
      <c r="B680" t="n">
        <v>2161.699951171875</v>
      </c>
      <c r="C680" t="n">
        <v>2161.699951171875</v>
      </c>
      <c r="D680" t="n">
        <v>2157.300048828125</v>
      </c>
      <c r="E680" t="n">
        <v>2157.300048828125</v>
      </c>
      <c r="F680" t="n">
        <v>100</v>
      </c>
    </row>
    <row r="681">
      <c r="A681" t="inlineStr">
        <is>
          <t>2024-03-18</t>
        </is>
      </c>
      <c r="B681" t="n">
        <v>2146.199951171875</v>
      </c>
      <c r="C681" t="n">
        <v>2160.699951171875</v>
      </c>
      <c r="D681" t="n">
        <v>2146.199951171875</v>
      </c>
      <c r="E681" t="n">
        <v>2160.699951171875</v>
      </c>
      <c r="F681" t="n">
        <v>21</v>
      </c>
    </row>
    <row r="682">
      <c r="A682" t="inlineStr">
        <is>
          <t>2024-03-19</t>
        </is>
      </c>
      <c r="B682" t="n">
        <v>2156.10009765625</v>
      </c>
      <c r="C682" t="n">
        <v>2156.300048828125</v>
      </c>
      <c r="D682" t="n">
        <v>2156.10009765625</v>
      </c>
      <c r="E682" t="n">
        <v>2156.300048828125</v>
      </c>
      <c r="F682" t="n">
        <v>12</v>
      </c>
    </row>
    <row r="683">
      <c r="A683" t="inlineStr">
        <is>
          <t>2024-03-20</t>
        </is>
      </c>
      <c r="B683" t="n">
        <v>2157.300048828125</v>
      </c>
      <c r="C683" t="n">
        <v>2185.89990234375</v>
      </c>
      <c r="D683" t="n">
        <v>2150.89990234375</v>
      </c>
      <c r="E683" t="n">
        <v>2157.89990234375</v>
      </c>
      <c r="F683" t="n">
        <v>17</v>
      </c>
    </row>
    <row r="684">
      <c r="A684" t="inlineStr">
        <is>
          <t>2024-03-21</t>
        </is>
      </c>
      <c r="B684" t="n">
        <v>2207</v>
      </c>
      <c r="C684" t="n">
        <v>2211.60009765625</v>
      </c>
      <c r="D684" t="n">
        <v>2182.39990234375</v>
      </c>
      <c r="E684" t="n">
        <v>2182.39990234375</v>
      </c>
      <c r="F684" t="n">
        <v>63</v>
      </c>
    </row>
    <row r="685">
      <c r="A685" t="inlineStr">
        <is>
          <t>2024-03-22</t>
        </is>
      </c>
      <c r="B685" t="n">
        <v>2179.199951171875</v>
      </c>
      <c r="C685" t="n">
        <v>2179.60009765625</v>
      </c>
      <c r="D685" t="n">
        <v>2157.5</v>
      </c>
      <c r="E685" t="n">
        <v>2158.10009765625</v>
      </c>
      <c r="F685" t="n">
        <v>19</v>
      </c>
    </row>
    <row r="686">
      <c r="A686" t="inlineStr">
        <is>
          <t>2024-03-25</t>
        </is>
      </c>
      <c r="B686" t="n">
        <v>2166.199951171875</v>
      </c>
      <c r="C686" t="n">
        <v>2179.39990234375</v>
      </c>
      <c r="D686" t="n">
        <v>2166.199951171875</v>
      </c>
      <c r="E686" t="n">
        <v>2174.800048828125</v>
      </c>
      <c r="F686" t="n">
        <v>79</v>
      </c>
    </row>
    <row r="687">
      <c r="A687" t="inlineStr">
        <is>
          <t>2024-03-26</t>
        </is>
      </c>
      <c r="B687" t="n">
        <v>2182.699951171875</v>
      </c>
      <c r="C687" t="n">
        <v>2182.699951171875</v>
      </c>
      <c r="D687" t="n">
        <v>2175.60009765625</v>
      </c>
      <c r="E687" t="n">
        <v>2175.60009765625</v>
      </c>
      <c r="F687" t="n">
        <v>202373</v>
      </c>
    </row>
    <row r="688">
      <c r="A688" t="inlineStr">
        <is>
          <t>2024-03-27</t>
        </is>
      </c>
      <c r="B688" t="n">
        <v>2179.39990234375</v>
      </c>
      <c r="C688" t="n">
        <v>2196.199951171875</v>
      </c>
      <c r="D688" t="n">
        <v>2172.10009765625</v>
      </c>
      <c r="E688" t="n">
        <v>2190.60009765625</v>
      </c>
      <c r="F688" t="n">
        <v>31200</v>
      </c>
    </row>
    <row r="689">
      <c r="A689" t="inlineStr">
        <is>
          <t>2024-03-28</t>
        </is>
      </c>
      <c r="B689" t="n">
        <v>2193.60009765625</v>
      </c>
      <c r="C689" t="n">
        <v>2234.10009765625</v>
      </c>
      <c r="D689" t="n">
        <v>2187.10009765625</v>
      </c>
      <c r="E689" t="n">
        <v>2217.39990234375</v>
      </c>
      <c r="F689" t="n">
        <v>2040</v>
      </c>
    </row>
    <row r="690">
      <c r="A690" t="inlineStr">
        <is>
          <t>2024-04-01</t>
        </is>
      </c>
      <c r="B690" t="n">
        <v>2235.699951171875</v>
      </c>
      <c r="C690" t="n">
        <v>2264.199951171875</v>
      </c>
      <c r="D690" t="n">
        <v>2230</v>
      </c>
      <c r="E690" t="n">
        <v>2236.5</v>
      </c>
      <c r="F690" t="n">
        <v>400</v>
      </c>
    </row>
    <row r="691">
      <c r="A691" t="inlineStr">
        <is>
          <t>2024-04-02</t>
        </is>
      </c>
      <c r="B691" t="n">
        <v>2252</v>
      </c>
      <c r="C691" t="n">
        <v>2279.199951171875</v>
      </c>
      <c r="D691" t="n">
        <v>2247.60009765625</v>
      </c>
      <c r="E691" t="n">
        <v>2261</v>
      </c>
      <c r="F691" t="n">
        <v>435</v>
      </c>
    </row>
    <row r="692">
      <c r="A692" t="inlineStr">
        <is>
          <t>2024-04-03</t>
        </is>
      </c>
      <c r="B692" t="n">
        <v>2281.699951171875</v>
      </c>
      <c r="C692" t="n">
        <v>2298.800048828125</v>
      </c>
      <c r="D692" t="n">
        <v>2267.89990234375</v>
      </c>
      <c r="E692" t="n">
        <v>2294.39990234375</v>
      </c>
      <c r="F692" t="n">
        <v>285</v>
      </c>
    </row>
    <row r="693">
      <c r="A693" t="inlineStr">
        <is>
          <t>2024-04-04</t>
        </is>
      </c>
      <c r="B693" t="n">
        <v>2301.699951171875</v>
      </c>
      <c r="C693" t="n">
        <v>2302.89990234375</v>
      </c>
      <c r="D693" t="n">
        <v>2280</v>
      </c>
      <c r="E693" t="n">
        <v>2288.800048828125</v>
      </c>
      <c r="F693" t="n">
        <v>251</v>
      </c>
    </row>
    <row r="694">
      <c r="A694" t="inlineStr">
        <is>
          <t>2024-04-05</t>
        </is>
      </c>
      <c r="B694" t="n">
        <v>2289.199951171875</v>
      </c>
      <c r="C694" t="n">
        <v>2328.39990234375</v>
      </c>
      <c r="D694" t="n">
        <v>2267.39990234375</v>
      </c>
      <c r="E694" t="n">
        <v>2325.699951171875</v>
      </c>
      <c r="F694" t="n">
        <v>344</v>
      </c>
    </row>
    <row r="695">
      <c r="A695" t="inlineStr">
        <is>
          <t>2024-04-08</t>
        </is>
      </c>
      <c r="B695" t="n">
        <v>2325.60009765625</v>
      </c>
      <c r="C695" t="n">
        <v>2341.800048828125</v>
      </c>
      <c r="D695" t="n">
        <v>2319</v>
      </c>
      <c r="E695" t="n">
        <v>2331.699951171875</v>
      </c>
      <c r="F695" t="n">
        <v>202</v>
      </c>
    </row>
    <row r="696">
      <c r="A696" t="inlineStr">
        <is>
          <t>2024-04-09</t>
        </is>
      </c>
      <c r="B696" t="n">
        <v>2337.800048828125</v>
      </c>
      <c r="C696" t="n">
        <v>2364.699951171875</v>
      </c>
      <c r="D696" t="n">
        <v>2337.800048828125</v>
      </c>
      <c r="E696" t="n">
        <v>2343.5</v>
      </c>
      <c r="F696" t="n">
        <v>211</v>
      </c>
    </row>
    <row r="697">
      <c r="A697" t="inlineStr">
        <is>
          <t>2024-04-10</t>
        </is>
      </c>
      <c r="B697" t="n">
        <v>2346.60009765625</v>
      </c>
      <c r="C697" t="n">
        <v>2358.10009765625</v>
      </c>
      <c r="D697" t="n">
        <v>2327.699951171875</v>
      </c>
      <c r="E697" t="n">
        <v>2329.60009765625</v>
      </c>
      <c r="F697" t="n">
        <v>377</v>
      </c>
    </row>
    <row r="698">
      <c r="A698" t="inlineStr">
        <is>
          <t>2024-04-11</t>
        </is>
      </c>
      <c r="B698" t="n">
        <v>2341.5</v>
      </c>
      <c r="C698" t="n">
        <v>2376.300048828125</v>
      </c>
      <c r="D698" t="n">
        <v>2330.60009765625</v>
      </c>
      <c r="E698" t="n">
        <v>2354.800048828125</v>
      </c>
      <c r="F698" t="n">
        <v>283</v>
      </c>
    </row>
    <row r="699">
      <c r="A699" t="inlineStr">
        <is>
          <t>2024-04-12</t>
        </is>
      </c>
      <c r="B699" t="n">
        <v>2377.300048828125</v>
      </c>
      <c r="C699" t="n">
        <v>2429</v>
      </c>
      <c r="D699" t="n">
        <v>2334.300048828125</v>
      </c>
      <c r="E699" t="n">
        <v>2356.199951171875</v>
      </c>
      <c r="F699" t="n">
        <v>584</v>
      </c>
    </row>
    <row r="700">
      <c r="A700" t="inlineStr">
        <is>
          <t>2024-04-15</t>
        </is>
      </c>
      <c r="B700" t="n">
        <v>2362.10009765625</v>
      </c>
      <c r="C700" t="n">
        <v>2384.699951171875</v>
      </c>
      <c r="D700" t="n">
        <v>2326</v>
      </c>
      <c r="E700" t="n">
        <v>2365.800048828125</v>
      </c>
      <c r="F700" t="n">
        <v>1801</v>
      </c>
    </row>
    <row r="701">
      <c r="A701" t="inlineStr">
        <is>
          <t>2024-04-16</t>
        </is>
      </c>
      <c r="B701" t="n">
        <v>2384</v>
      </c>
      <c r="C701" t="n">
        <v>2390.800048828125</v>
      </c>
      <c r="D701" t="n">
        <v>2371.39990234375</v>
      </c>
      <c r="E701" t="n">
        <v>2390.800048828125</v>
      </c>
      <c r="F701" t="n">
        <v>41</v>
      </c>
    </row>
    <row r="702">
      <c r="A702" t="inlineStr">
        <is>
          <t>2024-04-17</t>
        </is>
      </c>
      <c r="B702" t="n">
        <v>2384.199951171875</v>
      </c>
      <c r="C702" t="n">
        <v>2391.39990234375</v>
      </c>
      <c r="D702" t="n">
        <v>2369.300048828125</v>
      </c>
      <c r="E702" t="n">
        <v>2371.699951171875</v>
      </c>
      <c r="F702" t="n">
        <v>37</v>
      </c>
    </row>
    <row r="703">
      <c r="A703" t="inlineStr">
        <is>
          <t>2024-04-18</t>
        </is>
      </c>
      <c r="B703" t="n">
        <v>2368.39990234375</v>
      </c>
      <c r="C703" t="n">
        <v>2384.39990234375</v>
      </c>
      <c r="D703" t="n">
        <v>2368.39990234375</v>
      </c>
      <c r="E703" t="n">
        <v>2382.300048828125</v>
      </c>
      <c r="F703" t="n">
        <v>128</v>
      </c>
    </row>
    <row r="704">
      <c r="A704" t="inlineStr">
        <is>
          <t>2024-04-19</t>
        </is>
      </c>
      <c r="B704" t="n">
        <v>2379.300048828125</v>
      </c>
      <c r="C704" t="n">
        <v>2399.800048828125</v>
      </c>
      <c r="D704" t="n">
        <v>2377.300048828125</v>
      </c>
      <c r="E704" t="n">
        <v>2398.39990234375</v>
      </c>
      <c r="F704" t="n">
        <v>160</v>
      </c>
    </row>
    <row r="705">
      <c r="A705" t="inlineStr">
        <is>
          <t>2024-04-22</t>
        </is>
      </c>
      <c r="B705" t="n">
        <v>2383.300048828125</v>
      </c>
      <c r="C705" t="n">
        <v>2383.300048828125</v>
      </c>
      <c r="D705" t="n">
        <v>2326.89990234375</v>
      </c>
      <c r="E705" t="n">
        <v>2332.199951171875</v>
      </c>
      <c r="F705" t="n">
        <v>53</v>
      </c>
    </row>
    <row r="706">
      <c r="A706" t="inlineStr">
        <is>
          <t>2024-04-23</t>
        </is>
      </c>
      <c r="B706" t="n">
        <v>2327.699951171875</v>
      </c>
      <c r="C706" t="n">
        <v>2330.800048828125</v>
      </c>
      <c r="D706" t="n">
        <v>2294.199951171875</v>
      </c>
      <c r="E706" t="n">
        <v>2327.699951171875</v>
      </c>
      <c r="F706" t="n">
        <v>171</v>
      </c>
    </row>
    <row r="707">
      <c r="A707" t="inlineStr">
        <is>
          <t>2024-04-24</t>
        </is>
      </c>
      <c r="B707" t="n">
        <v>2321.300048828125</v>
      </c>
      <c r="C707" t="n">
        <v>2328.699951171875</v>
      </c>
      <c r="D707" t="n">
        <v>2314.60009765625</v>
      </c>
      <c r="E707" t="n">
        <v>2324.5</v>
      </c>
      <c r="F707" t="n">
        <v>95</v>
      </c>
    </row>
    <row r="708">
      <c r="A708" t="inlineStr">
        <is>
          <t>2024-04-25</t>
        </is>
      </c>
      <c r="B708" t="n">
        <v>2315</v>
      </c>
      <c r="C708" t="n">
        <v>2329.800048828125</v>
      </c>
      <c r="D708" t="n">
        <v>2305</v>
      </c>
      <c r="E708" t="n">
        <v>2329.800048828125</v>
      </c>
      <c r="F708" t="n">
        <v>1024</v>
      </c>
    </row>
    <row r="709">
      <c r="A709" t="inlineStr">
        <is>
          <t>2024-04-26</t>
        </is>
      </c>
      <c r="B709" t="n">
        <v>2347.89990234375</v>
      </c>
      <c r="C709" t="n">
        <v>2347.89990234375</v>
      </c>
      <c r="D709" t="n">
        <v>2332.800048828125</v>
      </c>
      <c r="E709" t="n">
        <v>2334.800048828125</v>
      </c>
      <c r="F709" t="n">
        <v>717</v>
      </c>
    </row>
    <row r="710">
      <c r="A710" t="inlineStr">
        <is>
          <t>2024-04-29</t>
        </is>
      </c>
      <c r="B710" t="n">
        <v>2334.800048828125</v>
      </c>
      <c r="C710" t="n">
        <v>2345.5</v>
      </c>
      <c r="D710" t="n">
        <v>2327.89990234375</v>
      </c>
      <c r="E710" t="n">
        <v>2345.39990234375</v>
      </c>
      <c r="F710" t="n">
        <v>405</v>
      </c>
    </row>
    <row r="711">
      <c r="A711" t="inlineStr">
        <is>
          <t>2024-04-30</t>
        </is>
      </c>
      <c r="B711" t="n">
        <v>2322.5</v>
      </c>
      <c r="C711" t="n">
        <v>2322.5</v>
      </c>
      <c r="D711" t="n">
        <v>2291.39990234375</v>
      </c>
      <c r="E711" t="n">
        <v>2291.39990234375</v>
      </c>
      <c r="F711" t="n">
        <v>113</v>
      </c>
    </row>
    <row r="712">
      <c r="A712" t="inlineStr">
        <is>
          <t>2024-05-01</t>
        </is>
      </c>
      <c r="B712" t="n">
        <v>2287.699951171875</v>
      </c>
      <c r="C712" t="n">
        <v>2327.300048828125</v>
      </c>
      <c r="D712" t="n">
        <v>2283.800048828125</v>
      </c>
      <c r="E712" t="n">
        <v>2299.89990234375</v>
      </c>
      <c r="F712" t="n">
        <v>42</v>
      </c>
    </row>
    <row r="713">
      <c r="A713" t="inlineStr">
        <is>
          <t>2024-05-02</t>
        </is>
      </c>
      <c r="B713" t="n">
        <v>2321.699951171875</v>
      </c>
      <c r="C713" t="n">
        <v>2324.699951171875</v>
      </c>
      <c r="D713" t="n">
        <v>2292.300048828125</v>
      </c>
      <c r="E713" t="n">
        <v>2299.199951171875</v>
      </c>
      <c r="F713" t="n">
        <v>56</v>
      </c>
    </row>
    <row r="714">
      <c r="A714" t="inlineStr">
        <is>
          <t>2024-05-03</t>
        </is>
      </c>
      <c r="B714" t="n">
        <v>2300</v>
      </c>
      <c r="C714" t="n">
        <v>2301</v>
      </c>
      <c r="D714" t="n">
        <v>2277.60009765625</v>
      </c>
      <c r="E714" t="n">
        <v>2299</v>
      </c>
      <c r="F714" t="n">
        <v>194</v>
      </c>
    </row>
    <row r="715">
      <c r="A715" t="inlineStr">
        <is>
          <t>2024-05-06</t>
        </is>
      </c>
      <c r="B715" t="n">
        <v>2322.800048828125</v>
      </c>
      <c r="C715" t="n">
        <v>2325.5</v>
      </c>
      <c r="D715" t="n">
        <v>2314.199951171875</v>
      </c>
      <c r="E715" t="n">
        <v>2321.60009765625</v>
      </c>
      <c r="F715" t="n">
        <v>9</v>
      </c>
    </row>
    <row r="716">
      <c r="A716" t="inlineStr">
        <is>
          <t>2024-05-07</t>
        </is>
      </c>
      <c r="B716" t="n">
        <v>2324.300048828125</v>
      </c>
      <c r="C716" t="n">
        <v>2324.300048828125</v>
      </c>
      <c r="D716" t="n">
        <v>2315.199951171875</v>
      </c>
      <c r="E716" t="n">
        <v>2315.199951171875</v>
      </c>
      <c r="F716" t="n">
        <v>25</v>
      </c>
    </row>
    <row r="717">
      <c r="A717" t="inlineStr">
        <is>
          <t>2024-05-08</t>
        </is>
      </c>
      <c r="B717" t="n">
        <v>2313.60009765625</v>
      </c>
      <c r="C717" t="n">
        <v>2313.60009765625</v>
      </c>
      <c r="D717" t="n">
        <v>2313.60009765625</v>
      </c>
      <c r="E717" t="n">
        <v>2313.60009765625</v>
      </c>
      <c r="F717" t="n">
        <v>4</v>
      </c>
    </row>
    <row r="718">
      <c r="A718" t="inlineStr">
        <is>
          <t>2024-05-09</t>
        </is>
      </c>
      <c r="B718" t="n">
        <v>2310.699951171875</v>
      </c>
      <c r="C718" t="n">
        <v>2339.5</v>
      </c>
      <c r="D718" t="n">
        <v>2310.699951171875</v>
      </c>
      <c r="E718" t="n">
        <v>2332.10009765625</v>
      </c>
      <c r="F718" t="n">
        <v>5</v>
      </c>
    </row>
    <row r="719">
      <c r="A719" t="inlineStr">
        <is>
          <t>2024-05-10</t>
        </is>
      </c>
      <c r="B719" t="n">
        <v>2367.300048828125</v>
      </c>
      <c r="C719" t="n">
        <v>2367.300048828125</v>
      </c>
      <c r="D719" t="n">
        <v>2367.300048828125</v>
      </c>
      <c r="E719" t="n">
        <v>2367.300048828125</v>
      </c>
      <c r="F719" t="n">
        <v>126</v>
      </c>
    </row>
    <row r="720">
      <c r="A720" t="inlineStr">
        <is>
          <t>2024-05-13</t>
        </is>
      </c>
      <c r="B720" t="n">
        <v>2358.300048828125</v>
      </c>
      <c r="C720" t="n">
        <v>2358.300048828125</v>
      </c>
      <c r="D720" t="n">
        <v>2336.10009765625</v>
      </c>
      <c r="E720" t="n">
        <v>2336.10009765625</v>
      </c>
      <c r="F720" t="n">
        <v>14</v>
      </c>
    </row>
    <row r="721">
      <c r="A721" t="inlineStr">
        <is>
          <t>2024-05-14</t>
        </is>
      </c>
      <c r="B721" t="n">
        <v>2336</v>
      </c>
      <c r="C721" t="n">
        <v>2358</v>
      </c>
      <c r="D721" t="n">
        <v>2336</v>
      </c>
      <c r="E721" t="n">
        <v>2353.39990234375</v>
      </c>
      <c r="F721" t="n">
        <v>6</v>
      </c>
    </row>
    <row r="722">
      <c r="A722" t="inlineStr">
        <is>
          <t>2024-05-15</t>
        </is>
      </c>
      <c r="B722" t="n">
        <v>2361.60009765625</v>
      </c>
      <c r="C722" t="n">
        <v>2388.699951171875</v>
      </c>
      <c r="D722" t="n">
        <v>2356</v>
      </c>
      <c r="E722" t="n">
        <v>2388.699951171875</v>
      </c>
      <c r="F722" t="n">
        <v>29</v>
      </c>
    </row>
    <row r="723">
      <c r="A723" t="inlineStr">
        <is>
          <t>2024-05-16</t>
        </is>
      </c>
      <c r="B723" t="n">
        <v>2389.5</v>
      </c>
      <c r="C723" t="n">
        <v>2392.199951171875</v>
      </c>
      <c r="D723" t="n">
        <v>2380</v>
      </c>
      <c r="E723" t="n">
        <v>2380</v>
      </c>
      <c r="F723" t="n">
        <v>7</v>
      </c>
    </row>
    <row r="724">
      <c r="A724" t="inlineStr">
        <is>
          <t>2024-05-17</t>
        </is>
      </c>
      <c r="B724" t="n">
        <v>2380.699951171875</v>
      </c>
      <c r="C724" t="n">
        <v>2415.800048828125</v>
      </c>
      <c r="D724" t="n">
        <v>2380.699951171875</v>
      </c>
      <c r="E724" t="n">
        <v>2412.199951171875</v>
      </c>
      <c r="F724" t="n">
        <v>213</v>
      </c>
    </row>
    <row r="725">
      <c r="A725" t="inlineStr">
        <is>
          <t>2024-05-20</t>
        </is>
      </c>
      <c r="B725" t="n">
        <v>2415.800048828125</v>
      </c>
      <c r="C725" t="n">
        <v>2435.800048828125</v>
      </c>
      <c r="D725" t="n">
        <v>2409.699951171875</v>
      </c>
      <c r="E725" t="n">
        <v>2433.89990234375</v>
      </c>
      <c r="F725" t="n">
        <v>40</v>
      </c>
    </row>
    <row r="726">
      <c r="A726" t="inlineStr">
        <is>
          <t>2024-05-21</t>
        </is>
      </c>
      <c r="B726" t="n">
        <v>2429.5</v>
      </c>
      <c r="C726" t="n">
        <v>2429.5</v>
      </c>
      <c r="D726" t="n">
        <v>2421</v>
      </c>
      <c r="E726" t="n">
        <v>2421.699951171875</v>
      </c>
      <c r="F726" t="n">
        <v>6</v>
      </c>
    </row>
    <row r="727">
      <c r="A727" t="inlineStr">
        <is>
          <t>2024-05-22</t>
        </is>
      </c>
      <c r="B727" t="n">
        <v>2417.5</v>
      </c>
      <c r="C727" t="n">
        <v>2417.60009765625</v>
      </c>
      <c r="D727" t="n">
        <v>2375.800048828125</v>
      </c>
      <c r="E727" t="n">
        <v>2389.199951171875</v>
      </c>
      <c r="F727" t="n">
        <v>180</v>
      </c>
    </row>
    <row r="728">
      <c r="A728" t="inlineStr">
        <is>
          <t>2024-05-23</t>
        </is>
      </c>
      <c r="B728" t="n">
        <v>2371.199951171875</v>
      </c>
      <c r="C728" t="n">
        <v>2371.199951171875</v>
      </c>
      <c r="D728" t="n">
        <v>2335</v>
      </c>
      <c r="E728" t="n">
        <v>2335</v>
      </c>
      <c r="F728" t="n">
        <v>365</v>
      </c>
    </row>
    <row r="729">
      <c r="A729" t="inlineStr">
        <is>
          <t>2024-05-24</t>
        </is>
      </c>
      <c r="B729" t="n">
        <v>2342.60009765625</v>
      </c>
      <c r="C729" t="n">
        <v>2345.39990234375</v>
      </c>
      <c r="D729" t="n">
        <v>2332.5</v>
      </c>
      <c r="E729" t="n">
        <v>2332.5</v>
      </c>
      <c r="F729" t="n">
        <v>25</v>
      </c>
    </row>
    <row r="730">
      <c r="A730" t="inlineStr">
        <is>
          <t>2024-05-28</t>
        </is>
      </c>
      <c r="B730" t="n">
        <v>2336.89990234375</v>
      </c>
      <c r="C730" t="n">
        <v>2359.699951171875</v>
      </c>
      <c r="D730" t="n">
        <v>2336.89990234375</v>
      </c>
      <c r="E730" t="n">
        <v>2355.199951171875</v>
      </c>
      <c r="F730" t="n">
        <v>26</v>
      </c>
    </row>
    <row r="731">
      <c r="A731" t="inlineStr">
        <is>
          <t>2024-05-29</t>
        </is>
      </c>
      <c r="B731" t="n">
        <v>2340.300048828125</v>
      </c>
      <c r="C731" t="n">
        <v>2340.300048828125</v>
      </c>
      <c r="D731" t="n">
        <v>2340.300048828125</v>
      </c>
      <c r="E731" t="n">
        <v>2340.300048828125</v>
      </c>
      <c r="F731" t="n">
        <v>119317</v>
      </c>
    </row>
    <row r="732">
      <c r="A732" t="inlineStr">
        <is>
          <t>2024-05-30</t>
        </is>
      </c>
      <c r="B732" t="n">
        <v>2336.89990234375</v>
      </c>
      <c r="C732" t="n">
        <v>2349.5</v>
      </c>
      <c r="D732" t="n">
        <v>2320.800048828125</v>
      </c>
      <c r="E732" t="n">
        <v>2342.89990234375</v>
      </c>
      <c r="F732" t="n">
        <v>32587</v>
      </c>
    </row>
    <row r="733">
      <c r="A733" t="inlineStr">
        <is>
          <t>2024-05-31</t>
        </is>
      </c>
      <c r="B733" t="n">
        <v>2344.10009765625</v>
      </c>
      <c r="C733" t="n">
        <v>2354</v>
      </c>
      <c r="D733" t="n">
        <v>2319</v>
      </c>
      <c r="E733" t="n">
        <v>2322.89990234375</v>
      </c>
      <c r="F733" t="n">
        <v>941</v>
      </c>
    </row>
    <row r="734">
      <c r="A734" t="inlineStr">
        <is>
          <t>2024-06-03</t>
        </is>
      </c>
      <c r="B734" t="n">
        <v>2322.60009765625</v>
      </c>
      <c r="C734" t="n">
        <v>2347.5</v>
      </c>
      <c r="D734" t="n">
        <v>2312</v>
      </c>
      <c r="E734" t="n">
        <v>2346.60009765625</v>
      </c>
      <c r="F734" t="n">
        <v>781</v>
      </c>
    </row>
    <row r="735">
      <c r="A735" t="inlineStr">
        <is>
          <t>2024-06-04</t>
        </is>
      </c>
      <c r="B735" t="n">
        <v>2347.5</v>
      </c>
      <c r="C735" t="n">
        <v>2347.699951171875</v>
      </c>
      <c r="D735" t="n">
        <v>2313.89990234375</v>
      </c>
      <c r="E735" t="n">
        <v>2325.5</v>
      </c>
      <c r="F735" t="n">
        <v>890</v>
      </c>
    </row>
    <row r="736">
      <c r="A736" t="inlineStr">
        <is>
          <t>2024-06-05</t>
        </is>
      </c>
      <c r="B736" t="n">
        <v>2326.39990234375</v>
      </c>
      <c r="C736" t="n">
        <v>2354.300048828125</v>
      </c>
      <c r="D736" t="n">
        <v>2326.199951171875</v>
      </c>
      <c r="E736" t="n">
        <v>2354.10009765625</v>
      </c>
      <c r="F736" t="n">
        <v>295</v>
      </c>
    </row>
    <row r="737">
      <c r="A737" t="inlineStr">
        <is>
          <t>2024-06-06</t>
        </is>
      </c>
      <c r="B737" t="n">
        <v>2355</v>
      </c>
      <c r="C737" t="n">
        <v>2375.800048828125</v>
      </c>
      <c r="D737" t="n">
        <v>2355</v>
      </c>
      <c r="E737" t="n">
        <v>2370.300048828125</v>
      </c>
      <c r="F737" t="n">
        <v>179</v>
      </c>
    </row>
    <row r="738">
      <c r="A738" t="inlineStr">
        <is>
          <t>2024-06-07</t>
        </is>
      </c>
      <c r="B738" t="n">
        <v>2379.89990234375</v>
      </c>
      <c r="C738" t="n">
        <v>2385.10009765625</v>
      </c>
      <c r="D738" t="n">
        <v>2285.39990234375</v>
      </c>
      <c r="E738" t="n">
        <v>2305.199951171875</v>
      </c>
      <c r="F738" t="n">
        <v>269</v>
      </c>
    </row>
    <row r="739">
      <c r="A739" t="inlineStr">
        <is>
          <t>2024-06-10</t>
        </is>
      </c>
      <c r="B739" t="n">
        <v>2290.60009765625</v>
      </c>
      <c r="C739" t="n">
        <v>2309.300048828125</v>
      </c>
      <c r="D739" t="n">
        <v>2290.5</v>
      </c>
      <c r="E739" t="n">
        <v>2307.699951171875</v>
      </c>
      <c r="F739" t="n">
        <v>69</v>
      </c>
    </row>
    <row r="740">
      <c r="A740" t="inlineStr">
        <is>
          <t>2024-06-11</t>
        </is>
      </c>
      <c r="B740" t="n">
        <v>2300</v>
      </c>
      <c r="C740" t="n">
        <v>2314.10009765625</v>
      </c>
      <c r="D740" t="n">
        <v>2300</v>
      </c>
      <c r="E740" t="n">
        <v>2307.5</v>
      </c>
      <c r="F740" t="n">
        <v>871</v>
      </c>
    </row>
    <row r="741">
      <c r="A741" t="inlineStr">
        <is>
          <t>2024-06-12</t>
        </is>
      </c>
      <c r="B741" t="n">
        <v>2314.89990234375</v>
      </c>
      <c r="C741" t="n">
        <v>2338.699951171875</v>
      </c>
      <c r="D741" t="n">
        <v>2310.300048828125</v>
      </c>
      <c r="E741" t="n">
        <v>2336</v>
      </c>
      <c r="F741" t="n">
        <v>132</v>
      </c>
    </row>
    <row r="742">
      <c r="A742" t="inlineStr">
        <is>
          <t>2024-06-13</t>
        </is>
      </c>
      <c r="B742" t="n">
        <v>2309.39990234375</v>
      </c>
      <c r="C742" t="n">
        <v>2317.699951171875</v>
      </c>
      <c r="D742" t="n">
        <v>2296.199951171875</v>
      </c>
      <c r="E742" t="n">
        <v>2300.199951171875</v>
      </c>
      <c r="F742" t="n">
        <v>298</v>
      </c>
    </row>
    <row r="743">
      <c r="A743" t="inlineStr">
        <is>
          <t>2024-06-14</t>
        </is>
      </c>
      <c r="B743" t="n">
        <v>2307</v>
      </c>
      <c r="C743" t="n">
        <v>2331.39990234375</v>
      </c>
      <c r="D743" t="n">
        <v>2305.800048828125</v>
      </c>
      <c r="E743" t="n">
        <v>2331.39990234375</v>
      </c>
      <c r="F743" t="n">
        <v>948</v>
      </c>
    </row>
    <row r="744">
      <c r="A744" t="inlineStr">
        <is>
          <t>2024-06-17</t>
        </is>
      </c>
      <c r="B744" t="n">
        <v>2320.199951171875</v>
      </c>
      <c r="C744" t="n">
        <v>2320.199951171875</v>
      </c>
      <c r="D744" t="n">
        <v>2309.60009765625</v>
      </c>
      <c r="E744" t="n">
        <v>2312.39990234375</v>
      </c>
      <c r="F744" t="n">
        <v>110</v>
      </c>
    </row>
    <row r="745">
      <c r="A745" t="inlineStr">
        <is>
          <t>2024-06-18</t>
        </is>
      </c>
      <c r="B745" t="n">
        <v>2311.800048828125</v>
      </c>
      <c r="C745" t="n">
        <v>2330.39990234375</v>
      </c>
      <c r="D745" t="n">
        <v>2311.800048828125</v>
      </c>
      <c r="E745" t="n">
        <v>2330.39990234375</v>
      </c>
      <c r="F745" t="n">
        <v>43</v>
      </c>
    </row>
    <row r="746">
      <c r="A746" t="inlineStr">
        <is>
          <t>2024-06-20</t>
        </is>
      </c>
      <c r="B746" t="n">
        <v>2328.89990234375</v>
      </c>
      <c r="C746" t="n">
        <v>2354</v>
      </c>
      <c r="D746" t="n">
        <v>2328.300048828125</v>
      </c>
      <c r="E746" t="n">
        <v>2353.800048828125</v>
      </c>
      <c r="F746" t="n">
        <v>183</v>
      </c>
    </row>
    <row r="747">
      <c r="A747" t="inlineStr">
        <is>
          <t>2024-06-21</t>
        </is>
      </c>
      <c r="B747" t="n">
        <v>2331.199951171875</v>
      </c>
      <c r="C747" t="n">
        <v>2331.199951171875</v>
      </c>
      <c r="D747" t="n">
        <v>2316.39990234375</v>
      </c>
      <c r="E747" t="n">
        <v>2316.39990234375</v>
      </c>
      <c r="F747" t="n">
        <v>76</v>
      </c>
    </row>
    <row r="748">
      <c r="A748" t="inlineStr">
        <is>
          <t>2024-06-24</t>
        </is>
      </c>
      <c r="B748" t="n">
        <v>2323.300048828125</v>
      </c>
      <c r="C748" t="n">
        <v>2332.89990234375</v>
      </c>
      <c r="D748" t="n">
        <v>2322.699951171875</v>
      </c>
      <c r="E748" t="n">
        <v>2330</v>
      </c>
      <c r="F748" t="n">
        <v>99</v>
      </c>
    </row>
    <row r="749">
      <c r="A749" t="inlineStr">
        <is>
          <t>2024-06-25</t>
        </is>
      </c>
      <c r="B749" t="n">
        <v>2324.39990234375</v>
      </c>
      <c r="C749" t="n">
        <v>2333</v>
      </c>
      <c r="D749" t="n">
        <v>2316.60009765625</v>
      </c>
      <c r="E749" t="n">
        <v>2316.60009765625</v>
      </c>
      <c r="F749" t="n">
        <v>105</v>
      </c>
    </row>
    <row r="750">
      <c r="A750" t="inlineStr">
        <is>
          <t>2024-06-26</t>
        </is>
      </c>
      <c r="B750" t="n">
        <v>2307.89990234375</v>
      </c>
      <c r="C750" t="n">
        <v>2314.39990234375</v>
      </c>
      <c r="D750" t="n">
        <v>2298</v>
      </c>
      <c r="E750" t="n">
        <v>2299.199951171875</v>
      </c>
      <c r="F750" t="n">
        <v>986</v>
      </c>
    </row>
    <row r="751">
      <c r="A751" t="inlineStr">
        <is>
          <t>2024-06-27</t>
        </is>
      </c>
      <c r="B751" t="n">
        <v>2296.800048828125</v>
      </c>
      <c r="C751" t="n">
        <v>2329</v>
      </c>
      <c r="D751" t="n">
        <v>2295</v>
      </c>
      <c r="E751" t="n">
        <v>2324.5</v>
      </c>
      <c r="F751" t="n">
        <v>1532</v>
      </c>
    </row>
    <row r="752">
      <c r="A752" t="inlineStr">
        <is>
          <t>2024-06-28</t>
        </is>
      </c>
      <c r="B752" t="n">
        <v>2325.39990234375</v>
      </c>
      <c r="C752" t="n">
        <v>2338.300048828125</v>
      </c>
      <c r="D752" t="n">
        <v>2319</v>
      </c>
      <c r="E752" t="n">
        <v>2327.699951171875</v>
      </c>
      <c r="F752" t="n">
        <v>92</v>
      </c>
    </row>
    <row r="753">
      <c r="A753" t="inlineStr">
        <is>
          <t>2024-07-01</t>
        </is>
      </c>
      <c r="B753" t="n">
        <v>2323.800048828125</v>
      </c>
      <c r="C753" t="n">
        <v>2329.699951171875</v>
      </c>
      <c r="D753" t="n">
        <v>2321.699951171875</v>
      </c>
      <c r="E753" t="n">
        <v>2327.60009765625</v>
      </c>
      <c r="F753" t="n">
        <v>237</v>
      </c>
    </row>
    <row r="754">
      <c r="A754" t="inlineStr">
        <is>
          <t>2024-07-02</t>
        </is>
      </c>
      <c r="B754" t="n">
        <v>2330.699951171875</v>
      </c>
      <c r="C754" t="n">
        <v>2334.60009765625</v>
      </c>
      <c r="D754" t="n">
        <v>2323</v>
      </c>
      <c r="E754" t="n">
        <v>2323</v>
      </c>
      <c r="F754" t="n">
        <v>30</v>
      </c>
    </row>
    <row r="755">
      <c r="A755" t="inlineStr">
        <is>
          <t>2024-07-03</t>
        </is>
      </c>
      <c r="B755" t="n">
        <v>2330.89990234375</v>
      </c>
      <c r="C755" t="n">
        <v>2361.60009765625</v>
      </c>
      <c r="D755" t="n">
        <v>2330.89990234375</v>
      </c>
      <c r="E755" t="n">
        <v>2359.800048828125</v>
      </c>
      <c r="F755" t="n">
        <v>59</v>
      </c>
    </row>
    <row r="756">
      <c r="A756" t="inlineStr">
        <is>
          <t>2024-07-05</t>
        </is>
      </c>
      <c r="B756" t="n">
        <v>2354.89990234375</v>
      </c>
      <c r="C756" t="n">
        <v>2388.5</v>
      </c>
      <c r="D756" t="n">
        <v>2354.89990234375</v>
      </c>
      <c r="E756" t="n">
        <v>2388.5</v>
      </c>
      <c r="F756" t="n">
        <v>72</v>
      </c>
    </row>
    <row r="757">
      <c r="A757" t="inlineStr">
        <is>
          <t>2024-07-08</t>
        </is>
      </c>
      <c r="B757" t="n">
        <v>2381.699951171875</v>
      </c>
      <c r="C757" t="n">
        <v>2383.800048828125</v>
      </c>
      <c r="D757" t="n">
        <v>2352.800048828125</v>
      </c>
      <c r="E757" t="n">
        <v>2355.199951171875</v>
      </c>
      <c r="F757" t="n">
        <v>64</v>
      </c>
    </row>
    <row r="758">
      <c r="A758" t="inlineStr">
        <is>
          <t>2024-07-09</t>
        </is>
      </c>
      <c r="B758" t="n">
        <v>2363.10009765625</v>
      </c>
      <c r="C758" t="n">
        <v>2363.699951171875</v>
      </c>
      <c r="D758" t="n">
        <v>2360.10009765625</v>
      </c>
      <c r="E758" t="n">
        <v>2360.10009765625</v>
      </c>
      <c r="F758" t="n">
        <v>9</v>
      </c>
    </row>
    <row r="759">
      <c r="A759" t="inlineStr">
        <is>
          <t>2024-07-10</t>
        </is>
      </c>
      <c r="B759" t="n">
        <v>2366.300048828125</v>
      </c>
      <c r="C759" t="n">
        <v>2377</v>
      </c>
      <c r="D759" t="n">
        <v>2365.800048828125</v>
      </c>
      <c r="E759" t="n">
        <v>2372.199951171875</v>
      </c>
      <c r="F759" t="n">
        <v>19</v>
      </c>
    </row>
    <row r="760">
      <c r="A760" t="inlineStr">
        <is>
          <t>2024-07-11</t>
        </is>
      </c>
      <c r="B760" t="n">
        <v>2378.699951171875</v>
      </c>
      <c r="C760" t="n">
        <v>2416.699951171875</v>
      </c>
      <c r="D760" t="n">
        <v>2378.699951171875</v>
      </c>
      <c r="E760" t="n">
        <v>2415</v>
      </c>
      <c r="F760" t="n">
        <v>72</v>
      </c>
    </row>
    <row r="761">
      <c r="A761" t="inlineStr">
        <is>
          <t>2024-07-12</t>
        </is>
      </c>
      <c r="B761" t="n">
        <v>2399.800048828125</v>
      </c>
      <c r="C761" t="n">
        <v>2414</v>
      </c>
      <c r="D761" t="n">
        <v>2391.300048828125</v>
      </c>
      <c r="E761" t="n">
        <v>2414</v>
      </c>
      <c r="F761" t="n">
        <v>355</v>
      </c>
    </row>
    <row r="762">
      <c r="A762" t="inlineStr">
        <is>
          <t>2024-07-15</t>
        </is>
      </c>
      <c r="B762" t="n">
        <v>2430</v>
      </c>
      <c r="C762" t="n">
        <v>2436</v>
      </c>
      <c r="D762" t="n">
        <v>2422.89990234375</v>
      </c>
      <c r="E762" t="n">
        <v>2422.89990234375</v>
      </c>
      <c r="F762" t="n">
        <v>540</v>
      </c>
    </row>
    <row r="763">
      <c r="A763" t="inlineStr">
        <is>
          <t>2024-07-16</t>
        </is>
      </c>
      <c r="B763" t="n">
        <v>2427.39990234375</v>
      </c>
      <c r="C763" t="n">
        <v>2462.39990234375</v>
      </c>
      <c r="D763" t="n">
        <v>2427.39990234375</v>
      </c>
      <c r="E763" t="n">
        <v>2462.39990234375</v>
      </c>
      <c r="F763" t="n">
        <v>93</v>
      </c>
    </row>
    <row r="764">
      <c r="A764" t="inlineStr">
        <is>
          <t>2024-07-17</t>
        </is>
      </c>
      <c r="B764" t="n">
        <v>2472.89990234375</v>
      </c>
      <c r="C764" t="n">
        <v>2473.10009765625</v>
      </c>
      <c r="D764" t="n">
        <v>2454.800048828125</v>
      </c>
      <c r="E764" t="n">
        <v>2454.800048828125</v>
      </c>
      <c r="F764" t="n">
        <v>10</v>
      </c>
    </row>
    <row r="765">
      <c r="A765" t="inlineStr">
        <is>
          <t>2024-07-18</t>
        </is>
      </c>
      <c r="B765" t="n">
        <v>2466</v>
      </c>
      <c r="C765" t="n">
        <v>2466</v>
      </c>
      <c r="D765" t="n">
        <v>2451.800048828125</v>
      </c>
      <c r="E765" t="n">
        <v>2451.800048828125</v>
      </c>
      <c r="F765" t="n">
        <v>2</v>
      </c>
    </row>
    <row r="766">
      <c r="A766" t="inlineStr">
        <is>
          <t>2024-07-19</t>
        </is>
      </c>
      <c r="B766" t="n">
        <v>2418.800048828125</v>
      </c>
      <c r="C766" t="n">
        <v>2419.199951171875</v>
      </c>
      <c r="D766" t="n">
        <v>2395.5</v>
      </c>
      <c r="E766" t="n">
        <v>2395.5</v>
      </c>
      <c r="F766" t="n">
        <v>15</v>
      </c>
    </row>
    <row r="767">
      <c r="A767" t="inlineStr">
        <is>
          <t>2024-07-22</t>
        </is>
      </c>
      <c r="B767" t="n">
        <v>2402.10009765625</v>
      </c>
      <c r="C767" t="n">
        <v>2402.10009765625</v>
      </c>
      <c r="D767" t="n">
        <v>2392</v>
      </c>
      <c r="E767" t="n">
        <v>2392</v>
      </c>
      <c r="F767" t="n">
        <v>18</v>
      </c>
    </row>
    <row r="768">
      <c r="A768" t="inlineStr">
        <is>
          <t>2024-07-23</t>
        </is>
      </c>
      <c r="B768" t="n">
        <v>2395.800048828125</v>
      </c>
      <c r="C768" t="n">
        <v>2404.60009765625</v>
      </c>
      <c r="D768" t="n">
        <v>2388.699951171875</v>
      </c>
      <c r="E768" t="n">
        <v>2404.60009765625</v>
      </c>
      <c r="F768" t="n">
        <v>41</v>
      </c>
    </row>
    <row r="769">
      <c r="A769" t="inlineStr">
        <is>
          <t>2024-07-24</t>
        </is>
      </c>
      <c r="B769" t="n">
        <v>2421</v>
      </c>
      <c r="C769" t="n">
        <v>2421</v>
      </c>
      <c r="D769" t="n">
        <v>2411.60009765625</v>
      </c>
      <c r="E769" t="n">
        <v>2413.300048828125</v>
      </c>
      <c r="F769" t="n">
        <v>6</v>
      </c>
    </row>
    <row r="770">
      <c r="A770" t="inlineStr">
        <is>
          <t>2024-07-25</t>
        </is>
      </c>
      <c r="B770" t="n">
        <v>2365.5</v>
      </c>
      <c r="C770" t="n">
        <v>2365.5</v>
      </c>
      <c r="D770" t="n">
        <v>2351.89990234375</v>
      </c>
      <c r="E770" t="n">
        <v>2351.89990234375</v>
      </c>
      <c r="F770" t="n">
        <v>31</v>
      </c>
    </row>
    <row r="771">
      <c r="A771" t="inlineStr">
        <is>
          <t>2024-07-26</t>
        </is>
      </c>
      <c r="B771" t="n">
        <v>2368.699951171875</v>
      </c>
      <c r="C771" t="n">
        <v>2386.89990234375</v>
      </c>
      <c r="D771" t="n">
        <v>2368.699951171875</v>
      </c>
      <c r="E771" t="n">
        <v>2380</v>
      </c>
      <c r="F771" t="n">
        <v>95</v>
      </c>
    </row>
    <row r="772">
      <c r="A772" t="inlineStr">
        <is>
          <t>2024-07-29</t>
        </is>
      </c>
      <c r="B772" t="n">
        <v>2377.300048828125</v>
      </c>
      <c r="C772" t="n">
        <v>2377.300048828125</v>
      </c>
      <c r="D772" t="n">
        <v>2377.300048828125</v>
      </c>
      <c r="E772" t="n">
        <v>2377.300048828125</v>
      </c>
      <c r="F772" t="n">
        <v>126409</v>
      </c>
    </row>
    <row r="773">
      <c r="A773" t="inlineStr">
        <is>
          <t>2024-07-30</t>
        </is>
      </c>
      <c r="B773" t="n">
        <v>2380.89990234375</v>
      </c>
      <c r="C773" t="n">
        <v>2409.300048828125</v>
      </c>
      <c r="D773" t="n">
        <v>2373.800048828125</v>
      </c>
      <c r="E773" t="n">
        <v>2405</v>
      </c>
      <c r="F773" t="n">
        <v>25944</v>
      </c>
    </row>
    <row r="774">
      <c r="A774" t="inlineStr">
        <is>
          <t>2024-07-31</t>
        </is>
      </c>
      <c r="B774" t="n">
        <v>2407.10009765625</v>
      </c>
      <c r="C774" t="n">
        <v>2447.60009765625</v>
      </c>
      <c r="D774" t="n">
        <v>2402.800048828125</v>
      </c>
      <c r="E774" t="n">
        <v>2426.5</v>
      </c>
      <c r="F774" t="n">
        <v>1313</v>
      </c>
    </row>
    <row r="775">
      <c r="A775" t="inlineStr">
        <is>
          <t>2024-08-01</t>
        </is>
      </c>
      <c r="B775" t="n">
        <v>2446.699951171875</v>
      </c>
      <c r="C775" t="n">
        <v>2455.10009765625</v>
      </c>
      <c r="D775" t="n">
        <v>2430.39990234375</v>
      </c>
      <c r="E775" t="n">
        <v>2435</v>
      </c>
      <c r="F775" t="n">
        <v>690</v>
      </c>
    </row>
    <row r="776">
      <c r="A776" t="inlineStr">
        <is>
          <t>2024-08-02</t>
        </is>
      </c>
      <c r="B776" t="n">
        <v>2444</v>
      </c>
      <c r="C776" t="n">
        <v>2477</v>
      </c>
      <c r="D776" t="n">
        <v>2416</v>
      </c>
      <c r="E776" t="n">
        <v>2425.699951171875</v>
      </c>
      <c r="F776" t="n">
        <v>550</v>
      </c>
    </row>
    <row r="777">
      <c r="A777" t="inlineStr">
        <is>
          <t>2024-08-05</t>
        </is>
      </c>
      <c r="B777" t="n">
        <v>2442</v>
      </c>
      <c r="C777" t="n">
        <v>2449.800048828125</v>
      </c>
      <c r="D777" t="n">
        <v>2367.39990234375</v>
      </c>
      <c r="E777" t="n">
        <v>2401.699951171875</v>
      </c>
      <c r="F777" t="n">
        <v>334</v>
      </c>
    </row>
    <row r="778">
      <c r="A778" t="inlineStr">
        <is>
          <t>2024-08-06</t>
        </is>
      </c>
      <c r="B778" t="n">
        <v>2414.5</v>
      </c>
      <c r="C778" t="n">
        <v>2421.800048828125</v>
      </c>
      <c r="D778" t="n">
        <v>2380</v>
      </c>
      <c r="E778" t="n">
        <v>2389.10009765625</v>
      </c>
      <c r="F778" t="n">
        <v>163</v>
      </c>
    </row>
    <row r="779">
      <c r="A779" t="inlineStr">
        <is>
          <t>2024-08-07</t>
        </is>
      </c>
      <c r="B779" t="n">
        <v>2392.199951171875</v>
      </c>
      <c r="C779" t="n">
        <v>2401</v>
      </c>
      <c r="D779" t="n">
        <v>2384.5</v>
      </c>
      <c r="E779" t="n">
        <v>2390.5</v>
      </c>
      <c r="F779" t="n">
        <v>130</v>
      </c>
    </row>
    <row r="780">
      <c r="A780" t="inlineStr">
        <is>
          <t>2024-08-08</t>
        </is>
      </c>
      <c r="B780" t="n">
        <v>2384.300048828125</v>
      </c>
      <c r="C780" t="n">
        <v>2422.800048828125</v>
      </c>
      <c r="D780" t="n">
        <v>2384.300048828125</v>
      </c>
      <c r="E780" t="n">
        <v>2422.199951171875</v>
      </c>
      <c r="F780" t="n">
        <v>201</v>
      </c>
    </row>
    <row r="781">
      <c r="A781" t="inlineStr">
        <is>
          <t>2024-08-09</t>
        </is>
      </c>
      <c r="B781" t="n">
        <v>2422.300048828125</v>
      </c>
      <c r="C781" t="n">
        <v>2432.10009765625</v>
      </c>
      <c r="D781" t="n">
        <v>2418.5</v>
      </c>
      <c r="E781" t="n">
        <v>2432.10009765625</v>
      </c>
      <c r="F781" t="n">
        <v>611</v>
      </c>
    </row>
    <row r="782">
      <c r="A782" t="inlineStr">
        <is>
          <t>2024-08-12</t>
        </is>
      </c>
      <c r="B782" t="n">
        <v>2432.699951171875</v>
      </c>
      <c r="C782" t="n">
        <v>2469.800048828125</v>
      </c>
      <c r="D782" t="n">
        <v>2432</v>
      </c>
      <c r="E782" t="n">
        <v>2462.39990234375</v>
      </c>
      <c r="F782" t="n">
        <v>566</v>
      </c>
    </row>
    <row r="783">
      <c r="A783" t="inlineStr">
        <is>
          <t>2024-08-13</t>
        </is>
      </c>
      <c r="B783" t="n">
        <v>2461</v>
      </c>
      <c r="C783" t="n">
        <v>2470</v>
      </c>
      <c r="D783" t="n">
        <v>2456.5</v>
      </c>
      <c r="E783" t="n">
        <v>2466.699951171875</v>
      </c>
      <c r="F783" t="n">
        <v>510</v>
      </c>
    </row>
    <row r="784">
      <c r="A784" t="inlineStr">
        <is>
          <t>2024-08-14</t>
        </is>
      </c>
      <c r="B784" t="n">
        <v>2468</v>
      </c>
      <c r="C784" t="n">
        <v>2472.10009765625</v>
      </c>
      <c r="D784" t="n">
        <v>2439.39990234375</v>
      </c>
      <c r="E784" t="n">
        <v>2439.39990234375</v>
      </c>
      <c r="F784" t="n">
        <v>274</v>
      </c>
    </row>
    <row r="785">
      <c r="A785" t="inlineStr">
        <is>
          <t>2024-08-15</t>
        </is>
      </c>
      <c r="B785" t="n">
        <v>2451.800048828125</v>
      </c>
      <c r="C785" t="n">
        <v>2467.699951171875</v>
      </c>
      <c r="D785" t="n">
        <v>2431.199951171875</v>
      </c>
      <c r="E785" t="n">
        <v>2453.10009765625</v>
      </c>
      <c r="F785" t="n">
        <v>285</v>
      </c>
    </row>
    <row r="786">
      <c r="A786" t="inlineStr">
        <is>
          <t>2024-08-16</t>
        </is>
      </c>
      <c r="B786" t="n">
        <v>2453.5</v>
      </c>
      <c r="C786" t="n">
        <v>2508</v>
      </c>
      <c r="D786" t="n">
        <v>2451.39990234375</v>
      </c>
      <c r="E786" t="n">
        <v>2498.60009765625</v>
      </c>
      <c r="F786" t="n">
        <v>197</v>
      </c>
    </row>
    <row r="787">
      <c r="A787" t="inlineStr">
        <is>
          <t>2024-08-19</t>
        </is>
      </c>
      <c r="B787" t="n">
        <v>2508.5</v>
      </c>
      <c r="C787" t="n">
        <v>2508.5</v>
      </c>
      <c r="D787" t="n">
        <v>2487.199951171875</v>
      </c>
      <c r="E787" t="n">
        <v>2501.800048828125</v>
      </c>
      <c r="F787" t="n">
        <v>88</v>
      </c>
    </row>
    <row r="788">
      <c r="A788" t="inlineStr">
        <is>
          <t>2024-08-20</t>
        </is>
      </c>
      <c r="B788" t="n">
        <v>2503.5</v>
      </c>
      <c r="C788" t="n">
        <v>2527.300048828125</v>
      </c>
      <c r="D788" t="n">
        <v>2500.699951171875</v>
      </c>
      <c r="E788" t="n">
        <v>2511.300048828125</v>
      </c>
      <c r="F788" t="n">
        <v>187</v>
      </c>
    </row>
    <row r="789">
      <c r="A789" t="inlineStr">
        <is>
          <t>2024-08-21</t>
        </is>
      </c>
      <c r="B789" t="n">
        <v>2511</v>
      </c>
      <c r="C789" t="n">
        <v>2515.39990234375</v>
      </c>
      <c r="D789" t="n">
        <v>2503.89990234375</v>
      </c>
      <c r="E789" t="n">
        <v>2508.39990234375</v>
      </c>
      <c r="F789" t="n">
        <v>96</v>
      </c>
    </row>
    <row r="790">
      <c r="A790" t="inlineStr">
        <is>
          <t>2024-08-22</t>
        </is>
      </c>
      <c r="B790" t="n">
        <v>2504.10009765625</v>
      </c>
      <c r="C790" t="n">
        <v>2504.10009765625</v>
      </c>
      <c r="D790" t="n">
        <v>2471.10009765625</v>
      </c>
      <c r="E790" t="n">
        <v>2478.89990234375</v>
      </c>
      <c r="F790" t="n">
        <v>210</v>
      </c>
    </row>
    <row r="791">
      <c r="A791" t="inlineStr">
        <is>
          <t>2024-08-23</t>
        </is>
      </c>
      <c r="B791" t="n">
        <v>2486.5</v>
      </c>
      <c r="C791" t="n">
        <v>2508.39990234375</v>
      </c>
      <c r="D791" t="n">
        <v>2486.5</v>
      </c>
      <c r="E791" t="n">
        <v>2508.39990234375</v>
      </c>
      <c r="F791" t="n">
        <v>94</v>
      </c>
    </row>
    <row r="792">
      <c r="A792" t="inlineStr">
        <is>
          <t>2024-08-26</t>
        </is>
      </c>
      <c r="B792" t="n">
        <v>2509.89990234375</v>
      </c>
      <c r="C792" t="n">
        <v>2523.10009765625</v>
      </c>
      <c r="D792" t="n">
        <v>2509.10009765625</v>
      </c>
      <c r="E792" t="n">
        <v>2517.699951171875</v>
      </c>
      <c r="F792" t="n">
        <v>290</v>
      </c>
    </row>
    <row r="793">
      <c r="A793" t="inlineStr">
        <is>
          <t>2024-08-27</t>
        </is>
      </c>
      <c r="B793" t="n">
        <v>2515.199951171875</v>
      </c>
      <c r="C793" t="n">
        <v>2523.10009765625</v>
      </c>
      <c r="D793" t="n">
        <v>2506.89990234375</v>
      </c>
      <c r="E793" t="n">
        <v>2516</v>
      </c>
      <c r="F793" t="n">
        <v>100</v>
      </c>
    </row>
    <row r="794">
      <c r="A794" t="inlineStr">
        <is>
          <t>2024-08-28</t>
        </is>
      </c>
      <c r="B794" t="n">
        <v>2501</v>
      </c>
      <c r="C794" t="n">
        <v>2501</v>
      </c>
      <c r="D794" t="n">
        <v>2501</v>
      </c>
      <c r="E794" t="n">
        <v>2501</v>
      </c>
      <c r="F794" t="n">
        <v>2353</v>
      </c>
    </row>
    <row r="795">
      <c r="A795" t="inlineStr">
        <is>
          <t>2024-08-29</t>
        </is>
      </c>
      <c r="B795" t="n">
        <v>2504.10009765625</v>
      </c>
      <c r="C795" t="n">
        <v>2525.699951171875</v>
      </c>
      <c r="D795" t="n">
        <v>2503.89990234375</v>
      </c>
      <c r="E795" t="n">
        <v>2525.699951171875</v>
      </c>
      <c r="F795" t="n">
        <v>3966</v>
      </c>
    </row>
    <row r="796">
      <c r="A796" t="inlineStr">
        <is>
          <t>2024-08-30</t>
        </is>
      </c>
      <c r="B796" t="n">
        <v>2519.5</v>
      </c>
      <c r="C796" t="n">
        <v>2525.39990234375</v>
      </c>
      <c r="D796" t="n">
        <v>2493.800048828125</v>
      </c>
      <c r="E796" t="n">
        <v>2493.800048828125</v>
      </c>
      <c r="F796" t="n">
        <v>208</v>
      </c>
    </row>
    <row r="797">
      <c r="A797" t="inlineStr">
        <is>
          <t>2024-09-03</t>
        </is>
      </c>
      <c r="B797" t="n">
        <v>2501.60009765625</v>
      </c>
      <c r="C797" t="n">
        <v>2501.800048828125</v>
      </c>
      <c r="D797" t="n">
        <v>2476.300048828125</v>
      </c>
      <c r="E797" t="n">
        <v>2489.89990234375</v>
      </c>
      <c r="F797" t="n">
        <v>206</v>
      </c>
    </row>
    <row r="798">
      <c r="A798" t="inlineStr">
        <is>
          <t>2024-09-04</t>
        </is>
      </c>
      <c r="B798" t="n">
        <v>2490.89990234375</v>
      </c>
      <c r="C798" t="n">
        <v>2493.39990234375</v>
      </c>
      <c r="D798" t="n">
        <v>2483.5</v>
      </c>
      <c r="E798" t="n">
        <v>2493.39990234375</v>
      </c>
      <c r="F798" t="n">
        <v>470</v>
      </c>
    </row>
    <row r="799">
      <c r="A799" t="inlineStr">
        <is>
          <t>2024-09-05</t>
        </is>
      </c>
      <c r="B799" t="n">
        <v>2493.699951171875</v>
      </c>
      <c r="C799" t="n">
        <v>2513.300048828125</v>
      </c>
      <c r="D799" t="n">
        <v>2493.39990234375</v>
      </c>
      <c r="E799" t="n">
        <v>2511.39990234375</v>
      </c>
      <c r="F799" t="n">
        <v>54</v>
      </c>
    </row>
    <row r="800">
      <c r="A800" t="inlineStr">
        <is>
          <t>2024-09-06</t>
        </is>
      </c>
      <c r="B800" t="n">
        <v>2510.300048828125</v>
      </c>
      <c r="C800" t="n">
        <v>2517.89990234375</v>
      </c>
      <c r="D800" t="n">
        <v>2483.699951171875</v>
      </c>
      <c r="E800" t="n">
        <v>2493.5</v>
      </c>
      <c r="F800" t="n">
        <v>96</v>
      </c>
    </row>
    <row r="801">
      <c r="A801" t="inlineStr">
        <is>
          <t>2024-09-09</t>
        </is>
      </c>
      <c r="B801" t="n">
        <v>2491.300048828125</v>
      </c>
      <c r="C801" t="n">
        <v>2504.699951171875</v>
      </c>
      <c r="D801" t="n">
        <v>2491.300048828125</v>
      </c>
      <c r="E801" t="n">
        <v>2501.800048828125</v>
      </c>
      <c r="F801" t="n">
        <v>96</v>
      </c>
    </row>
    <row r="802">
      <c r="A802" t="inlineStr">
        <is>
          <t>2024-09-10</t>
        </is>
      </c>
      <c r="B802" t="n">
        <v>2512.300048828125</v>
      </c>
      <c r="C802" t="n">
        <v>2512.300048828125</v>
      </c>
      <c r="D802" t="n">
        <v>2512.300048828125</v>
      </c>
      <c r="E802" t="n">
        <v>2512.300048828125</v>
      </c>
      <c r="F802" t="n">
        <v>5</v>
      </c>
    </row>
    <row r="803">
      <c r="A803" t="inlineStr">
        <is>
          <t>2024-09-11</t>
        </is>
      </c>
      <c r="B803" t="n">
        <v>2525.800048828125</v>
      </c>
      <c r="C803" t="n">
        <v>2525.800048828125</v>
      </c>
      <c r="D803" t="n">
        <v>2502.300048828125</v>
      </c>
      <c r="E803" t="n">
        <v>2512.10009765625</v>
      </c>
      <c r="F803" t="n">
        <v>90</v>
      </c>
    </row>
    <row r="804">
      <c r="A804" t="inlineStr">
        <is>
          <t>2024-09-12</t>
        </is>
      </c>
      <c r="B804" t="n">
        <v>2529.10009765625</v>
      </c>
      <c r="C804" t="n">
        <v>2557</v>
      </c>
      <c r="D804" t="n">
        <v>2523.39990234375</v>
      </c>
      <c r="E804" t="n">
        <v>2551.199951171875</v>
      </c>
      <c r="F804" t="n">
        <v>132</v>
      </c>
    </row>
    <row r="805">
      <c r="A805" t="inlineStr">
        <is>
          <t>2024-09-13</t>
        </is>
      </c>
      <c r="B805" t="n">
        <v>2568.800048828125</v>
      </c>
      <c r="C805" t="n">
        <v>2581.800048828125</v>
      </c>
      <c r="D805" t="n">
        <v>2565</v>
      </c>
      <c r="E805" t="n">
        <v>2581.300048828125</v>
      </c>
      <c r="F805" t="n">
        <v>31</v>
      </c>
    </row>
    <row r="806">
      <c r="A806" t="inlineStr">
        <is>
          <t>2024-09-16</t>
        </is>
      </c>
      <c r="B806" t="n">
        <v>2580.39990234375</v>
      </c>
      <c r="C806" t="n">
        <v>2580.39990234375</v>
      </c>
      <c r="D806" t="n">
        <v>2580.39990234375</v>
      </c>
      <c r="E806" t="n">
        <v>2580.39990234375</v>
      </c>
      <c r="F806" t="n">
        <v>28</v>
      </c>
    </row>
    <row r="807">
      <c r="A807" t="inlineStr">
        <is>
          <t>2024-09-17</t>
        </is>
      </c>
      <c r="B807" t="n">
        <v>2581.199951171875</v>
      </c>
      <c r="C807" t="n">
        <v>2581.800048828125</v>
      </c>
      <c r="D807" t="n">
        <v>2564.300048828125</v>
      </c>
      <c r="E807" t="n">
        <v>2564.300048828125</v>
      </c>
      <c r="F807" t="n">
        <v>22</v>
      </c>
    </row>
    <row r="808">
      <c r="A808" t="inlineStr">
        <is>
          <t>2024-09-18</t>
        </is>
      </c>
      <c r="B808" t="n">
        <v>2570.699951171875</v>
      </c>
      <c r="C808" t="n">
        <v>2570.699951171875</v>
      </c>
      <c r="D808" t="n">
        <v>2549.199951171875</v>
      </c>
      <c r="E808" t="n">
        <v>2570.699951171875</v>
      </c>
      <c r="F808" t="n">
        <v>25</v>
      </c>
    </row>
    <row r="809">
      <c r="A809" t="inlineStr">
        <is>
          <t>2024-09-19</t>
        </is>
      </c>
      <c r="B809" t="n">
        <v>2566</v>
      </c>
      <c r="C809" t="n">
        <v>2588</v>
      </c>
      <c r="D809" t="n">
        <v>2566</v>
      </c>
      <c r="E809" t="n">
        <v>2588</v>
      </c>
      <c r="F809" t="n">
        <v>99</v>
      </c>
    </row>
    <row r="810">
      <c r="A810" t="inlineStr">
        <is>
          <t>2024-09-20</t>
        </is>
      </c>
      <c r="B810" t="n">
        <v>2590.39990234375</v>
      </c>
      <c r="C810" t="n">
        <v>2621.800048828125</v>
      </c>
      <c r="D810" t="n">
        <v>2590.39990234375</v>
      </c>
      <c r="E810" t="n">
        <v>2619.89990234375</v>
      </c>
      <c r="F810" t="n">
        <v>17</v>
      </c>
    </row>
    <row r="811">
      <c r="A811" t="inlineStr">
        <is>
          <t>2024-09-23</t>
        </is>
      </c>
      <c r="B811" t="n">
        <v>2626.5</v>
      </c>
      <c r="C811" t="n">
        <v>2626.5</v>
      </c>
      <c r="D811" t="n">
        <v>2626.5</v>
      </c>
      <c r="E811" t="n">
        <v>2626.5</v>
      </c>
      <c r="F811" t="n">
        <v>9</v>
      </c>
    </row>
    <row r="812">
      <c r="A812" t="inlineStr">
        <is>
          <t>2024-09-24</t>
        </is>
      </c>
      <c r="B812" t="n">
        <v>2636.800048828125</v>
      </c>
      <c r="C812" t="n">
        <v>2662.300048828125</v>
      </c>
      <c r="D812" t="n">
        <v>2625.5</v>
      </c>
      <c r="E812" t="n">
        <v>2651.199951171875</v>
      </c>
      <c r="F812" t="n">
        <v>35</v>
      </c>
    </row>
    <row r="813">
      <c r="A813" t="inlineStr">
        <is>
          <t>2024-09-25</t>
        </is>
      </c>
      <c r="B813" t="n">
        <v>2656.300048828125</v>
      </c>
      <c r="C813" t="n">
        <v>2664.199951171875</v>
      </c>
      <c r="D813" t="n">
        <v>2649.300048828125</v>
      </c>
      <c r="E813" t="n">
        <v>2659.199951171875</v>
      </c>
      <c r="F813" t="n">
        <v>175</v>
      </c>
    </row>
    <row r="814">
      <c r="A814" t="inlineStr">
        <is>
          <t>2024-09-26</t>
        </is>
      </c>
      <c r="B814" t="n">
        <v>2662.300048828125</v>
      </c>
      <c r="C814" t="n">
        <v>2669.89990234375</v>
      </c>
      <c r="D814" t="n">
        <v>2660.800048828125</v>
      </c>
      <c r="E814" t="n">
        <v>2669.89990234375</v>
      </c>
      <c r="F814" t="n">
        <v>17216</v>
      </c>
    </row>
    <row r="815">
      <c r="A815" t="inlineStr">
        <is>
          <t>2024-09-27</t>
        </is>
      </c>
      <c r="B815" t="n">
        <v>2670</v>
      </c>
      <c r="C815" t="n">
        <v>2672.10009765625</v>
      </c>
      <c r="D815" t="n">
        <v>2641.699951171875</v>
      </c>
      <c r="E815" t="n">
        <v>2644.300048828125</v>
      </c>
      <c r="F815" t="n">
        <v>4228</v>
      </c>
    </row>
    <row r="816">
      <c r="A816" t="inlineStr">
        <is>
          <t>2024-09-30</t>
        </is>
      </c>
      <c r="B816" t="n">
        <v>2660.89990234375</v>
      </c>
      <c r="C816" t="n">
        <v>2662.10009765625</v>
      </c>
      <c r="D816" t="n">
        <v>2623.199951171875</v>
      </c>
      <c r="E816" t="n">
        <v>2636.10009765625</v>
      </c>
      <c r="F816" t="n">
        <v>973</v>
      </c>
    </row>
    <row r="817">
      <c r="A817" t="inlineStr">
        <is>
          <t>2024-10-01</t>
        </is>
      </c>
      <c r="B817" t="n">
        <v>2631.39990234375</v>
      </c>
      <c r="C817" t="n">
        <v>2670.89990234375</v>
      </c>
      <c r="D817" t="n">
        <v>2631.39990234375</v>
      </c>
      <c r="E817" t="n">
        <v>2667.300048828125</v>
      </c>
      <c r="F817" t="n">
        <v>153</v>
      </c>
    </row>
    <row r="818">
      <c r="A818" t="inlineStr">
        <is>
          <t>2024-10-02</t>
        </is>
      </c>
      <c r="B818" t="n">
        <v>2650.60009765625</v>
      </c>
      <c r="C818" t="n">
        <v>2657.199951171875</v>
      </c>
      <c r="D818" t="n">
        <v>2640</v>
      </c>
      <c r="E818" t="n">
        <v>2647.10009765625</v>
      </c>
      <c r="F818" t="n">
        <v>72</v>
      </c>
    </row>
    <row r="819">
      <c r="A819" t="inlineStr">
        <is>
          <t>2024-10-03</t>
        </is>
      </c>
      <c r="B819" t="n">
        <v>2642.800048828125</v>
      </c>
      <c r="C819" t="n">
        <v>2657.10009765625</v>
      </c>
      <c r="D819" t="n">
        <v>2640</v>
      </c>
      <c r="E819" t="n">
        <v>2657.10009765625</v>
      </c>
      <c r="F819" t="n">
        <v>354</v>
      </c>
    </row>
    <row r="820">
      <c r="A820" t="inlineStr">
        <is>
          <t>2024-10-04</t>
        </is>
      </c>
      <c r="B820" t="n">
        <v>2656</v>
      </c>
      <c r="C820" t="n">
        <v>2667</v>
      </c>
      <c r="D820" t="n">
        <v>2639</v>
      </c>
      <c r="E820" t="n">
        <v>2645.800048828125</v>
      </c>
      <c r="F820" t="n">
        <v>114</v>
      </c>
    </row>
    <row r="821">
      <c r="A821" t="inlineStr">
        <is>
          <t>2024-10-07</t>
        </is>
      </c>
      <c r="B821" t="n">
        <v>2648.699951171875</v>
      </c>
      <c r="C821" t="n">
        <v>2657.39990234375</v>
      </c>
      <c r="D821" t="n">
        <v>2639</v>
      </c>
      <c r="E821" t="n">
        <v>2644.800048828125</v>
      </c>
      <c r="F821" t="n">
        <v>284</v>
      </c>
    </row>
    <row r="822">
      <c r="A822" t="inlineStr">
        <is>
          <t>2024-10-08</t>
        </is>
      </c>
      <c r="B822" t="n">
        <v>2639</v>
      </c>
      <c r="C822" t="n">
        <v>2639</v>
      </c>
      <c r="D822" t="n">
        <v>2609.300048828125</v>
      </c>
      <c r="E822" t="n">
        <v>2615</v>
      </c>
      <c r="F822" t="n">
        <v>687</v>
      </c>
    </row>
    <row r="823">
      <c r="A823" t="inlineStr">
        <is>
          <t>2024-10-09</t>
        </is>
      </c>
      <c r="B823" t="n">
        <v>2603</v>
      </c>
      <c r="C823" t="n">
        <v>2607.699951171875</v>
      </c>
      <c r="D823" t="n">
        <v>2603</v>
      </c>
      <c r="E823" t="n">
        <v>2606</v>
      </c>
      <c r="F823" t="n">
        <v>152</v>
      </c>
    </row>
    <row r="824">
      <c r="A824" t="inlineStr">
        <is>
          <t>2024-10-10</t>
        </is>
      </c>
      <c r="B824" t="n">
        <v>2602.5</v>
      </c>
      <c r="C824" t="n">
        <v>2628.300048828125</v>
      </c>
      <c r="D824" t="n">
        <v>2602.5</v>
      </c>
      <c r="E824" t="n">
        <v>2620.60009765625</v>
      </c>
      <c r="F824" t="n">
        <v>320</v>
      </c>
    </row>
    <row r="825">
      <c r="A825" t="inlineStr">
        <is>
          <t>2024-10-11</t>
        </is>
      </c>
      <c r="B825" t="n">
        <v>2638.300048828125</v>
      </c>
      <c r="C825" t="n">
        <v>2658.10009765625</v>
      </c>
      <c r="D825" t="n">
        <v>2638.199951171875</v>
      </c>
      <c r="E825" t="n">
        <v>2657.60009765625</v>
      </c>
      <c r="F825" t="n">
        <v>12</v>
      </c>
    </row>
    <row r="826">
      <c r="A826" t="inlineStr">
        <is>
          <t>2024-10-14</t>
        </is>
      </c>
      <c r="B826" t="n">
        <v>2655</v>
      </c>
      <c r="C826" t="n">
        <v>2655.300048828125</v>
      </c>
      <c r="D826" t="n">
        <v>2647.800048828125</v>
      </c>
      <c r="E826" t="n">
        <v>2647.800048828125</v>
      </c>
      <c r="F826" t="n">
        <v>40</v>
      </c>
    </row>
    <row r="827">
      <c r="A827" t="inlineStr">
        <is>
          <t>2024-10-15</t>
        </is>
      </c>
      <c r="B827" t="n">
        <v>2661.39990234375</v>
      </c>
      <c r="C827" t="n">
        <v>2661.39990234375</v>
      </c>
      <c r="D827" t="n">
        <v>2661.39990234375</v>
      </c>
      <c r="E827" t="n">
        <v>2661.39990234375</v>
      </c>
      <c r="F827" t="n">
        <v>39</v>
      </c>
    </row>
    <row r="828">
      <c r="A828" t="inlineStr">
        <is>
          <t>2024-10-16</t>
        </is>
      </c>
      <c r="B828" t="n">
        <v>2674</v>
      </c>
      <c r="C828" t="n">
        <v>2674</v>
      </c>
      <c r="D828" t="n">
        <v>2674</v>
      </c>
      <c r="E828" t="n">
        <v>2674</v>
      </c>
      <c r="F828" t="n">
        <v>6</v>
      </c>
    </row>
    <row r="829">
      <c r="A829" t="inlineStr">
        <is>
          <t>2024-10-17</t>
        </is>
      </c>
      <c r="B829" t="n">
        <v>2677.39990234375</v>
      </c>
      <c r="C829" t="n">
        <v>2691.699951171875</v>
      </c>
      <c r="D829" t="n">
        <v>2677.199951171875</v>
      </c>
      <c r="E829" t="n">
        <v>2691</v>
      </c>
      <c r="F829" t="n">
        <v>30</v>
      </c>
    </row>
    <row r="830">
      <c r="A830" t="inlineStr">
        <is>
          <t>2024-10-18</t>
        </is>
      </c>
      <c r="B830" t="n">
        <v>2713.699951171875</v>
      </c>
      <c r="C830" t="n">
        <v>2719.60009765625</v>
      </c>
      <c r="D830" t="n">
        <v>2713.699951171875</v>
      </c>
      <c r="E830" t="n">
        <v>2713.699951171875</v>
      </c>
      <c r="F830" t="n">
        <v>29</v>
      </c>
    </row>
    <row r="831">
      <c r="A831" t="inlineStr">
        <is>
          <t>2024-10-21</t>
        </is>
      </c>
      <c r="B831" t="n">
        <v>2721.89990234375</v>
      </c>
      <c r="C831" t="n">
        <v>2738.39990234375</v>
      </c>
      <c r="D831" t="n">
        <v>2719.5</v>
      </c>
      <c r="E831" t="n">
        <v>2723.10009765625</v>
      </c>
      <c r="F831" t="n">
        <v>52</v>
      </c>
    </row>
    <row r="832">
      <c r="A832" t="inlineStr">
        <is>
          <t>2024-10-22</t>
        </is>
      </c>
      <c r="B832" t="n">
        <v>2731.699951171875</v>
      </c>
      <c r="C832" t="n">
        <v>2746</v>
      </c>
      <c r="D832" t="n">
        <v>2728.60009765625</v>
      </c>
      <c r="E832" t="n">
        <v>2744.199951171875</v>
      </c>
      <c r="F832" t="n">
        <v>93</v>
      </c>
    </row>
    <row r="833">
      <c r="A833" t="inlineStr">
        <is>
          <t>2024-10-23</t>
        </is>
      </c>
      <c r="B833" t="n">
        <v>2742.5</v>
      </c>
      <c r="C833" t="n">
        <v>2742.5</v>
      </c>
      <c r="D833" t="n">
        <v>2714.199951171875</v>
      </c>
      <c r="E833" t="n">
        <v>2714.39990234375</v>
      </c>
      <c r="F833" t="n">
        <v>18</v>
      </c>
    </row>
    <row r="834">
      <c r="A834" t="inlineStr">
        <is>
          <t>2024-10-24</t>
        </is>
      </c>
      <c r="B834" t="n">
        <v>2729</v>
      </c>
      <c r="C834" t="n">
        <v>2736.10009765625</v>
      </c>
      <c r="D834" t="n">
        <v>2729</v>
      </c>
      <c r="E834" t="n">
        <v>2734.89990234375</v>
      </c>
      <c r="F834" t="n">
        <v>27</v>
      </c>
    </row>
    <row r="835">
      <c r="A835" t="inlineStr">
        <is>
          <t>2024-10-25</t>
        </is>
      </c>
      <c r="B835" t="n">
        <v>2725.5</v>
      </c>
      <c r="C835" t="n">
        <v>2742.39990234375</v>
      </c>
      <c r="D835" t="n">
        <v>2725.5</v>
      </c>
      <c r="E835" t="n">
        <v>2740.89990234375</v>
      </c>
      <c r="F835" t="n">
        <v>29</v>
      </c>
    </row>
    <row r="836">
      <c r="A836" t="inlineStr">
        <is>
          <t>2024-10-28</t>
        </is>
      </c>
      <c r="B836" t="n">
        <v>2736.10009765625</v>
      </c>
      <c r="C836" t="n">
        <v>2742.89990234375</v>
      </c>
      <c r="D836" t="n">
        <v>2729.5</v>
      </c>
      <c r="E836" t="n">
        <v>2742.89990234375</v>
      </c>
      <c r="F836" t="n">
        <v>56</v>
      </c>
    </row>
    <row r="837">
      <c r="A837" t="inlineStr">
        <is>
          <t>2024-10-29</t>
        </is>
      </c>
      <c r="B837" t="n">
        <v>2768.39990234375</v>
      </c>
      <c r="C837" t="n">
        <v>2768.39990234375</v>
      </c>
      <c r="D837" t="n">
        <v>2768.39990234375</v>
      </c>
      <c r="E837" t="n">
        <v>2768.39990234375</v>
      </c>
      <c r="F837" t="n">
        <v>848</v>
      </c>
    </row>
    <row r="838">
      <c r="A838" t="inlineStr">
        <is>
          <t>2024-10-30</t>
        </is>
      </c>
      <c r="B838" t="n">
        <v>2774.60009765625</v>
      </c>
      <c r="C838" t="n">
        <v>2789</v>
      </c>
      <c r="D838" t="n">
        <v>2774.60009765625</v>
      </c>
      <c r="E838" t="n">
        <v>2788.5</v>
      </c>
      <c r="F838" t="n">
        <v>231</v>
      </c>
    </row>
    <row r="839">
      <c r="A839" t="inlineStr">
        <is>
          <t>2024-10-31</t>
        </is>
      </c>
      <c r="B839" t="n">
        <v>2787.39990234375</v>
      </c>
      <c r="C839" t="n">
        <v>2787.5</v>
      </c>
      <c r="D839" t="n">
        <v>2733.5</v>
      </c>
      <c r="E839" t="n">
        <v>2738.300048828125</v>
      </c>
      <c r="F839" t="n">
        <v>849</v>
      </c>
    </row>
    <row r="840">
      <c r="A840" t="inlineStr">
        <is>
          <t>2024-11-01</t>
        </is>
      </c>
      <c r="B840" t="n">
        <v>2745.5</v>
      </c>
      <c r="C840" t="n">
        <v>2756</v>
      </c>
      <c r="D840" t="n">
        <v>2734.199951171875</v>
      </c>
      <c r="E840" t="n">
        <v>2738.60009765625</v>
      </c>
      <c r="F840" t="n">
        <v>109</v>
      </c>
    </row>
    <row r="841">
      <c r="A841" t="inlineStr">
        <is>
          <t>2024-11-04</t>
        </is>
      </c>
      <c r="B841" t="n">
        <v>2736.5</v>
      </c>
      <c r="C841" t="n">
        <v>2737.10009765625</v>
      </c>
      <c r="D841" t="n">
        <v>2736.10009765625</v>
      </c>
      <c r="E841" t="n">
        <v>2736.10009765625</v>
      </c>
      <c r="F841" t="n">
        <v>16</v>
      </c>
    </row>
    <row r="842">
      <c r="A842" t="inlineStr">
        <is>
          <t>2024-11-05</t>
        </is>
      </c>
      <c r="B842" t="n">
        <v>2743</v>
      </c>
      <c r="C842" t="n">
        <v>2743.89990234375</v>
      </c>
      <c r="D842" t="n">
        <v>2740.300048828125</v>
      </c>
      <c r="E842" t="n">
        <v>2740.300048828125</v>
      </c>
      <c r="F842" t="n">
        <v>23</v>
      </c>
    </row>
    <row r="843">
      <c r="A843" t="inlineStr">
        <is>
          <t>2024-11-06</t>
        </is>
      </c>
      <c r="B843" t="n">
        <v>2734.5</v>
      </c>
      <c r="C843" t="n">
        <v>2734.5</v>
      </c>
      <c r="D843" t="n">
        <v>2659.39990234375</v>
      </c>
      <c r="E843" t="n">
        <v>2667.60009765625</v>
      </c>
      <c r="F843" t="n">
        <v>427</v>
      </c>
    </row>
    <row r="844">
      <c r="A844" t="inlineStr">
        <is>
          <t>2024-11-07</t>
        </is>
      </c>
      <c r="B844" t="n">
        <v>2662.5</v>
      </c>
      <c r="C844" t="n">
        <v>2699.10009765625</v>
      </c>
      <c r="D844" t="n">
        <v>2662.5</v>
      </c>
      <c r="E844" t="n">
        <v>2698.39990234375</v>
      </c>
      <c r="F844" t="n">
        <v>676</v>
      </c>
    </row>
    <row r="845">
      <c r="A845" t="inlineStr">
        <is>
          <t>2024-11-08</t>
        </is>
      </c>
      <c r="B845" t="n">
        <v>2688.5</v>
      </c>
      <c r="C845" t="n">
        <v>2694.60009765625</v>
      </c>
      <c r="D845" t="n">
        <v>2682.89990234375</v>
      </c>
      <c r="E845" t="n">
        <v>2687.5</v>
      </c>
      <c r="F845" t="n">
        <v>1038</v>
      </c>
    </row>
    <row r="846">
      <c r="A846" t="inlineStr">
        <is>
          <t>2024-11-11</t>
        </is>
      </c>
      <c r="B846" t="n">
        <v>2671.699951171875</v>
      </c>
      <c r="C846" t="n">
        <v>2671.699951171875</v>
      </c>
      <c r="D846" t="n">
        <v>2611.199951171875</v>
      </c>
      <c r="E846" t="n">
        <v>2611.199951171875</v>
      </c>
      <c r="F846" t="n">
        <v>20</v>
      </c>
    </row>
    <row r="847">
      <c r="A847" t="inlineStr">
        <is>
          <t>2024-11-12</t>
        </is>
      </c>
      <c r="B847" t="n">
        <v>2605.5</v>
      </c>
      <c r="C847" t="n">
        <v>2605.5</v>
      </c>
      <c r="D847" t="n">
        <v>2592.800048828125</v>
      </c>
      <c r="E847" t="n">
        <v>2600</v>
      </c>
      <c r="F847" t="n">
        <v>118</v>
      </c>
    </row>
    <row r="848">
      <c r="A848" t="inlineStr">
        <is>
          <t>2024-11-13</t>
        </is>
      </c>
      <c r="B848" t="n">
        <v>2611.10009765625</v>
      </c>
      <c r="C848" t="n">
        <v>2611.800048828125</v>
      </c>
      <c r="D848" t="n">
        <v>2580.800048828125</v>
      </c>
      <c r="E848" t="n">
        <v>2580.800048828125</v>
      </c>
      <c r="F848" t="n">
        <v>53</v>
      </c>
    </row>
    <row r="849">
      <c r="A849" t="inlineStr">
        <is>
          <t>2024-11-14</t>
        </is>
      </c>
      <c r="B849" t="n">
        <v>2555.10009765625</v>
      </c>
      <c r="C849" t="n">
        <v>2576.199951171875</v>
      </c>
      <c r="D849" t="n">
        <v>2554.199951171875</v>
      </c>
      <c r="E849" t="n">
        <v>2568.199951171875</v>
      </c>
      <c r="F849" t="n">
        <v>27</v>
      </c>
    </row>
    <row r="850">
      <c r="A850" t="inlineStr">
        <is>
          <t>2024-11-15</t>
        </is>
      </c>
      <c r="B850" t="n">
        <v>2565.699951171875</v>
      </c>
      <c r="C850" t="n">
        <v>2565.699951171875</v>
      </c>
      <c r="D850" t="n">
        <v>2565.699951171875</v>
      </c>
      <c r="E850" t="n">
        <v>2565.699951171875</v>
      </c>
      <c r="F850" t="n">
        <v>20</v>
      </c>
    </row>
    <row r="851">
      <c r="A851" t="inlineStr">
        <is>
          <t>2024-11-18</t>
        </is>
      </c>
      <c r="B851" t="n">
        <v>2591.699951171875</v>
      </c>
      <c r="C851" t="n">
        <v>2610.699951171875</v>
      </c>
      <c r="D851" t="n">
        <v>2589.39990234375</v>
      </c>
      <c r="E851" t="n">
        <v>2610.60009765625</v>
      </c>
      <c r="F851" t="n">
        <v>136</v>
      </c>
    </row>
    <row r="852">
      <c r="A852" t="inlineStr">
        <is>
          <t>2024-11-19</t>
        </is>
      </c>
      <c r="B852" t="n">
        <v>2621.89990234375</v>
      </c>
      <c r="C852" t="n">
        <v>2627.699951171875</v>
      </c>
      <c r="D852" t="n">
        <v>2619.300048828125</v>
      </c>
      <c r="E852" t="n">
        <v>2627.10009765625</v>
      </c>
      <c r="F852" t="n">
        <v>87</v>
      </c>
    </row>
    <row r="853">
      <c r="A853" t="inlineStr">
        <is>
          <t>2024-11-20</t>
        </is>
      </c>
      <c r="B853" t="n">
        <v>2638.5</v>
      </c>
      <c r="C853" t="n">
        <v>2648.199951171875</v>
      </c>
      <c r="D853" t="n">
        <v>2638.5</v>
      </c>
      <c r="E853" t="n">
        <v>2648.199951171875</v>
      </c>
      <c r="F853" t="n">
        <v>27</v>
      </c>
    </row>
    <row r="854">
      <c r="A854" t="inlineStr">
        <is>
          <t>2024-11-21</t>
        </is>
      </c>
      <c r="B854" t="n">
        <v>2659.300048828125</v>
      </c>
      <c r="C854" t="n">
        <v>2672.10009765625</v>
      </c>
      <c r="D854" t="n">
        <v>2655.699951171875</v>
      </c>
      <c r="E854" t="n">
        <v>2672.10009765625</v>
      </c>
      <c r="F854" t="n">
        <v>33</v>
      </c>
    </row>
    <row r="855">
      <c r="A855" t="inlineStr">
        <is>
          <t>2024-11-22</t>
        </is>
      </c>
      <c r="B855" t="n">
        <v>2687.5</v>
      </c>
      <c r="C855" t="n">
        <v>2710.5</v>
      </c>
      <c r="D855" t="n">
        <v>2685.60009765625</v>
      </c>
      <c r="E855" t="n">
        <v>2709.89990234375</v>
      </c>
      <c r="F855" t="n">
        <v>41</v>
      </c>
    </row>
    <row r="856">
      <c r="A856" t="inlineStr">
        <is>
          <t>2024-11-25</t>
        </is>
      </c>
      <c r="B856" t="n">
        <v>2689.39990234375</v>
      </c>
      <c r="C856" t="n">
        <v>2689.39990234375</v>
      </c>
      <c r="D856" t="n">
        <v>2616.800048828125</v>
      </c>
      <c r="E856" t="n">
        <v>2616.800048828125</v>
      </c>
      <c r="F856" t="n">
        <v>94</v>
      </c>
    </row>
    <row r="857">
      <c r="A857" t="inlineStr">
        <is>
          <t>2024-11-26</t>
        </is>
      </c>
      <c r="B857" t="n">
        <v>2625.60009765625</v>
      </c>
      <c r="C857" t="n">
        <v>2625.60009765625</v>
      </c>
      <c r="D857" t="n">
        <v>2620.300048828125</v>
      </c>
      <c r="E857" t="n">
        <v>2620.300048828125</v>
      </c>
      <c r="F857" t="n">
        <v>177858</v>
      </c>
    </row>
    <row r="858">
      <c r="A858" t="inlineStr">
        <is>
          <t>2024-11-27</t>
        </is>
      </c>
      <c r="B858" t="n">
        <v>2633.5</v>
      </c>
      <c r="C858" t="n">
        <v>2657.89990234375</v>
      </c>
      <c r="D858" t="n">
        <v>2627.199951171875</v>
      </c>
      <c r="E858" t="n">
        <v>2639.89990234375</v>
      </c>
      <c r="F858" t="n">
        <v>61653</v>
      </c>
    </row>
    <row r="859">
      <c r="A859" t="inlineStr">
        <is>
          <t>2024-11-29</t>
        </is>
      </c>
      <c r="B859" t="n">
        <v>2636.39990234375</v>
      </c>
      <c r="C859" t="n">
        <v>2664.300048828125</v>
      </c>
      <c r="D859" t="n">
        <v>2620.699951171875</v>
      </c>
      <c r="E859" t="n">
        <v>2657</v>
      </c>
      <c r="F859" t="n">
        <v>3861</v>
      </c>
    </row>
    <row r="860">
      <c r="A860" t="inlineStr">
        <is>
          <t>2024-12-02</t>
        </is>
      </c>
      <c r="B860" t="n">
        <v>2649</v>
      </c>
      <c r="C860" t="n">
        <v>2649.800048828125</v>
      </c>
      <c r="D860" t="n">
        <v>2621.699951171875</v>
      </c>
      <c r="E860" t="n">
        <v>2634.89990234375</v>
      </c>
      <c r="F860" t="n">
        <v>695</v>
      </c>
    </row>
    <row r="861">
      <c r="A861" t="inlineStr">
        <is>
          <t>2024-12-03</t>
        </is>
      </c>
      <c r="B861" t="n">
        <v>2639</v>
      </c>
      <c r="C861" t="n">
        <v>2654.699951171875</v>
      </c>
      <c r="D861" t="n">
        <v>2636</v>
      </c>
      <c r="E861" t="n">
        <v>2644.699951171875</v>
      </c>
      <c r="F861" t="n">
        <v>1062</v>
      </c>
    </row>
    <row r="862">
      <c r="A862" t="inlineStr">
        <is>
          <t>2024-12-04</t>
        </is>
      </c>
      <c r="B862" t="n">
        <v>2639.199951171875</v>
      </c>
      <c r="C862" t="n">
        <v>2658.300048828125</v>
      </c>
      <c r="D862" t="n">
        <v>2637</v>
      </c>
      <c r="E862" t="n">
        <v>2653.800048828125</v>
      </c>
      <c r="F862" t="n">
        <v>249</v>
      </c>
    </row>
    <row r="863">
      <c r="A863" t="inlineStr">
        <is>
          <t>2024-12-05</t>
        </is>
      </c>
      <c r="B863" t="n">
        <v>2652.39990234375</v>
      </c>
      <c r="C863" t="n">
        <v>2655</v>
      </c>
      <c r="D863" t="n">
        <v>2625.699951171875</v>
      </c>
      <c r="E863" t="n">
        <v>2626.60009765625</v>
      </c>
      <c r="F863" t="n">
        <v>573</v>
      </c>
    </row>
    <row r="864">
      <c r="A864" t="inlineStr">
        <is>
          <t>2024-12-06</t>
        </is>
      </c>
      <c r="B864" t="n">
        <v>2620.199951171875</v>
      </c>
      <c r="C864" t="n">
        <v>2643.10009765625</v>
      </c>
      <c r="D864" t="n">
        <v>2617.5</v>
      </c>
      <c r="E864" t="n">
        <v>2638.60009765625</v>
      </c>
      <c r="F864" t="n">
        <v>571</v>
      </c>
    </row>
    <row r="865">
      <c r="A865" t="inlineStr">
        <is>
          <t>2024-12-09</t>
        </is>
      </c>
      <c r="B865" t="n">
        <v>2632.10009765625</v>
      </c>
      <c r="C865" t="n">
        <v>2677.10009765625</v>
      </c>
      <c r="D865" t="n">
        <v>2630.800048828125</v>
      </c>
      <c r="E865" t="n">
        <v>2664.89990234375</v>
      </c>
      <c r="F865" t="n">
        <v>935</v>
      </c>
    </row>
    <row r="866">
      <c r="A866" t="inlineStr">
        <is>
          <t>2024-12-10</t>
        </is>
      </c>
      <c r="B866" t="n">
        <v>2662.300048828125</v>
      </c>
      <c r="C866" t="n">
        <v>2698.199951171875</v>
      </c>
      <c r="D866" t="n">
        <v>2661</v>
      </c>
      <c r="E866" t="n">
        <v>2697.60009765625</v>
      </c>
      <c r="F866" t="n">
        <v>437</v>
      </c>
    </row>
    <row r="867">
      <c r="A867" t="inlineStr">
        <is>
          <t>2024-12-11</t>
        </is>
      </c>
      <c r="B867" t="n">
        <v>2701.800048828125</v>
      </c>
      <c r="C867" t="n">
        <v>2733.800048828125</v>
      </c>
      <c r="D867" t="n">
        <v>2693.10009765625</v>
      </c>
      <c r="E867" t="n">
        <v>2733.800048828125</v>
      </c>
      <c r="F867" t="n">
        <v>3387</v>
      </c>
    </row>
    <row r="868">
      <c r="A868" t="inlineStr">
        <is>
          <t>2024-12-12</t>
        </is>
      </c>
      <c r="B868" t="n">
        <v>2725.10009765625</v>
      </c>
      <c r="C868" t="n">
        <v>2725.10009765625</v>
      </c>
      <c r="D868" t="n">
        <v>2677.39990234375</v>
      </c>
      <c r="E868" t="n">
        <v>2687.5</v>
      </c>
      <c r="F868" t="n">
        <v>2365</v>
      </c>
    </row>
    <row r="869">
      <c r="A869" t="inlineStr">
        <is>
          <t>2024-12-13</t>
        </is>
      </c>
      <c r="B869" t="n">
        <v>2688.199951171875</v>
      </c>
      <c r="C869" t="n">
        <v>2689.300048828125</v>
      </c>
      <c r="D869" t="n">
        <v>2647.89990234375</v>
      </c>
      <c r="E869" t="n">
        <v>2656</v>
      </c>
      <c r="F869" t="n">
        <v>1125</v>
      </c>
    </row>
    <row r="870">
      <c r="A870" t="inlineStr">
        <is>
          <t>2024-12-16</t>
        </is>
      </c>
      <c r="B870" t="n">
        <v>2658.300048828125</v>
      </c>
      <c r="C870" t="n">
        <v>2663.300048828125</v>
      </c>
      <c r="D870" t="n">
        <v>2651</v>
      </c>
      <c r="E870" t="n">
        <v>2651.39990234375</v>
      </c>
      <c r="F870" t="n">
        <v>877</v>
      </c>
    </row>
    <row r="871">
      <c r="A871" t="inlineStr">
        <is>
          <t>2024-12-17</t>
        </is>
      </c>
      <c r="B871" t="n">
        <v>2651.800048828125</v>
      </c>
      <c r="C871" t="n">
        <v>2652.300048828125</v>
      </c>
      <c r="D871" t="n">
        <v>2632.5</v>
      </c>
      <c r="E871" t="n">
        <v>2644.39990234375</v>
      </c>
      <c r="F871" t="n">
        <v>705</v>
      </c>
    </row>
    <row r="872">
      <c r="A872" t="inlineStr">
        <is>
          <t>2024-12-18</t>
        </is>
      </c>
      <c r="B872" t="n">
        <v>2644.300048828125</v>
      </c>
      <c r="C872" t="n">
        <v>2647.10009765625</v>
      </c>
      <c r="D872" t="n">
        <v>2590.199951171875</v>
      </c>
      <c r="E872" t="n">
        <v>2636.5</v>
      </c>
      <c r="F872" t="n">
        <v>566</v>
      </c>
    </row>
    <row r="873">
      <c r="A873" t="inlineStr">
        <is>
          <t>2024-12-19</t>
        </is>
      </c>
      <c r="B873" t="n">
        <v>2582.10009765625</v>
      </c>
      <c r="C873" t="n">
        <v>2610.300048828125</v>
      </c>
      <c r="D873" t="n">
        <v>2582.10009765625</v>
      </c>
      <c r="E873" t="n">
        <v>2592.199951171875</v>
      </c>
      <c r="F873" t="n">
        <v>238</v>
      </c>
    </row>
    <row r="874">
      <c r="A874" t="inlineStr">
        <is>
          <t>2024-12-20</t>
        </is>
      </c>
      <c r="B874" t="n">
        <v>2605.300048828125</v>
      </c>
      <c r="C874" t="n">
        <v>2631.60009765625</v>
      </c>
      <c r="D874" t="n">
        <v>2604.89990234375</v>
      </c>
      <c r="E874" t="n">
        <v>2628.699951171875</v>
      </c>
      <c r="F874" t="n">
        <v>592</v>
      </c>
    </row>
    <row r="875">
      <c r="A875" t="inlineStr">
        <is>
          <t>2024-12-23</t>
        </is>
      </c>
      <c r="B875" t="n">
        <v>2620</v>
      </c>
      <c r="C875" t="n">
        <v>2627.699951171875</v>
      </c>
      <c r="D875" t="n">
        <v>2611.10009765625</v>
      </c>
      <c r="E875" t="n">
        <v>2612.300048828125</v>
      </c>
      <c r="F875" t="n">
        <v>451</v>
      </c>
    </row>
    <row r="876">
      <c r="A876" t="inlineStr">
        <is>
          <t>2024-12-24</t>
        </is>
      </c>
      <c r="B876" t="n">
        <v>2613</v>
      </c>
      <c r="C876" t="n">
        <v>2620</v>
      </c>
      <c r="D876" t="n">
        <v>2609.5</v>
      </c>
      <c r="E876" t="n">
        <v>2620</v>
      </c>
      <c r="F876" t="n">
        <v>35</v>
      </c>
    </row>
    <row r="877">
      <c r="A877" t="inlineStr">
        <is>
          <t>2024-12-26</t>
        </is>
      </c>
      <c r="B877" t="n">
        <v>2628.5</v>
      </c>
      <c r="C877" t="n">
        <v>2638.800048828125</v>
      </c>
      <c r="D877" t="n">
        <v>2627.89990234375</v>
      </c>
      <c r="E877" t="n">
        <v>2638.800048828125</v>
      </c>
      <c r="F877" t="n">
        <v>84</v>
      </c>
    </row>
    <row r="878">
      <c r="A878" t="inlineStr">
        <is>
          <t>2024-12-27</t>
        </is>
      </c>
      <c r="B878" t="n">
        <v>2617.699951171875</v>
      </c>
      <c r="C878" t="n">
        <v>2617.699951171875</v>
      </c>
      <c r="D878" t="n">
        <v>2616.39990234375</v>
      </c>
      <c r="E878" t="n">
        <v>2617.199951171875</v>
      </c>
      <c r="F878" t="n">
        <v>642</v>
      </c>
    </row>
    <row r="879">
      <c r="A879" t="inlineStr">
        <is>
          <t>2024-12-30</t>
        </is>
      </c>
      <c r="B879" t="n">
        <v>2620.699951171875</v>
      </c>
      <c r="C879" t="n">
        <v>2626.89990234375</v>
      </c>
      <c r="D879" t="n">
        <v>2597</v>
      </c>
      <c r="E879" t="n">
        <v>2606.10009765625</v>
      </c>
      <c r="F879" t="n">
        <v>794</v>
      </c>
    </row>
    <row r="880">
      <c r="A880" t="inlineStr">
        <is>
          <t>2024-12-31</t>
        </is>
      </c>
      <c r="B880" t="n">
        <v>2608.39990234375</v>
      </c>
      <c r="C880" t="n">
        <v>2629.199951171875</v>
      </c>
      <c r="D880" t="n">
        <v>2604.89990234375</v>
      </c>
      <c r="E880" t="n">
        <v>2629.199951171875</v>
      </c>
      <c r="F880" t="n">
        <v>401</v>
      </c>
    </row>
    <row r="881">
      <c r="A881" t="inlineStr">
        <is>
          <t>2025-01-02</t>
        </is>
      </c>
      <c r="B881" t="n">
        <v>2633</v>
      </c>
      <c r="C881" t="n">
        <v>2663.10009765625</v>
      </c>
      <c r="D881" t="n">
        <v>2633</v>
      </c>
      <c r="E881" t="n">
        <v>2658.89990234375</v>
      </c>
      <c r="F881" t="n">
        <v>1728</v>
      </c>
    </row>
    <row r="882">
      <c r="A882" t="inlineStr">
        <is>
          <t>2025-01-03</t>
        </is>
      </c>
      <c r="B882" t="n">
        <v>2658.699951171875</v>
      </c>
      <c r="C882" t="n">
        <v>2658.699951171875</v>
      </c>
      <c r="D882" t="n">
        <v>2641.800048828125</v>
      </c>
      <c r="E882" t="n">
        <v>2645</v>
      </c>
      <c r="F882" t="n">
        <v>591</v>
      </c>
    </row>
    <row r="883">
      <c r="A883" t="inlineStr">
        <is>
          <t>2025-01-06</t>
        </is>
      </c>
      <c r="B883" t="n">
        <v>2645.5</v>
      </c>
      <c r="C883" t="n">
        <v>2647</v>
      </c>
      <c r="D883" t="n">
        <v>2617.300048828125</v>
      </c>
      <c r="E883" t="n">
        <v>2638.39990234375</v>
      </c>
      <c r="F883" t="n">
        <v>960</v>
      </c>
    </row>
    <row r="884">
      <c r="A884" t="inlineStr">
        <is>
          <t>2025-01-07</t>
        </is>
      </c>
      <c r="B884" t="n">
        <v>2653.39990234375</v>
      </c>
      <c r="C884" t="n">
        <v>2657.5</v>
      </c>
      <c r="D884" t="n">
        <v>2653</v>
      </c>
      <c r="E884" t="n">
        <v>2656.699951171875</v>
      </c>
      <c r="F884" t="n">
        <v>643</v>
      </c>
    </row>
    <row r="885">
      <c r="A885" t="inlineStr">
        <is>
          <t>2025-01-08</t>
        </is>
      </c>
      <c r="B885" t="n">
        <v>2655.5</v>
      </c>
      <c r="C885" t="n">
        <v>2676.89990234375</v>
      </c>
      <c r="D885" t="n">
        <v>2653.5</v>
      </c>
      <c r="E885" t="n">
        <v>2664.5</v>
      </c>
      <c r="F885" t="n">
        <v>999</v>
      </c>
    </row>
    <row r="886">
      <c r="A886" t="inlineStr">
        <is>
          <t>2025-01-09</t>
        </is>
      </c>
      <c r="B886" t="n">
        <v>2669.699951171875</v>
      </c>
      <c r="C886" t="n">
        <v>2686.300048828125</v>
      </c>
      <c r="D886" t="n">
        <v>2667.89990234375</v>
      </c>
      <c r="E886" t="n">
        <v>2683.800048828125</v>
      </c>
      <c r="F886" t="n">
        <v>1139</v>
      </c>
    </row>
    <row r="887">
      <c r="A887" t="inlineStr">
        <is>
          <t>2025-01-10</t>
        </is>
      </c>
      <c r="B887" t="n">
        <v>2686.10009765625</v>
      </c>
      <c r="C887" t="n">
        <v>2720.10009765625</v>
      </c>
      <c r="D887" t="n">
        <v>2683.699951171875</v>
      </c>
      <c r="E887" t="n">
        <v>2708.5</v>
      </c>
      <c r="F887" t="n">
        <v>403</v>
      </c>
    </row>
    <row r="888">
      <c r="A888" t="inlineStr">
        <is>
          <t>2025-01-13</t>
        </is>
      </c>
      <c r="B888" t="n">
        <v>2711.10009765625</v>
      </c>
      <c r="C888" t="n">
        <v>2711.199951171875</v>
      </c>
      <c r="D888" t="n">
        <v>2673.5</v>
      </c>
      <c r="E888" t="n">
        <v>2673.5</v>
      </c>
      <c r="F888" t="n">
        <v>765</v>
      </c>
    </row>
    <row r="889">
      <c r="A889" t="inlineStr">
        <is>
          <t>2025-01-14</t>
        </is>
      </c>
      <c r="B889" t="n">
        <v>2673.60009765625</v>
      </c>
      <c r="C889" t="n">
        <v>2688.300048828125</v>
      </c>
      <c r="D889" t="n">
        <v>2670.800048828125</v>
      </c>
      <c r="E889" t="n">
        <v>2677.5</v>
      </c>
      <c r="F889" t="n">
        <v>794</v>
      </c>
    </row>
    <row r="890">
      <c r="A890" t="inlineStr">
        <is>
          <t>2025-01-15</t>
        </is>
      </c>
      <c r="B890" t="n">
        <v>2690.800048828125</v>
      </c>
      <c r="C890" t="n">
        <v>2712.5</v>
      </c>
      <c r="D890" t="n">
        <v>2690.800048828125</v>
      </c>
      <c r="E890" t="n">
        <v>2712.5</v>
      </c>
      <c r="F890" t="n">
        <v>930</v>
      </c>
    </row>
    <row r="891">
      <c r="A891" t="inlineStr">
        <is>
          <t>2025-01-16</t>
        </is>
      </c>
      <c r="B891" t="n">
        <v>2731.699951171875</v>
      </c>
      <c r="C891" t="n">
        <v>2749.800048828125</v>
      </c>
      <c r="D891" t="n">
        <v>2731.699951171875</v>
      </c>
      <c r="E891" t="n">
        <v>2746.39990234375</v>
      </c>
      <c r="F891" t="n">
        <v>1721</v>
      </c>
    </row>
    <row r="892">
      <c r="A892" t="inlineStr">
        <is>
          <t>2025-01-17</t>
        </is>
      </c>
      <c r="B892" t="n">
        <v>2736</v>
      </c>
      <c r="C892" t="n">
        <v>2751.60009765625</v>
      </c>
      <c r="D892" t="n">
        <v>2725.5</v>
      </c>
      <c r="E892" t="n">
        <v>2744.300048828125</v>
      </c>
      <c r="F892" t="n">
        <v>1214</v>
      </c>
    </row>
    <row r="893">
      <c r="A893" t="inlineStr">
        <is>
          <t>2025-01-21</t>
        </is>
      </c>
      <c r="B893" t="n">
        <v>2746</v>
      </c>
      <c r="C893" t="n">
        <v>2755</v>
      </c>
      <c r="D893" t="n">
        <v>2724.800048828125</v>
      </c>
      <c r="E893" t="n">
        <v>2755</v>
      </c>
      <c r="F893" t="n">
        <v>1439</v>
      </c>
    </row>
    <row r="894">
      <c r="A894" t="inlineStr">
        <is>
          <t>2025-01-22</t>
        </is>
      </c>
      <c r="B894" t="n">
        <v>2754.5</v>
      </c>
      <c r="C894" t="n">
        <v>2768.800048828125</v>
      </c>
      <c r="D894" t="n">
        <v>2753.5</v>
      </c>
      <c r="E894" t="n">
        <v>2767.60009765625</v>
      </c>
      <c r="F894" t="n">
        <v>2079</v>
      </c>
    </row>
    <row r="895">
      <c r="A895" t="inlineStr">
        <is>
          <t>2025-01-23</t>
        </is>
      </c>
      <c r="B895" t="n">
        <v>2760</v>
      </c>
      <c r="C895" t="n">
        <v>2765</v>
      </c>
      <c r="D895" t="n">
        <v>2745.39990234375</v>
      </c>
      <c r="E895" t="n">
        <v>2763.10009765625</v>
      </c>
      <c r="F895" t="n">
        <v>2201</v>
      </c>
    </row>
    <row r="896">
      <c r="A896" t="inlineStr">
        <is>
          <t>2025-01-24</t>
        </is>
      </c>
      <c r="B896" t="n">
        <v>2759.800048828125</v>
      </c>
      <c r="C896" t="n">
        <v>2792</v>
      </c>
      <c r="D896" t="n">
        <v>2759.800048828125</v>
      </c>
      <c r="E896" t="n">
        <v>2777.300048828125</v>
      </c>
      <c r="F896" t="n">
        <v>1593</v>
      </c>
    </row>
    <row r="897">
      <c r="A897" t="inlineStr">
        <is>
          <t>2025-01-27</t>
        </is>
      </c>
      <c r="B897" t="n">
        <v>2761.10009765625</v>
      </c>
      <c r="C897" t="n">
        <v>2762.199951171875</v>
      </c>
      <c r="D897" t="n">
        <v>2737.5</v>
      </c>
      <c r="E897" t="n">
        <v>2737.5</v>
      </c>
      <c r="F897" t="n">
        <v>984</v>
      </c>
    </row>
    <row r="898">
      <c r="A898" t="inlineStr">
        <is>
          <t>2025-01-28</t>
        </is>
      </c>
      <c r="B898" t="n">
        <v>2738</v>
      </c>
      <c r="C898" t="n">
        <v>2766.800048828125</v>
      </c>
      <c r="D898" t="n">
        <v>2738</v>
      </c>
      <c r="E898" t="n">
        <v>2766.800048828125</v>
      </c>
      <c r="F898" t="n">
        <v>2307</v>
      </c>
    </row>
    <row r="899">
      <c r="A899" t="inlineStr">
        <is>
          <t>2025-01-29</t>
        </is>
      </c>
      <c r="B899" t="n">
        <v>2769.10009765625</v>
      </c>
      <c r="C899" t="n">
        <v>2769.10009765625</v>
      </c>
      <c r="D899" t="n">
        <v>2769.10009765625</v>
      </c>
      <c r="E899" t="n">
        <v>2769.10009765625</v>
      </c>
      <c r="F899" t="n">
        <v>125692</v>
      </c>
    </row>
    <row r="900">
      <c r="A900" t="inlineStr">
        <is>
          <t>2025-01-30</t>
        </is>
      </c>
      <c r="B900" t="n">
        <v>2772.5</v>
      </c>
      <c r="C900" t="n">
        <v>2829.5</v>
      </c>
      <c r="D900" t="n">
        <v>2770</v>
      </c>
      <c r="E900" t="n">
        <v>2823</v>
      </c>
      <c r="F900" t="n">
        <v>40141</v>
      </c>
    </row>
    <row r="901">
      <c r="A901" t="inlineStr">
        <is>
          <t>2025-01-31</t>
        </is>
      </c>
      <c r="B901" t="n">
        <v>2829</v>
      </c>
      <c r="C901" t="n">
        <v>2838</v>
      </c>
      <c r="D901" t="n">
        <v>2804</v>
      </c>
      <c r="E901" t="n">
        <v>2812.5</v>
      </c>
      <c r="F901" t="n">
        <v>3443</v>
      </c>
    </row>
    <row r="902">
      <c r="A902" t="inlineStr">
        <is>
          <t>2025-02-03</t>
        </is>
      </c>
      <c r="B902" t="n">
        <v>2818.199951171875</v>
      </c>
      <c r="C902" t="n">
        <v>2848.39990234375</v>
      </c>
      <c r="D902" t="n">
        <v>2780.89990234375</v>
      </c>
      <c r="E902" t="n">
        <v>2833.89990234375</v>
      </c>
      <c r="F902" t="n">
        <v>2649</v>
      </c>
    </row>
    <row r="903">
      <c r="A903" t="inlineStr">
        <is>
          <t>2025-02-04</t>
        </is>
      </c>
      <c r="B903" t="n">
        <v>2827.60009765625</v>
      </c>
      <c r="C903" t="n">
        <v>2853.300048828125</v>
      </c>
      <c r="D903" t="n">
        <v>2816.10009765625</v>
      </c>
      <c r="E903" t="n">
        <v>2853.300048828125</v>
      </c>
      <c r="F903" t="n">
        <v>2187</v>
      </c>
    </row>
    <row r="904">
      <c r="A904" t="inlineStr">
        <is>
          <t>2025-02-05</t>
        </is>
      </c>
      <c r="B904" t="n">
        <v>2850</v>
      </c>
      <c r="C904" t="n">
        <v>2880.5</v>
      </c>
      <c r="D904" t="n">
        <v>2848</v>
      </c>
      <c r="E904" t="n">
        <v>2871.60009765625</v>
      </c>
      <c r="F904" t="n">
        <v>4519</v>
      </c>
    </row>
    <row r="905">
      <c r="A905" t="inlineStr">
        <is>
          <t>2025-02-06</t>
        </is>
      </c>
      <c r="B905" t="n">
        <v>2865.199951171875</v>
      </c>
      <c r="C905" t="n">
        <v>2871.699951171875</v>
      </c>
      <c r="D905" t="n">
        <v>2836.300048828125</v>
      </c>
      <c r="E905" t="n">
        <v>2856</v>
      </c>
      <c r="F905" t="n">
        <v>3116</v>
      </c>
    </row>
    <row r="906">
      <c r="A906" t="inlineStr">
        <is>
          <t>2025-02-07</t>
        </is>
      </c>
      <c r="B906" t="n">
        <v>2859.89990234375</v>
      </c>
      <c r="C906" t="n">
        <v>2889.5</v>
      </c>
      <c r="D906" t="n">
        <v>2857.800048828125</v>
      </c>
      <c r="E906" t="n">
        <v>2867.300048828125</v>
      </c>
      <c r="F906" t="n">
        <v>1822</v>
      </c>
    </row>
    <row r="907">
      <c r="A907" t="inlineStr">
        <is>
          <t>2025-02-10</t>
        </is>
      </c>
      <c r="B907" t="n">
        <v>2864.199951171875</v>
      </c>
      <c r="C907" t="n">
        <v>2916.10009765625</v>
      </c>
      <c r="D907" t="n">
        <v>2863.800048828125</v>
      </c>
      <c r="E907" t="n">
        <v>2914.300048828125</v>
      </c>
      <c r="F907" t="n">
        <v>2237</v>
      </c>
    </row>
    <row r="908">
      <c r="A908" t="inlineStr">
        <is>
          <t>2025-02-11</t>
        </is>
      </c>
      <c r="B908" t="n">
        <v>2925.5</v>
      </c>
      <c r="C908" t="n">
        <v>2945.39990234375</v>
      </c>
      <c r="D908" t="n">
        <v>2890</v>
      </c>
      <c r="E908" t="n">
        <v>2912.5</v>
      </c>
      <c r="F908" t="n">
        <v>2554</v>
      </c>
    </row>
    <row r="909">
      <c r="A909" t="inlineStr">
        <is>
          <t>2025-02-12</t>
        </is>
      </c>
      <c r="B909" t="n">
        <v>2902</v>
      </c>
      <c r="C909" t="n">
        <v>2912.300048828125</v>
      </c>
      <c r="D909" t="n">
        <v>2868.60009765625</v>
      </c>
      <c r="E909" t="n">
        <v>2909</v>
      </c>
      <c r="F909" t="n">
        <v>2504</v>
      </c>
    </row>
    <row r="910">
      <c r="A910" t="inlineStr">
        <is>
          <t>2025-02-13</t>
        </is>
      </c>
      <c r="B910" t="n">
        <v>2911.300048828125</v>
      </c>
      <c r="C910" t="n">
        <v>2937.699951171875</v>
      </c>
      <c r="D910" t="n">
        <v>2910.60009765625</v>
      </c>
      <c r="E910" t="n">
        <v>2925.89990234375</v>
      </c>
      <c r="F910" t="n">
        <v>4670</v>
      </c>
    </row>
    <row r="911">
      <c r="A911" t="inlineStr">
        <is>
          <t>2025-02-14</t>
        </is>
      </c>
      <c r="B911" t="n">
        <v>2937.300048828125</v>
      </c>
      <c r="C911" t="n">
        <v>2944.39990234375</v>
      </c>
      <c r="D911" t="n">
        <v>2874.800048828125</v>
      </c>
      <c r="E911" t="n">
        <v>2883.60009765625</v>
      </c>
      <c r="F911" t="n">
        <v>1992</v>
      </c>
    </row>
    <row r="912">
      <c r="A912" t="inlineStr">
        <is>
          <t>2025-02-18</t>
        </is>
      </c>
      <c r="B912" t="n">
        <v>2879.199951171875</v>
      </c>
      <c r="C912" t="n">
        <v>2936.39990234375</v>
      </c>
      <c r="D912" t="n">
        <v>2873.800048828125</v>
      </c>
      <c r="E912" t="n">
        <v>2931.60009765625</v>
      </c>
      <c r="F912" t="n">
        <v>4010</v>
      </c>
    </row>
    <row r="913">
      <c r="A913" t="inlineStr">
        <is>
          <t>2025-02-19</t>
        </is>
      </c>
      <c r="B913" t="n">
        <v>2938.699951171875</v>
      </c>
      <c r="C913" t="n">
        <v>2946</v>
      </c>
      <c r="D913" t="n">
        <v>2917.10009765625</v>
      </c>
      <c r="E913" t="n">
        <v>2919.39990234375</v>
      </c>
      <c r="F913" t="n">
        <v>2630</v>
      </c>
    </row>
    <row r="914">
      <c r="A914" t="inlineStr">
        <is>
          <t>2025-02-20</t>
        </is>
      </c>
      <c r="B914" t="n">
        <v>2949.10009765625</v>
      </c>
      <c r="C914" t="n">
        <v>2955.800048828125</v>
      </c>
      <c r="D914" t="n">
        <v>2924.199951171875</v>
      </c>
      <c r="E914" t="n">
        <v>2940</v>
      </c>
      <c r="F914" t="n">
        <v>656</v>
      </c>
    </row>
    <row r="915">
      <c r="A915" t="inlineStr">
        <is>
          <t>2025-02-21</t>
        </is>
      </c>
      <c r="B915" t="n">
        <v>2938.800048828125</v>
      </c>
      <c r="C915" t="n">
        <v>2940</v>
      </c>
      <c r="D915" t="n">
        <v>2917.300048828125</v>
      </c>
      <c r="E915" t="n">
        <v>2937.60009765625</v>
      </c>
      <c r="F915" t="n">
        <v>570</v>
      </c>
    </row>
    <row r="916">
      <c r="A916" t="inlineStr">
        <is>
          <t>2025-02-24</t>
        </is>
      </c>
      <c r="B916" t="n">
        <v>2933.10009765625</v>
      </c>
      <c r="C916" t="n">
        <v>2957.89990234375</v>
      </c>
      <c r="D916" t="n">
        <v>2933.10009765625</v>
      </c>
      <c r="E916" t="n">
        <v>2947.89990234375</v>
      </c>
      <c r="F916" t="n">
        <v>415</v>
      </c>
    </row>
    <row r="917">
      <c r="A917" t="inlineStr">
        <is>
          <t>2025-02-25</t>
        </is>
      </c>
      <c r="B917" t="n">
        <v>2938.699951171875</v>
      </c>
      <c r="C917" t="n">
        <v>2943.199951171875</v>
      </c>
      <c r="D917" t="n">
        <v>2890</v>
      </c>
      <c r="E917" t="n">
        <v>2904.5</v>
      </c>
      <c r="F917" t="n">
        <v>1854</v>
      </c>
    </row>
    <row r="918">
      <c r="A918" t="inlineStr">
        <is>
          <t>2025-02-26</t>
        </is>
      </c>
      <c r="B918" t="n">
        <v>2913.5</v>
      </c>
      <c r="C918" t="n">
        <v>2917</v>
      </c>
      <c r="D918" t="n">
        <v>2913</v>
      </c>
      <c r="E918" t="n">
        <v>2916.800048828125</v>
      </c>
      <c r="F918" t="n">
        <v>2050</v>
      </c>
    </row>
    <row r="919">
      <c r="A919" t="inlineStr">
        <is>
          <t>2025-02-27</t>
        </is>
      </c>
      <c r="B919" t="n">
        <v>2918.5</v>
      </c>
      <c r="C919" t="n">
        <v>2922.800048828125</v>
      </c>
      <c r="D919" t="n">
        <v>2870.39990234375</v>
      </c>
      <c r="E919" t="n">
        <v>2883.199951171875</v>
      </c>
      <c r="F919" t="n">
        <v>3215</v>
      </c>
    </row>
    <row r="920">
      <c r="A920" t="inlineStr">
        <is>
          <t>2025-02-28</t>
        </is>
      </c>
      <c r="B920" t="n">
        <v>2877.10009765625</v>
      </c>
      <c r="C920" t="n">
        <v>2877.10009765625</v>
      </c>
      <c r="D920" t="n">
        <v>2834.10009765625</v>
      </c>
      <c r="E920" t="n">
        <v>2836.800048828125</v>
      </c>
      <c r="F920" t="n">
        <v>990</v>
      </c>
    </row>
    <row r="921">
      <c r="A921" t="inlineStr">
        <is>
          <t>2025-03-03</t>
        </is>
      </c>
      <c r="B921" t="n">
        <v>2872.699951171875</v>
      </c>
      <c r="C921" t="n">
        <v>2891.800048828125</v>
      </c>
      <c r="D921" t="n">
        <v>2863.39990234375</v>
      </c>
      <c r="E921" t="n">
        <v>2890.199951171875</v>
      </c>
      <c r="F921" t="n">
        <v>423</v>
      </c>
    </row>
    <row r="922">
      <c r="A922" t="inlineStr">
        <is>
          <t>2025-03-04</t>
        </is>
      </c>
      <c r="B922" t="n">
        <v>2886.10009765625</v>
      </c>
      <c r="C922" t="n">
        <v>2927.89990234375</v>
      </c>
      <c r="D922" t="n">
        <v>2886.10009765625</v>
      </c>
      <c r="E922" t="n">
        <v>2909.60009765625</v>
      </c>
      <c r="F922" t="n">
        <v>885</v>
      </c>
    </row>
    <row r="923">
      <c r="A923" t="inlineStr">
        <is>
          <t>2025-03-05</t>
        </is>
      </c>
      <c r="B923" t="n">
        <v>2916.699951171875</v>
      </c>
      <c r="C923" t="n">
        <v>2922</v>
      </c>
      <c r="D923" t="n">
        <v>2893</v>
      </c>
      <c r="E923" t="n">
        <v>2915.300048828125</v>
      </c>
      <c r="F923" t="n">
        <v>551</v>
      </c>
    </row>
    <row r="924">
      <c r="A924" t="inlineStr">
        <is>
          <t>2025-03-06</t>
        </is>
      </c>
      <c r="B924" t="n">
        <v>2904</v>
      </c>
      <c r="C924" t="n">
        <v>2918.60009765625</v>
      </c>
      <c r="D924" t="n">
        <v>2903.800048828125</v>
      </c>
      <c r="E924" t="n">
        <v>2916.60009765625</v>
      </c>
      <c r="F924" t="n">
        <v>870</v>
      </c>
    </row>
    <row r="925">
      <c r="A925" t="inlineStr">
        <is>
          <t>2025-03-07</t>
        </is>
      </c>
      <c r="B925" t="n">
        <v>2900.89990234375</v>
      </c>
      <c r="C925" t="n">
        <v>2927.300048828125</v>
      </c>
      <c r="D925" t="n">
        <v>2900.5</v>
      </c>
      <c r="E925" t="n">
        <v>2904.699951171875</v>
      </c>
      <c r="F925" t="n">
        <v>531</v>
      </c>
    </row>
    <row r="926">
      <c r="A926" t="inlineStr">
        <is>
          <t>2025-03-10</t>
        </is>
      </c>
      <c r="B926" t="n">
        <v>2910.10009765625</v>
      </c>
      <c r="C926" t="n">
        <v>2915.10009765625</v>
      </c>
      <c r="D926" t="n">
        <v>2880.199951171875</v>
      </c>
      <c r="E926" t="n">
        <v>2891</v>
      </c>
      <c r="F926" t="n">
        <v>55</v>
      </c>
    </row>
    <row r="927">
      <c r="A927" t="inlineStr">
        <is>
          <t>2025-03-11</t>
        </is>
      </c>
      <c r="B927" t="n">
        <v>2884.39990234375</v>
      </c>
      <c r="C927" t="n">
        <v>2916.699951171875</v>
      </c>
      <c r="D927" t="n">
        <v>2880.39990234375</v>
      </c>
      <c r="E927" t="n">
        <v>2912.89990234375</v>
      </c>
      <c r="F927" t="n">
        <v>197</v>
      </c>
    </row>
    <row r="928">
      <c r="A928" t="inlineStr">
        <is>
          <t>2025-03-12</t>
        </is>
      </c>
      <c r="B928" t="n">
        <v>2912</v>
      </c>
      <c r="C928" t="n">
        <v>2939.10009765625</v>
      </c>
      <c r="D928" t="n">
        <v>2910</v>
      </c>
      <c r="E928" t="n">
        <v>2939.10009765625</v>
      </c>
      <c r="F928" t="n">
        <v>213</v>
      </c>
    </row>
    <row r="929">
      <c r="A929" t="inlineStr">
        <is>
          <t>2025-03-13</t>
        </is>
      </c>
      <c r="B929" t="n">
        <v>2937.10009765625</v>
      </c>
      <c r="C929" t="n">
        <v>2988</v>
      </c>
      <c r="D929" t="n">
        <v>2935.199951171875</v>
      </c>
      <c r="E929" t="n">
        <v>2984.300048828125</v>
      </c>
      <c r="F929" t="n">
        <v>2366</v>
      </c>
    </row>
    <row r="930">
      <c r="A930" t="inlineStr">
        <is>
          <t>2025-03-14</t>
        </is>
      </c>
      <c r="B930" t="n">
        <v>2994.39990234375</v>
      </c>
      <c r="C930" t="n">
        <v>3004.800048828125</v>
      </c>
      <c r="D930" t="n">
        <v>2986</v>
      </c>
      <c r="E930" t="n">
        <v>2994.5</v>
      </c>
      <c r="F930" t="n">
        <v>1800</v>
      </c>
    </row>
    <row r="931">
      <c r="A931" t="inlineStr">
        <is>
          <t>2025-03-17</t>
        </is>
      </c>
      <c r="B931" t="n">
        <v>2991</v>
      </c>
      <c r="C931" t="n">
        <v>3001.5</v>
      </c>
      <c r="D931" t="n">
        <v>2989</v>
      </c>
      <c r="E931" t="n">
        <v>3000</v>
      </c>
      <c r="F931" t="n">
        <v>214</v>
      </c>
    </row>
    <row r="932">
      <c r="A932" t="inlineStr">
        <is>
          <t>2025-03-18</t>
        </is>
      </c>
      <c r="B932" t="n">
        <v>3006.39990234375</v>
      </c>
      <c r="C932" t="n">
        <v>3039.199951171875</v>
      </c>
      <c r="D932" t="n">
        <v>3004.39990234375</v>
      </c>
      <c r="E932" t="n">
        <v>3035.10009765625</v>
      </c>
      <c r="F932" t="n">
        <v>428</v>
      </c>
    </row>
    <row r="933">
      <c r="A933" t="inlineStr">
        <is>
          <t>2025-03-19</t>
        </is>
      </c>
      <c r="B933" t="n">
        <v>3035.199951171875</v>
      </c>
      <c r="C933" t="n">
        <v>3050.89990234375</v>
      </c>
      <c r="D933" t="n">
        <v>3030.89990234375</v>
      </c>
      <c r="E933" t="n">
        <v>3035.89990234375</v>
      </c>
      <c r="F933" t="n">
        <v>175</v>
      </c>
    </row>
    <row r="934">
      <c r="A934" t="inlineStr">
        <is>
          <t>2025-03-20</t>
        </is>
      </c>
      <c r="B934" t="n">
        <v>3047.300048828125</v>
      </c>
      <c r="C934" t="n">
        <v>3047.300048828125</v>
      </c>
      <c r="D934" t="n">
        <v>3034.39990234375</v>
      </c>
      <c r="E934" t="n">
        <v>3040</v>
      </c>
      <c r="F934" t="n">
        <v>185</v>
      </c>
    </row>
    <row r="935">
      <c r="A935" t="inlineStr">
        <is>
          <t>2025-03-21</t>
        </is>
      </c>
      <c r="B935" t="n">
        <v>3034.5</v>
      </c>
      <c r="C935" t="n">
        <v>3037.5</v>
      </c>
      <c r="D935" t="n">
        <v>3000.89990234375</v>
      </c>
      <c r="E935" t="n">
        <v>3018.199951171875</v>
      </c>
      <c r="F935" t="n">
        <v>151</v>
      </c>
    </row>
    <row r="936">
      <c r="A936" t="inlineStr">
        <is>
          <t>2025-03-24</t>
        </is>
      </c>
      <c r="B936" t="n">
        <v>3024.300048828125</v>
      </c>
      <c r="C936" t="n">
        <v>3024.300048828125</v>
      </c>
      <c r="D936" t="n">
        <v>3006</v>
      </c>
      <c r="E936" t="n">
        <v>3013.10009765625</v>
      </c>
      <c r="F936" t="n">
        <v>137</v>
      </c>
    </row>
    <row r="937">
      <c r="A937" t="inlineStr">
        <is>
          <t>2025-03-25</t>
        </is>
      </c>
      <c r="B937" t="n">
        <v>3026.39990234375</v>
      </c>
      <c r="C937" t="n">
        <v>3028.800048828125</v>
      </c>
      <c r="D937" t="n">
        <v>3023.699951171875</v>
      </c>
      <c r="E937" t="n">
        <v>3023.699951171875</v>
      </c>
      <c r="F937" t="n">
        <v>74</v>
      </c>
    </row>
    <row r="938">
      <c r="A938" t="inlineStr">
        <is>
          <t>2025-03-26</t>
        </is>
      </c>
      <c r="B938" t="n">
        <v>3033.199951171875</v>
      </c>
      <c r="C938" t="n">
        <v>3033.199951171875</v>
      </c>
      <c r="D938" t="n">
        <v>3019.5</v>
      </c>
      <c r="E938" t="n">
        <v>3020.89990234375</v>
      </c>
      <c r="F938" t="n">
        <v>83</v>
      </c>
    </row>
    <row r="939">
      <c r="A939" t="inlineStr">
        <is>
          <t>2025-03-27</t>
        </is>
      </c>
      <c r="B939" t="n">
        <v>3025.5</v>
      </c>
      <c r="C939" t="n">
        <v>3065</v>
      </c>
      <c r="D939" t="n">
        <v>3025.5</v>
      </c>
      <c r="E939" t="n">
        <v>3060.199951171875</v>
      </c>
      <c r="F939" t="n">
        <v>124359</v>
      </c>
    </row>
    <row r="940">
      <c r="A940" t="inlineStr">
        <is>
          <t>2025-03-28</t>
        </is>
      </c>
      <c r="B940" t="n">
        <v>3069.699951171875</v>
      </c>
      <c r="C940" t="n">
        <v>3094.89990234375</v>
      </c>
      <c r="D940" t="n">
        <v>3066.800048828125</v>
      </c>
      <c r="E940" t="n">
        <v>3086.5</v>
      </c>
      <c r="F940" t="n">
        <v>31206</v>
      </c>
    </row>
    <row r="941">
      <c r="A941" t="inlineStr">
        <is>
          <t>2025-03-31</t>
        </is>
      </c>
      <c r="B941" t="n">
        <v>3091</v>
      </c>
      <c r="C941" t="n">
        <v>3132.5</v>
      </c>
      <c r="D941" t="n">
        <v>3086</v>
      </c>
      <c r="E941" t="n">
        <v>3122.800048828125</v>
      </c>
      <c r="F941" t="n">
        <v>3438</v>
      </c>
    </row>
    <row r="942">
      <c r="A942" t="inlineStr">
        <is>
          <t>2025-04-01</t>
        </is>
      </c>
      <c r="B942" t="n">
        <v>3129.699951171875</v>
      </c>
      <c r="C942" t="n">
        <v>3149.5</v>
      </c>
      <c r="D942" t="n">
        <v>3104</v>
      </c>
      <c r="E942" t="n">
        <v>3118.89990234375</v>
      </c>
      <c r="F942" t="n">
        <v>1721</v>
      </c>
    </row>
    <row r="943">
      <c r="A943" t="inlineStr">
        <is>
          <t>2025-04-02</t>
        </is>
      </c>
      <c r="B943" t="n">
        <v>3120.699951171875</v>
      </c>
      <c r="C943" t="n">
        <v>3168.60009765625</v>
      </c>
      <c r="D943" t="n">
        <v>3117.39990234375</v>
      </c>
      <c r="E943" t="n">
        <v>3139.89990234375</v>
      </c>
      <c r="F943" t="n">
        <v>5946</v>
      </c>
    </row>
    <row r="944">
      <c r="A944" t="inlineStr">
        <is>
          <t>2025-04-03</t>
        </is>
      </c>
      <c r="B944" t="n">
        <v>3150</v>
      </c>
      <c r="C944" t="n">
        <v>3166.89990234375</v>
      </c>
      <c r="D944" t="n">
        <v>3052</v>
      </c>
      <c r="E944" t="n">
        <v>3097</v>
      </c>
      <c r="F944" t="n">
        <v>5516</v>
      </c>
    </row>
    <row r="945">
      <c r="A945" t="inlineStr">
        <is>
          <t>2025-04-04</t>
        </is>
      </c>
      <c r="B945" t="n">
        <v>3110.5</v>
      </c>
      <c r="C945" t="n">
        <v>3127.699951171875</v>
      </c>
      <c r="D945" t="n">
        <v>3011</v>
      </c>
      <c r="E945" t="n">
        <v>3012</v>
      </c>
      <c r="F945" t="n">
        <v>3247</v>
      </c>
    </row>
    <row r="946">
      <c r="A946" t="inlineStr">
        <is>
          <t>2025-04-07</t>
        </is>
      </c>
      <c r="B946" t="n">
        <v>3016.39990234375</v>
      </c>
      <c r="C946" t="n">
        <v>3050.800048828125</v>
      </c>
      <c r="D946" t="n">
        <v>2949.699951171875</v>
      </c>
      <c r="E946" t="n">
        <v>2951.300048828125</v>
      </c>
      <c r="F946" t="n">
        <v>4424</v>
      </c>
    </row>
    <row r="947">
      <c r="A947" t="inlineStr">
        <is>
          <t>2025-04-08</t>
        </is>
      </c>
      <c r="B947" t="n">
        <v>2994</v>
      </c>
      <c r="C947" t="n">
        <v>3014.5</v>
      </c>
      <c r="D947" t="n">
        <v>2968.39990234375</v>
      </c>
      <c r="E947" t="n">
        <v>2968.39990234375</v>
      </c>
      <c r="F947" t="n">
        <v>3213</v>
      </c>
    </row>
    <row r="948">
      <c r="A948" t="inlineStr">
        <is>
          <t>2025-04-09</t>
        </is>
      </c>
      <c r="B948" t="n">
        <v>2965.800048828125</v>
      </c>
      <c r="C948" t="n">
        <v>3090.39990234375</v>
      </c>
      <c r="D948" t="n">
        <v>2965.800048828125</v>
      </c>
      <c r="E948" t="n">
        <v>3056.5</v>
      </c>
      <c r="F948" t="n">
        <v>2175</v>
      </c>
    </row>
    <row r="949">
      <c r="A949" t="inlineStr">
        <is>
          <t>2025-04-10</t>
        </is>
      </c>
      <c r="B949" t="n">
        <v>3073.89990234375</v>
      </c>
      <c r="C949" t="n">
        <v>3167</v>
      </c>
      <c r="D949" t="n">
        <v>3072.10009765625</v>
      </c>
      <c r="E949" t="n">
        <v>3155.199951171875</v>
      </c>
      <c r="F949" t="n">
        <v>3456</v>
      </c>
    </row>
    <row r="950">
      <c r="A950" t="inlineStr">
        <is>
          <t>2025-04-11</t>
        </is>
      </c>
      <c r="B950" t="n">
        <v>3182.10009765625</v>
      </c>
      <c r="C950" t="n">
        <v>3235</v>
      </c>
      <c r="D950" t="n">
        <v>3182.10009765625</v>
      </c>
      <c r="E950" t="n">
        <v>3222.199951171875</v>
      </c>
      <c r="F950" t="n">
        <v>862</v>
      </c>
    </row>
    <row r="951">
      <c r="A951" t="inlineStr">
        <is>
          <t>2025-04-14</t>
        </is>
      </c>
      <c r="B951" t="n">
        <v>3215.5</v>
      </c>
      <c r="C951" t="n">
        <v>3228.800048828125</v>
      </c>
      <c r="D951" t="n">
        <v>3194.5</v>
      </c>
      <c r="E951" t="n">
        <v>3204.800048828125</v>
      </c>
      <c r="F951" t="n">
        <v>263</v>
      </c>
    </row>
    <row r="952">
      <c r="A952" t="inlineStr">
        <is>
          <t>2025-04-15</t>
        </is>
      </c>
      <c r="B952" t="n">
        <v>3216</v>
      </c>
      <c r="C952" t="n">
        <v>3218.699951171875</v>
      </c>
      <c r="D952" t="n">
        <v>3214</v>
      </c>
      <c r="E952" t="n">
        <v>3218.699951171875</v>
      </c>
      <c r="F952" t="n">
        <v>390</v>
      </c>
    </row>
    <row r="953">
      <c r="A953" t="inlineStr">
        <is>
          <t>2025-04-16</t>
        </is>
      </c>
      <c r="B953" t="n">
        <v>3238.300048828125</v>
      </c>
      <c r="C953" t="n">
        <v>3334.89990234375</v>
      </c>
      <c r="D953" t="n">
        <v>3238.300048828125</v>
      </c>
      <c r="E953" t="n">
        <v>3326.60009765625</v>
      </c>
      <c r="F953" t="n">
        <v>1874</v>
      </c>
    </row>
    <row r="954">
      <c r="A954" t="inlineStr">
        <is>
          <t>2025-04-17</t>
        </is>
      </c>
      <c r="B954" t="n">
        <v>3345</v>
      </c>
      <c r="C954" t="n">
        <v>3345</v>
      </c>
      <c r="D954" t="n">
        <v>3287.800048828125</v>
      </c>
      <c r="E954" t="n">
        <v>3308.699951171875</v>
      </c>
      <c r="F954" t="n">
        <v>824</v>
      </c>
    </row>
    <row r="955">
      <c r="A955" t="inlineStr">
        <is>
          <t>2025-04-21</t>
        </is>
      </c>
      <c r="B955" t="n">
        <v>3342.199951171875</v>
      </c>
      <c r="C955" t="n">
        <v>3418.5</v>
      </c>
      <c r="D955" t="n">
        <v>3342.199951171875</v>
      </c>
      <c r="E955" t="n">
        <v>3406.199951171875</v>
      </c>
      <c r="F955" t="n">
        <v>78</v>
      </c>
    </row>
    <row r="956">
      <c r="A956" t="inlineStr">
        <is>
          <t>2025-04-22</t>
        </is>
      </c>
      <c r="B956" t="n">
        <v>3422.199951171875</v>
      </c>
      <c r="C956" t="n">
        <v>3485.60009765625</v>
      </c>
      <c r="D956" t="n">
        <v>3361.699951171875</v>
      </c>
      <c r="E956" t="n">
        <v>3400.800048828125</v>
      </c>
      <c r="F956" t="n">
        <v>785</v>
      </c>
    </row>
    <row r="957">
      <c r="A957" t="inlineStr">
        <is>
          <t>2025-04-23</t>
        </is>
      </c>
      <c r="B957" t="n">
        <v>3321.199951171875</v>
      </c>
      <c r="C957" t="n">
        <v>3370.300048828125</v>
      </c>
      <c r="D957" t="n">
        <v>3256.199951171875</v>
      </c>
      <c r="E957" t="n">
        <v>3276.300048828125</v>
      </c>
      <c r="F957" t="n">
        <v>331</v>
      </c>
    </row>
    <row r="958">
      <c r="A958" t="inlineStr">
        <is>
          <t>2025-04-24</t>
        </is>
      </c>
      <c r="B958" t="n">
        <v>3305.39990234375</v>
      </c>
      <c r="C958" t="n">
        <v>3353.89990234375</v>
      </c>
      <c r="D958" t="n">
        <v>3304.89990234375</v>
      </c>
      <c r="E958" t="n">
        <v>3332</v>
      </c>
      <c r="F958" t="n">
        <v>560</v>
      </c>
    </row>
    <row r="959">
      <c r="A959" t="inlineStr">
        <is>
          <t>2025-04-25</t>
        </is>
      </c>
      <c r="B959" t="n">
        <v>3355.5</v>
      </c>
      <c r="C959" t="n">
        <v>3355.5</v>
      </c>
      <c r="D959" t="n">
        <v>3266.10009765625</v>
      </c>
      <c r="E959" t="n">
        <v>3282.39990234375</v>
      </c>
      <c r="F959" t="n">
        <v>162</v>
      </c>
    </row>
    <row r="960">
      <c r="A960" t="inlineStr">
        <is>
          <t>2025-04-28</t>
        </is>
      </c>
      <c r="B960" t="n">
        <v>3284.5</v>
      </c>
      <c r="C960" t="n">
        <v>3332.5</v>
      </c>
      <c r="D960" t="n">
        <v>3284.5</v>
      </c>
      <c r="E960" t="n">
        <v>3332.5</v>
      </c>
      <c r="F960" t="n">
        <v>1300</v>
      </c>
    </row>
    <row r="961">
      <c r="A961" t="inlineStr">
        <is>
          <t>2025-04-29</t>
        </is>
      </c>
      <c r="B961" t="n">
        <v>3340</v>
      </c>
      <c r="C961" t="n">
        <v>3340</v>
      </c>
      <c r="D961" t="n">
        <v>3299.89990234375</v>
      </c>
      <c r="E961" t="n">
        <v>3318.800048828125</v>
      </c>
      <c r="F961" t="n">
        <v>1278</v>
      </c>
    </row>
    <row r="962">
      <c r="A962" t="inlineStr">
        <is>
          <t>2025-04-30</t>
        </is>
      </c>
      <c r="B962" t="n">
        <v>3318.699951171875</v>
      </c>
      <c r="C962" t="n">
        <v>3318.699951171875</v>
      </c>
      <c r="D962" t="n">
        <v>3268</v>
      </c>
      <c r="E962" t="n">
        <v>3305</v>
      </c>
      <c r="F962" t="n">
        <v>207</v>
      </c>
    </row>
    <row r="963">
      <c r="A963" t="inlineStr">
        <is>
          <t>2025-05-01</t>
        </is>
      </c>
      <c r="B963" t="n">
        <v>3272.89990234375</v>
      </c>
      <c r="C963" t="n">
        <v>3275</v>
      </c>
      <c r="D963" t="n">
        <v>3198.60009765625</v>
      </c>
      <c r="E963" t="n">
        <v>3210</v>
      </c>
      <c r="F963" t="n">
        <v>2131</v>
      </c>
    </row>
    <row r="964">
      <c r="A964" t="inlineStr">
        <is>
          <t>2025-05-02</t>
        </is>
      </c>
      <c r="B964" t="n">
        <v>3239.89990234375</v>
      </c>
      <c r="C964" t="n">
        <v>3257</v>
      </c>
      <c r="D964" t="n">
        <v>3225</v>
      </c>
      <c r="E964" t="n">
        <v>3231.89990234375</v>
      </c>
      <c r="F964" t="n">
        <v>1349</v>
      </c>
    </row>
    <row r="965">
      <c r="A965" t="inlineStr">
        <is>
          <t>2025-05-05</t>
        </is>
      </c>
      <c r="B965" t="n">
        <v>3242.699951171875</v>
      </c>
      <c r="C965" t="n">
        <v>3315.699951171875</v>
      </c>
      <c r="D965" t="n">
        <v>3239.699951171875</v>
      </c>
      <c r="E965" t="n">
        <v>3311.300048828125</v>
      </c>
      <c r="F965" t="n">
        <v>244</v>
      </c>
    </row>
    <row r="966">
      <c r="A966" t="inlineStr">
        <is>
          <t>2025-05-06</t>
        </is>
      </c>
      <c r="B966" t="n">
        <v>3365.5</v>
      </c>
      <c r="C966" t="n">
        <v>3430.89990234375</v>
      </c>
      <c r="D966" t="n">
        <v>3356.800048828125</v>
      </c>
      <c r="E966" t="n">
        <v>3411.39990234375</v>
      </c>
      <c r="F966" t="n">
        <v>2357</v>
      </c>
    </row>
    <row r="967">
      <c r="A967" t="inlineStr">
        <is>
          <t>2025-05-07</t>
        </is>
      </c>
      <c r="B967" t="n">
        <v>3418.699951171875</v>
      </c>
      <c r="C967" t="n">
        <v>3418.699951171875</v>
      </c>
      <c r="D967" t="n">
        <v>3364.699951171875</v>
      </c>
      <c r="E967" t="n">
        <v>3381.39990234375</v>
      </c>
      <c r="F967" t="n">
        <v>1080</v>
      </c>
    </row>
    <row r="968">
      <c r="A968" t="inlineStr">
        <is>
          <t>2025-05-08</t>
        </is>
      </c>
      <c r="B968" t="n">
        <v>3390</v>
      </c>
      <c r="C968" t="n">
        <v>3390</v>
      </c>
      <c r="D968" t="n">
        <v>3288.699951171875</v>
      </c>
      <c r="E968" t="n">
        <v>3296.60009765625</v>
      </c>
      <c r="F968" t="n">
        <v>200</v>
      </c>
    </row>
    <row r="969">
      <c r="A969" t="inlineStr">
        <is>
          <t>2025-05-09</t>
        </is>
      </c>
      <c r="B969" t="n">
        <v>3299</v>
      </c>
      <c r="C969" t="n">
        <v>3335.5</v>
      </c>
      <c r="D969" t="n">
        <v>3299</v>
      </c>
      <c r="E969" t="n">
        <v>3335.39990234375</v>
      </c>
      <c r="F969" t="n">
        <v>216</v>
      </c>
    </row>
    <row r="970">
      <c r="A970" t="inlineStr">
        <is>
          <t>2025-05-12</t>
        </is>
      </c>
      <c r="B970" t="n">
        <v>3300.699951171875</v>
      </c>
      <c r="C970" t="n">
        <v>3300.699951171875</v>
      </c>
      <c r="D970" t="n">
        <v>3205</v>
      </c>
      <c r="E970" t="n">
        <v>3220</v>
      </c>
      <c r="F970" t="n">
        <v>886</v>
      </c>
    </row>
    <row r="971">
      <c r="A971" t="inlineStr">
        <is>
          <t>2025-05-13</t>
        </is>
      </c>
      <c r="B971" t="n">
        <v>3232</v>
      </c>
      <c r="C971" t="n">
        <v>3251.39990234375</v>
      </c>
      <c r="D971" t="n">
        <v>3223.5</v>
      </c>
      <c r="E971" t="n">
        <v>3240.300048828125</v>
      </c>
      <c r="F971" t="n">
        <v>2424</v>
      </c>
    </row>
    <row r="972">
      <c r="A972" t="inlineStr">
        <is>
          <t>2025-05-14</t>
        </is>
      </c>
      <c r="B972" t="n">
        <v>3233</v>
      </c>
      <c r="C972" t="n">
        <v>3233</v>
      </c>
      <c r="D972" t="n">
        <v>3171.699951171875</v>
      </c>
      <c r="E972" t="n">
        <v>3181.39990234375</v>
      </c>
      <c r="F972" t="n">
        <v>3518</v>
      </c>
    </row>
    <row r="973">
      <c r="A973" t="inlineStr">
        <is>
          <t>2025-05-15</t>
        </is>
      </c>
      <c r="B973" t="n">
        <v>3151</v>
      </c>
      <c r="C973" t="n">
        <v>3228.10009765625</v>
      </c>
      <c r="D973" t="n">
        <v>3125</v>
      </c>
      <c r="E973" t="n">
        <v>3220.699951171875</v>
      </c>
      <c r="F973" t="n">
        <v>652</v>
      </c>
    </row>
    <row r="974">
      <c r="A974" t="inlineStr">
        <is>
          <t>2025-05-16</t>
        </is>
      </c>
      <c r="B974" t="n">
        <v>3227.699951171875</v>
      </c>
      <c r="C974" t="n">
        <v>3228.10009765625</v>
      </c>
      <c r="D974" t="n">
        <v>3173.89990234375</v>
      </c>
      <c r="E974" t="n">
        <v>3182</v>
      </c>
      <c r="F974" t="n">
        <v>199</v>
      </c>
    </row>
    <row r="975">
      <c r="A975" t="inlineStr">
        <is>
          <t>2025-05-19</t>
        </is>
      </c>
      <c r="B975" t="n">
        <v>3234.39990234375</v>
      </c>
      <c r="C975" t="n">
        <v>3241</v>
      </c>
      <c r="D975" t="n">
        <v>3228.300048828125</v>
      </c>
      <c r="E975" t="n">
        <v>3228.89990234375</v>
      </c>
      <c r="F975" t="n">
        <v>266</v>
      </c>
    </row>
    <row r="976">
      <c r="A976" t="inlineStr">
        <is>
          <t>2025-05-20</t>
        </is>
      </c>
      <c r="B976" t="n">
        <v>3219</v>
      </c>
      <c r="C976" t="n">
        <v>3293.199951171875</v>
      </c>
      <c r="D976" t="n">
        <v>3207.5</v>
      </c>
      <c r="E976" t="n">
        <v>3280.300048828125</v>
      </c>
      <c r="F976" t="n">
        <v>356</v>
      </c>
    </row>
    <row r="977">
      <c r="A977" t="inlineStr">
        <is>
          <t>2025-05-21</t>
        </is>
      </c>
      <c r="B977" t="n">
        <v>3293.39990234375</v>
      </c>
      <c r="C977" t="n">
        <v>3317.5</v>
      </c>
      <c r="D977" t="n">
        <v>3290.199951171875</v>
      </c>
      <c r="E977" t="n">
        <v>3309.300048828125</v>
      </c>
      <c r="F977" t="n">
        <v>979</v>
      </c>
    </row>
    <row r="978">
      <c r="A978" t="inlineStr">
        <is>
          <t>2025-05-22</t>
        </is>
      </c>
      <c r="B978" t="n">
        <v>3327.300048828125</v>
      </c>
      <c r="C978" t="n">
        <v>3328</v>
      </c>
      <c r="D978" t="n">
        <v>3282.699951171875</v>
      </c>
      <c r="E978" t="n">
        <v>3292.300048828125</v>
      </c>
      <c r="F978" t="n">
        <v>1210</v>
      </c>
    </row>
    <row r="979">
      <c r="A979" t="inlineStr">
        <is>
          <t>2025-05-23</t>
        </is>
      </c>
      <c r="B979" t="n">
        <v>3328</v>
      </c>
      <c r="C979" t="n">
        <v>3363.60009765625</v>
      </c>
      <c r="D979" t="n">
        <v>3323.5</v>
      </c>
      <c r="E979" t="n">
        <v>3363.60009765625</v>
      </c>
      <c r="F979" t="n">
        <v>47</v>
      </c>
    </row>
    <row r="980">
      <c r="A980" t="inlineStr">
        <is>
          <t>2025-05-27</t>
        </is>
      </c>
      <c r="B980" t="n">
        <v>3332.5</v>
      </c>
      <c r="C980" t="n">
        <v>3341</v>
      </c>
      <c r="D980" t="n">
        <v>3296.300048828125</v>
      </c>
      <c r="E980" t="n">
        <v>3299.10009765625</v>
      </c>
      <c r="F980" t="n">
        <v>189</v>
      </c>
    </row>
    <row r="981">
      <c r="A981" t="inlineStr">
        <is>
          <t>2025-05-28</t>
        </is>
      </c>
      <c r="B981" t="n">
        <v>3293.60009765625</v>
      </c>
      <c r="C981" t="n">
        <v>3293.60009765625</v>
      </c>
      <c r="D981" t="n">
        <v>3293.60009765625</v>
      </c>
      <c r="E981" t="n">
        <v>3293.60009765625</v>
      </c>
      <c r="F981" t="n">
        <v>127758</v>
      </c>
    </row>
    <row r="982">
      <c r="A982" t="inlineStr">
        <is>
          <t>2025-05-29</t>
        </is>
      </c>
      <c r="B982" t="n">
        <v>3283.699951171875</v>
      </c>
      <c r="C982" t="n">
        <v>3328.800048828125</v>
      </c>
      <c r="D982" t="n">
        <v>3242.39990234375</v>
      </c>
      <c r="E982" t="n">
        <v>3317.10009765625</v>
      </c>
      <c r="F982" t="n">
        <v>24370</v>
      </c>
    </row>
    <row r="983">
      <c r="A983" t="inlineStr">
        <is>
          <t>2025-05-30</t>
        </is>
      </c>
      <c r="B983" t="n">
        <v>3315.10009765625</v>
      </c>
      <c r="C983" t="n">
        <v>3318</v>
      </c>
      <c r="D983" t="n">
        <v>3270.89990234375</v>
      </c>
      <c r="E983" t="n">
        <v>3288.89990234375</v>
      </c>
      <c r="F983" t="n">
        <v>2213</v>
      </c>
    </row>
    <row r="984">
      <c r="A984" t="inlineStr">
        <is>
          <t>2025-06-02</t>
        </is>
      </c>
      <c r="B984" t="n">
        <v>3296.89990234375</v>
      </c>
      <c r="C984" t="n">
        <v>3380.800048828125</v>
      </c>
      <c r="D984" t="n">
        <v>3296.89990234375</v>
      </c>
      <c r="E984" t="n">
        <v>3370.60009765625</v>
      </c>
      <c r="F984" t="n">
        <v>976</v>
      </c>
    </row>
    <row r="985">
      <c r="A985" t="inlineStr">
        <is>
          <t>2025-06-03</t>
        </is>
      </c>
      <c r="B985" t="n">
        <v>3385.10009765625</v>
      </c>
      <c r="C985" t="n">
        <v>3390</v>
      </c>
      <c r="D985" t="n">
        <v>3331.300048828125</v>
      </c>
      <c r="E985" t="n">
        <v>3350.199951171875</v>
      </c>
      <c r="F985" t="n">
        <v>6410</v>
      </c>
    </row>
    <row r="986">
      <c r="A986" t="inlineStr">
        <is>
          <t>2025-06-04</t>
        </is>
      </c>
      <c r="B986" t="n">
        <v>3355</v>
      </c>
      <c r="C986" t="n">
        <v>3380</v>
      </c>
      <c r="D986" t="n">
        <v>3344</v>
      </c>
      <c r="E986" t="n">
        <v>3373.5</v>
      </c>
      <c r="F986" t="n">
        <v>207</v>
      </c>
    </row>
    <row r="987">
      <c r="A987" t="inlineStr">
        <is>
          <t>2025-06-05</t>
        </is>
      </c>
      <c r="B987" t="n">
        <v>3371.5</v>
      </c>
      <c r="C987" t="n">
        <v>3400</v>
      </c>
      <c r="D987" t="n">
        <v>3343.699951171875</v>
      </c>
      <c r="E987" t="n">
        <v>3350.699951171875</v>
      </c>
      <c r="F987" t="n">
        <v>731</v>
      </c>
    </row>
    <row r="988">
      <c r="A988" t="inlineStr">
        <is>
          <t>2025-06-06</t>
        </is>
      </c>
      <c r="B988" t="n">
        <v>3364.300048828125</v>
      </c>
      <c r="C988" t="n">
        <v>3364.300048828125</v>
      </c>
      <c r="D988" t="n">
        <v>3306</v>
      </c>
      <c r="E988" t="n">
        <v>3322.699951171875</v>
      </c>
      <c r="F988" t="n">
        <v>81</v>
      </c>
    </row>
    <row r="989">
      <c r="A989" t="inlineStr">
        <is>
          <t>2025-06-09</t>
        </is>
      </c>
      <c r="B989" t="n">
        <v>3315.60009765625</v>
      </c>
      <c r="C989" t="n">
        <v>3334.60009765625</v>
      </c>
      <c r="D989" t="n">
        <v>3290</v>
      </c>
      <c r="E989" t="n">
        <v>3332.10009765625</v>
      </c>
      <c r="F989" t="n">
        <v>1887</v>
      </c>
    </row>
    <row r="990">
      <c r="A990" t="inlineStr">
        <is>
          <t>2025-06-10</t>
        </is>
      </c>
      <c r="B990" t="n">
        <v>3302</v>
      </c>
      <c r="C990" t="n">
        <v>3344.300048828125</v>
      </c>
      <c r="D990" t="n">
        <v>3302</v>
      </c>
      <c r="E990" t="n">
        <v>3320.89990234375</v>
      </c>
      <c r="F990" t="n">
        <v>65</v>
      </c>
    </row>
    <row r="991">
      <c r="A991" t="inlineStr">
        <is>
          <t>2025-06-11</t>
        </is>
      </c>
      <c r="B991" t="n">
        <v>3328</v>
      </c>
      <c r="C991" t="n">
        <v>3356</v>
      </c>
      <c r="D991" t="n">
        <v>3321.300048828125</v>
      </c>
      <c r="E991" t="n">
        <v>3321.300048828125</v>
      </c>
      <c r="F991" t="n">
        <v>2106</v>
      </c>
    </row>
    <row r="992">
      <c r="A992" t="inlineStr">
        <is>
          <t>2025-06-12</t>
        </is>
      </c>
      <c r="B992" t="n">
        <v>3363</v>
      </c>
      <c r="C992" t="n">
        <v>3395.89990234375</v>
      </c>
      <c r="D992" t="n">
        <v>3353.39990234375</v>
      </c>
      <c r="E992" t="n">
        <v>3380.89990234375</v>
      </c>
      <c r="F992" t="n">
        <v>1818</v>
      </c>
    </row>
    <row r="993">
      <c r="A993" t="inlineStr">
        <is>
          <t>2025-06-13</t>
        </is>
      </c>
      <c r="B993" t="n">
        <v>3407.300048828125</v>
      </c>
      <c r="C993" t="n">
        <v>3444</v>
      </c>
      <c r="D993" t="n">
        <v>3407.300048828125</v>
      </c>
      <c r="E993" t="n">
        <v>3431.199951171875</v>
      </c>
      <c r="F993" t="n">
        <v>499</v>
      </c>
    </row>
    <row r="994">
      <c r="A994" t="inlineStr">
        <is>
          <t>2025-06-16</t>
        </is>
      </c>
      <c r="B994" t="n">
        <v>3442</v>
      </c>
      <c r="C994" t="n">
        <v>3442</v>
      </c>
      <c r="D994" t="n">
        <v>3385.39990234375</v>
      </c>
      <c r="E994" t="n">
        <v>3396.39990234375</v>
      </c>
      <c r="F994" t="n">
        <v>480</v>
      </c>
    </row>
    <row r="995">
      <c r="A995" t="inlineStr">
        <is>
          <t>2025-06-17</t>
        </is>
      </c>
      <c r="B995" t="n">
        <v>3398.300048828125</v>
      </c>
      <c r="C995" t="n">
        <v>3398.300048828125</v>
      </c>
      <c r="D995" t="n">
        <v>3376.10009765625</v>
      </c>
      <c r="E995" t="n">
        <v>3386.60009765625</v>
      </c>
      <c r="F995" t="n">
        <v>1477</v>
      </c>
    </row>
    <row r="996">
      <c r="A996" t="inlineStr">
        <is>
          <t>2025-06-18</t>
        </is>
      </c>
      <c r="B996" t="n">
        <v>3385.300048828125</v>
      </c>
      <c r="C996" t="n">
        <v>3391.89990234375</v>
      </c>
      <c r="D996" t="n">
        <v>3365.10009765625</v>
      </c>
      <c r="E996" t="n">
        <v>3389.800048828125</v>
      </c>
      <c r="F996" t="n">
        <v>0</v>
      </c>
    </row>
    <row r="997">
      <c r="A997" t="inlineStr">
        <is>
          <t>2025-06-20</t>
        </is>
      </c>
      <c r="B997" t="n">
        <v>3350</v>
      </c>
      <c r="C997" t="n">
        <v>3372.89990234375</v>
      </c>
      <c r="D997" t="n">
        <v>3341</v>
      </c>
      <c r="E997" t="n">
        <v>3368.10009765625</v>
      </c>
      <c r="F997" t="n">
        <v>709</v>
      </c>
    </row>
    <row r="998">
      <c r="A998" t="inlineStr">
        <is>
          <t>2025-06-23</t>
        </is>
      </c>
      <c r="B998" t="n">
        <v>3365.89990234375</v>
      </c>
      <c r="C998" t="n">
        <v>3387.89990234375</v>
      </c>
      <c r="D998" t="n">
        <v>3350</v>
      </c>
      <c r="E998" t="n">
        <v>3377.699951171875</v>
      </c>
      <c r="F998" t="n">
        <v>30</v>
      </c>
    </row>
    <row r="999">
      <c r="A999" t="inlineStr">
        <is>
          <t>2025-06-24</t>
        </is>
      </c>
      <c r="B999" t="n">
        <v>3358</v>
      </c>
      <c r="C999" t="n">
        <v>3358</v>
      </c>
      <c r="D999" t="n">
        <v>3301</v>
      </c>
      <c r="E999" t="n">
        <v>3317.39990234375</v>
      </c>
      <c r="F999" t="n">
        <v>538</v>
      </c>
    </row>
    <row r="1000">
      <c r="A1000" t="inlineStr">
        <is>
          <t>2025-06-25</t>
        </is>
      </c>
      <c r="B1000" t="n">
        <v>3321.60009765625</v>
      </c>
      <c r="C1000" t="n">
        <v>3331.199951171875</v>
      </c>
      <c r="D1000" t="n">
        <v>3310.60009765625</v>
      </c>
      <c r="E1000" t="n">
        <v>3327.10009765625</v>
      </c>
      <c r="F1000" t="n">
        <v>373</v>
      </c>
    </row>
    <row r="1001">
      <c r="A1001" t="inlineStr">
        <is>
          <t>2025-06-26</t>
        </is>
      </c>
      <c r="B1001" t="n">
        <v>3332.39990234375</v>
      </c>
      <c r="C1001" t="n">
        <v>3333.5</v>
      </c>
      <c r="D1001" t="n">
        <v>3332.39990234375</v>
      </c>
      <c r="E1001" t="n">
        <v>3333.5</v>
      </c>
      <c r="F1001" t="n">
        <v>2058</v>
      </c>
    </row>
    <row r="1002">
      <c r="A1002" t="inlineStr">
        <is>
          <t>2025-06-27</t>
        </is>
      </c>
      <c r="B1002" t="n">
        <v>3318.699951171875</v>
      </c>
      <c r="C1002" t="n">
        <v>3318.699951171875</v>
      </c>
      <c r="D1002" t="n">
        <v>3253.800048828125</v>
      </c>
      <c r="E1002" t="n">
        <v>3273.699951171875</v>
      </c>
      <c r="F1002" t="n">
        <v>284</v>
      </c>
    </row>
    <row r="1003">
      <c r="A1003" t="inlineStr">
        <is>
          <t>2025-06-30</t>
        </is>
      </c>
      <c r="B1003" t="n">
        <v>3265.89990234375</v>
      </c>
      <c r="C1003" t="n">
        <v>3306.89990234375</v>
      </c>
      <c r="D1003" t="n">
        <v>3262</v>
      </c>
      <c r="E1003" t="n">
        <v>3294.39990234375</v>
      </c>
      <c r="F1003" t="n">
        <v>1242</v>
      </c>
    </row>
    <row r="1004">
      <c r="A1004" t="inlineStr">
        <is>
          <t>2025-07-01</t>
        </is>
      </c>
      <c r="B1004" t="n">
        <v>3310.10009765625</v>
      </c>
      <c r="C1004" t="n">
        <v>3354.10009765625</v>
      </c>
      <c r="D1004" t="n">
        <v>3310.10009765625</v>
      </c>
      <c r="E1004" t="n">
        <v>3336.699951171875</v>
      </c>
      <c r="F1004" t="n">
        <v>371</v>
      </c>
    </row>
    <row r="1005">
      <c r="A1005" t="inlineStr">
        <is>
          <t>2025-07-02</t>
        </is>
      </c>
      <c r="B1005" t="n">
        <v>3329</v>
      </c>
      <c r="C1005" t="n">
        <v>3357.5</v>
      </c>
      <c r="D1005" t="n">
        <v>3329</v>
      </c>
      <c r="E1005" t="n">
        <v>3348</v>
      </c>
      <c r="F1005" t="n">
        <v>39</v>
      </c>
    </row>
    <row r="1006">
      <c r="A1006" t="inlineStr">
        <is>
          <t>2025-07-03</t>
        </is>
      </c>
      <c r="B1006" t="n">
        <v>3362</v>
      </c>
      <c r="C1006" t="n">
        <v>3362</v>
      </c>
      <c r="D1006" t="n">
        <v>3322.300048828125</v>
      </c>
      <c r="E1006" t="n">
        <v>3331.60009765625</v>
      </c>
      <c r="F1006" t="n">
        <v>0</v>
      </c>
    </row>
    <row r="1007">
      <c r="A1007" t="inlineStr">
        <is>
          <t>2025-07-04</t>
        </is>
      </c>
      <c r="B1007" t="n">
        <v>3342</v>
      </c>
      <c r="C1007" t="n">
        <v>3342</v>
      </c>
      <c r="D1007" t="n">
        <v>3332.5</v>
      </c>
      <c r="E1007" t="n">
        <v>3332.5</v>
      </c>
      <c r="F1007" t="n">
        <v>0</v>
      </c>
    </row>
    <row r="1008">
      <c r="A1008" t="inlineStr">
        <is>
          <t>2025-07-07</t>
        </is>
      </c>
      <c r="B1008" t="n">
        <v>3305.5</v>
      </c>
      <c r="C1008" t="n">
        <v>3333.300048828125</v>
      </c>
      <c r="D1008" t="n">
        <v>3299.199951171875</v>
      </c>
      <c r="E1008" t="n">
        <v>3332.199951171875</v>
      </c>
      <c r="F1008" t="n">
        <v>254</v>
      </c>
    </row>
    <row r="1009">
      <c r="A1009" t="inlineStr">
        <is>
          <t>2025-07-08</t>
        </is>
      </c>
      <c r="B1009" t="n">
        <v>3330.39990234375</v>
      </c>
      <c r="C1009" t="n">
        <v>3334.5</v>
      </c>
      <c r="D1009" t="n">
        <v>3287.60009765625</v>
      </c>
      <c r="E1009" t="n">
        <v>3307</v>
      </c>
      <c r="F1009" t="n">
        <v>909</v>
      </c>
    </row>
    <row r="1010">
      <c r="A1010" t="inlineStr">
        <is>
          <t>2025-07-09</t>
        </is>
      </c>
      <c r="B1010" t="n">
        <v>3289.39990234375</v>
      </c>
      <c r="C1010" t="n">
        <v>3314</v>
      </c>
      <c r="D1010" t="n">
        <v>3282</v>
      </c>
      <c r="E1010" t="n">
        <v>3311.60009765625</v>
      </c>
      <c r="F1010" t="n">
        <v>114</v>
      </c>
    </row>
    <row r="1011">
      <c r="A1011" t="inlineStr">
        <is>
          <t>2025-07-10</t>
        </is>
      </c>
      <c r="B1011" t="n">
        <v>3323.60009765625</v>
      </c>
      <c r="C1011" t="n">
        <v>3330.5</v>
      </c>
      <c r="D1011" t="n">
        <v>3311.60009765625</v>
      </c>
      <c r="E1011" t="n">
        <v>3317.39990234375</v>
      </c>
      <c r="F1011" t="n">
        <v>209</v>
      </c>
    </row>
    <row r="1012">
      <c r="A1012" t="inlineStr">
        <is>
          <t>2025-07-11</t>
        </is>
      </c>
      <c r="B1012" t="n">
        <v>3330.5</v>
      </c>
      <c r="C1012" t="n">
        <v>3370</v>
      </c>
      <c r="D1012" t="n">
        <v>3330.5</v>
      </c>
      <c r="E1012" t="n">
        <v>3356</v>
      </c>
      <c r="F1012" t="n">
        <v>776</v>
      </c>
    </row>
    <row r="1013">
      <c r="A1013" t="inlineStr">
        <is>
          <t>2025-07-14</t>
        </is>
      </c>
      <c r="B1013" t="n">
        <v>3367</v>
      </c>
      <c r="C1013" t="n">
        <v>3375.5</v>
      </c>
      <c r="D1013" t="n">
        <v>3350</v>
      </c>
      <c r="E1013" t="n">
        <v>3351.5</v>
      </c>
      <c r="F1013" t="n">
        <v>583</v>
      </c>
    </row>
    <row r="1014">
      <c r="A1014" t="inlineStr">
        <is>
          <t>2025-07-15</t>
        </is>
      </c>
      <c r="B1014" t="n">
        <v>3341</v>
      </c>
      <c r="C1014" t="n">
        <v>3341</v>
      </c>
      <c r="D1014" t="n">
        <v>3329.800048828125</v>
      </c>
      <c r="E1014" t="n">
        <v>3329.800048828125</v>
      </c>
      <c r="F1014" t="n">
        <v>210</v>
      </c>
    </row>
    <row r="1015">
      <c r="A1015" t="inlineStr">
        <is>
          <t>2025-07-16</t>
        </is>
      </c>
      <c r="B1015" t="n">
        <v>3341.199951171875</v>
      </c>
      <c r="C1015" t="n">
        <v>3352.89990234375</v>
      </c>
      <c r="D1015" t="n">
        <v>3329.5</v>
      </c>
      <c r="E1015" t="n">
        <v>3352.5</v>
      </c>
      <c r="F1015" t="n">
        <v>10</v>
      </c>
    </row>
    <row r="1016">
      <c r="A1016" t="inlineStr">
        <is>
          <t>2025-07-17</t>
        </is>
      </c>
      <c r="B1016" t="n">
        <v>3313.800048828125</v>
      </c>
      <c r="C1016" t="n">
        <v>3340.800048828125</v>
      </c>
      <c r="D1016" t="n">
        <v>3313.800048828125</v>
      </c>
      <c r="E1016" t="n">
        <v>3340.10009765625</v>
      </c>
      <c r="F1016" t="n">
        <v>667</v>
      </c>
    </row>
    <row r="1017">
      <c r="A1017" t="inlineStr">
        <is>
          <t>2025-07-18</t>
        </is>
      </c>
      <c r="B1017" t="n">
        <v>3338.199951171875</v>
      </c>
      <c r="C1017" t="n">
        <v>3353</v>
      </c>
      <c r="D1017" t="n">
        <v>3338.199951171875</v>
      </c>
      <c r="E1017" t="n">
        <v>3353</v>
      </c>
      <c r="F1017" t="n">
        <v>602</v>
      </c>
    </row>
    <row r="1018">
      <c r="A1018" t="inlineStr">
        <is>
          <t>2025-07-21</t>
        </is>
      </c>
      <c r="B1018" t="n">
        <v>3350.300048828125</v>
      </c>
      <c r="C1018" t="n">
        <v>3411.699951171875</v>
      </c>
      <c r="D1018" t="n">
        <v>3350.300048828125</v>
      </c>
      <c r="E1018" t="n">
        <v>3401.89990234375</v>
      </c>
      <c r="F1018" t="n">
        <v>53</v>
      </c>
    </row>
    <row r="1019">
      <c r="A1019" t="inlineStr">
        <is>
          <t>2025-07-22</t>
        </is>
      </c>
      <c r="B1019" t="n">
        <v>3411</v>
      </c>
      <c r="C1019" t="n">
        <v>3441</v>
      </c>
      <c r="D1019" t="n">
        <v>3395.60009765625</v>
      </c>
      <c r="E1019" t="n">
        <v>3439.199951171875</v>
      </c>
      <c r="F1019" t="n">
        <v>39</v>
      </c>
    </row>
    <row r="1020">
      <c r="A1020" t="inlineStr">
        <is>
          <t>2025-07-23</t>
        </is>
      </c>
      <c r="B1020" t="n">
        <v>3430.300048828125</v>
      </c>
      <c r="C1020" t="n">
        <v>3433.89990234375</v>
      </c>
      <c r="D1020" t="n">
        <v>3388.10009765625</v>
      </c>
      <c r="E1020" t="n">
        <v>3394.10009765625</v>
      </c>
      <c r="F1020" t="n">
        <v>63</v>
      </c>
    </row>
    <row r="1021">
      <c r="A1021" t="inlineStr">
        <is>
          <t>2025-07-24</t>
        </is>
      </c>
      <c r="B1021" t="n">
        <v>3367</v>
      </c>
      <c r="C1021" t="n">
        <v>3371</v>
      </c>
      <c r="D1021" t="n">
        <v>3367</v>
      </c>
      <c r="E1021" t="n">
        <v>3371</v>
      </c>
      <c r="F1021" t="n">
        <v>1175</v>
      </c>
    </row>
    <row r="1022">
      <c r="A1022" t="inlineStr">
        <is>
          <t>2025-07-25</t>
        </is>
      </c>
      <c r="B1022" t="n">
        <v>3344</v>
      </c>
      <c r="C1022" t="n">
        <v>3345</v>
      </c>
      <c r="D1022" t="n">
        <v>3326.5</v>
      </c>
      <c r="E1022" t="n">
        <v>3334</v>
      </c>
      <c r="F1022" t="n">
        <v>67</v>
      </c>
    </row>
    <row r="1023">
      <c r="A1023" t="inlineStr">
        <is>
          <t>2025-07-28</t>
        </is>
      </c>
      <c r="B1023" t="n">
        <v>3326.60009765625</v>
      </c>
      <c r="C1023" t="n">
        <v>3326.800048828125</v>
      </c>
      <c r="D1023" t="n">
        <v>3309.10009765625</v>
      </c>
      <c r="E1023" t="n">
        <v>3309.10009765625</v>
      </c>
      <c r="F1023" t="n">
        <v>533</v>
      </c>
    </row>
    <row r="1024">
      <c r="A1024" t="inlineStr">
        <is>
          <t>2025-07-29</t>
        </is>
      </c>
      <c r="B1024" t="n">
        <v>3323.39990234375</v>
      </c>
      <c r="C1024" t="n">
        <v>3323.39990234375</v>
      </c>
      <c r="D1024" t="n">
        <v>3323.39990234375</v>
      </c>
      <c r="E1024" t="n">
        <v>3323.39990234375</v>
      </c>
      <c r="F1024" t="n">
        <v>113144</v>
      </c>
    </row>
    <row r="1025">
      <c r="A1025" t="inlineStr">
        <is>
          <t>2025-07-30</t>
        </is>
      </c>
      <c r="B1025" t="n">
        <v>3325.800048828125</v>
      </c>
      <c r="C1025" t="n">
        <v>3331.800048828125</v>
      </c>
      <c r="D1025" t="n">
        <v>3263.89990234375</v>
      </c>
      <c r="E1025" t="n">
        <v>3295.800048828125</v>
      </c>
      <c r="F1025" t="n">
        <v>19252</v>
      </c>
    </row>
    <row r="1026">
      <c r="A1026" t="inlineStr">
        <is>
          <t>2025-07-31</t>
        </is>
      </c>
      <c r="B1026" t="n">
        <v>3272.89990234375</v>
      </c>
      <c r="C1026" t="n">
        <v>3312</v>
      </c>
      <c r="D1026" t="n">
        <v>3272.89990234375</v>
      </c>
      <c r="E1026" t="n">
        <v>3293.199951171875</v>
      </c>
      <c r="F1026" t="n">
        <v>3704</v>
      </c>
    </row>
    <row r="1027">
      <c r="A1027" t="inlineStr">
        <is>
          <t>2025-08-01</t>
        </is>
      </c>
      <c r="B1027" t="n">
        <v>3286.199951171875</v>
      </c>
      <c r="C1027" t="n">
        <v>3360.60009765625</v>
      </c>
      <c r="D1027" t="n">
        <v>3281</v>
      </c>
      <c r="E1027" t="n">
        <v>3347.699951171875</v>
      </c>
      <c r="F1027" t="n">
        <v>3420</v>
      </c>
    </row>
    <row r="1028">
      <c r="A1028" t="inlineStr">
        <is>
          <t>2025-08-04</t>
        </is>
      </c>
      <c r="B1028" t="n">
        <v>3367.60009765625</v>
      </c>
      <c r="C1028" t="n">
        <v>3386.5</v>
      </c>
      <c r="D1028" t="n">
        <v>3347.39990234375</v>
      </c>
      <c r="E1028" t="n">
        <v>3374.39990234375</v>
      </c>
      <c r="F1028" t="n">
        <v>351</v>
      </c>
    </row>
    <row r="1029">
      <c r="A1029" t="inlineStr">
        <is>
          <t>2025-08-05</t>
        </is>
      </c>
      <c r="B1029" t="n">
        <v>3378.5</v>
      </c>
      <c r="C1029" t="n">
        <v>3387.199951171875</v>
      </c>
      <c r="D1029" t="n">
        <v>3351.199951171875</v>
      </c>
      <c r="E1029" t="n">
        <v>3381.89990234375</v>
      </c>
      <c r="F1029" t="n">
        <v>915</v>
      </c>
    </row>
    <row r="1030">
      <c r="A1030" t="inlineStr">
        <is>
          <t>2025-08-06</t>
        </is>
      </c>
      <c r="B1030" t="n">
        <v>3380.699951171875</v>
      </c>
      <c r="C1030" t="n">
        <v>3383.300048828125</v>
      </c>
      <c r="D1030" t="n">
        <v>3361.300048828125</v>
      </c>
      <c r="E1030" t="n">
        <v>3380</v>
      </c>
      <c r="F1030" t="n">
        <v>1492</v>
      </c>
    </row>
    <row r="1031">
      <c r="A1031" t="inlineStr">
        <is>
          <t>2025-08-07</t>
        </is>
      </c>
      <c r="B1031" t="n">
        <v>3384.89990234375</v>
      </c>
      <c r="C1031" t="n">
        <v>3422.89990234375</v>
      </c>
      <c r="D1031" t="n">
        <v>3384.89990234375</v>
      </c>
      <c r="E1031" t="n">
        <v>3400.300048828125</v>
      </c>
      <c r="F1031" t="n">
        <v>5464</v>
      </c>
    </row>
    <row r="1032">
      <c r="A1032" t="inlineStr">
        <is>
          <t>2025-08-08</t>
        </is>
      </c>
      <c r="B1032" t="n">
        <v>3438.800048828125</v>
      </c>
      <c r="C1032" t="n">
        <v>3477</v>
      </c>
      <c r="D1032" t="n">
        <v>3402.5</v>
      </c>
      <c r="E1032" t="n">
        <v>3439.10009765625</v>
      </c>
      <c r="F1032" t="n">
        <v>7657</v>
      </c>
    </row>
    <row r="1033">
      <c r="A1033" t="inlineStr">
        <is>
          <t>2025-08-11</t>
        </is>
      </c>
      <c r="B1033" t="n">
        <v>3383.89990234375</v>
      </c>
      <c r="C1033" t="n">
        <v>3383.89990234375</v>
      </c>
      <c r="D1033" t="n">
        <v>3349.199951171875</v>
      </c>
      <c r="E1033" t="n">
        <v>3353.10009765625</v>
      </c>
      <c r="F1033" t="n">
        <v>1488</v>
      </c>
    </row>
    <row r="1034">
      <c r="A1034" t="inlineStr">
        <is>
          <t>2025-08-12</t>
        </is>
      </c>
      <c r="B1034" t="n">
        <v>3356.199951171875</v>
      </c>
      <c r="C1034" t="n">
        <v>3356.199951171875</v>
      </c>
      <c r="D1034" t="n">
        <v>3330.10009765625</v>
      </c>
      <c r="E1034" t="n">
        <v>3348.89990234375</v>
      </c>
      <c r="F1034" t="n">
        <v>1611</v>
      </c>
    </row>
    <row r="1035">
      <c r="A1035" t="inlineStr">
        <is>
          <t>2025-08-13</t>
        </is>
      </c>
      <c r="B1035" t="n">
        <v>3358.800048828125</v>
      </c>
      <c r="C1035" t="n">
        <v>3363.39990234375</v>
      </c>
      <c r="D1035" t="n">
        <v>3358.699951171875</v>
      </c>
      <c r="E1035" t="n">
        <v>3358.699951171875</v>
      </c>
      <c r="F1035" t="n">
        <v>1011</v>
      </c>
    </row>
    <row r="1036">
      <c r="A1036" t="inlineStr">
        <is>
          <t>2025-08-14</t>
        </is>
      </c>
      <c r="B1036" t="n">
        <v>3346.800048828125</v>
      </c>
      <c r="C1036" t="n">
        <v>3356</v>
      </c>
      <c r="D1036" t="n">
        <v>3328.89990234375</v>
      </c>
      <c r="E1036" t="n">
        <v>3335.199951171875</v>
      </c>
      <c r="F1036" t="n">
        <v>592</v>
      </c>
    </row>
    <row r="1037">
      <c r="A1037" t="inlineStr">
        <is>
          <t>2025-08-15</t>
        </is>
      </c>
      <c r="B1037" t="n">
        <v>3346.800048828125</v>
      </c>
      <c r="C1037" t="n">
        <v>3346.800048828125</v>
      </c>
      <c r="D1037" t="n">
        <v>3335.89990234375</v>
      </c>
      <c r="E1037" t="n">
        <v>3336</v>
      </c>
      <c r="F1037" t="n">
        <v>1185</v>
      </c>
    </row>
    <row r="1038">
      <c r="A1038" t="inlineStr">
        <is>
          <t>2025-08-18</t>
        </is>
      </c>
      <c r="B1038" t="n">
        <v>3333.5</v>
      </c>
      <c r="C1038" t="n">
        <v>3347.800048828125</v>
      </c>
      <c r="D1038" t="n">
        <v>3331.699951171875</v>
      </c>
      <c r="E1038" t="n">
        <v>3331.699951171875</v>
      </c>
      <c r="F1038" t="n">
        <v>646</v>
      </c>
    </row>
    <row r="1039">
      <c r="A1039" t="inlineStr">
        <is>
          <t>2025-08-19</t>
        </is>
      </c>
      <c r="B1039" t="n">
        <v>3330.199951171875</v>
      </c>
      <c r="C1039" t="n">
        <v>3343.5</v>
      </c>
      <c r="D1039" t="n">
        <v>3313.39990234375</v>
      </c>
      <c r="E1039" t="n">
        <v>3313.39990234375</v>
      </c>
      <c r="F1039" t="n">
        <v>1655</v>
      </c>
    </row>
    <row r="1040">
      <c r="A1040" t="inlineStr">
        <is>
          <t>2025-08-20</t>
        </is>
      </c>
      <c r="B1040" t="n">
        <v>3310.60009765625</v>
      </c>
      <c r="C1040" t="n">
        <v>3343.5</v>
      </c>
      <c r="D1040" t="n">
        <v>3310.10009765625</v>
      </c>
      <c r="E1040" t="n">
        <v>3343.39990234375</v>
      </c>
      <c r="F1040" t="n">
        <v>1213</v>
      </c>
    </row>
    <row r="1041">
      <c r="A1041" t="inlineStr">
        <is>
          <t>2025-08-21</t>
        </is>
      </c>
      <c r="B1041" t="n">
        <v>3349.39990234375</v>
      </c>
      <c r="C1041" t="n">
        <v>3349.39990234375</v>
      </c>
      <c r="D1041" t="n">
        <v>3326.5</v>
      </c>
      <c r="E1041" t="n">
        <v>3336.89990234375</v>
      </c>
      <c r="F1041" t="n">
        <v>142</v>
      </c>
    </row>
    <row r="1042">
      <c r="A1042" t="inlineStr">
        <is>
          <t>2025-08-22</t>
        </is>
      </c>
      <c r="B1042" t="n">
        <v>3349.39990234375</v>
      </c>
      <c r="C1042" t="n">
        <v>3377.699951171875</v>
      </c>
      <c r="D1042" t="n">
        <v>3349.39990234375</v>
      </c>
      <c r="E1042" t="n">
        <v>3374.39990234375</v>
      </c>
      <c r="F1042" t="n">
        <v>1240</v>
      </c>
    </row>
    <row r="1043">
      <c r="A1043" t="inlineStr">
        <is>
          <t>2025-08-25</t>
        </is>
      </c>
      <c r="B1043" t="n">
        <v>3366</v>
      </c>
      <c r="C1043" t="n">
        <v>3378</v>
      </c>
      <c r="D1043" t="n">
        <v>3366</v>
      </c>
      <c r="E1043" t="n">
        <v>3373.800048828125</v>
      </c>
      <c r="F1043" t="n">
        <v>1044</v>
      </c>
    </row>
    <row r="1044">
      <c r="A1044" t="inlineStr">
        <is>
          <t>2025-08-26</t>
        </is>
      </c>
      <c r="B1044" t="n">
        <v>3378.89990234375</v>
      </c>
      <c r="C1044" t="n">
        <v>3396.5</v>
      </c>
      <c r="D1044" t="n">
        <v>3371.10009765625</v>
      </c>
      <c r="E1044" t="n">
        <v>3388.60009765625</v>
      </c>
      <c r="F1044" t="n">
        <v>905</v>
      </c>
    </row>
    <row r="1045">
      <c r="A1045" t="inlineStr">
        <is>
          <t>2025-08-27</t>
        </is>
      </c>
      <c r="B1045" t="n">
        <v>3397</v>
      </c>
      <c r="C1045" t="n">
        <v>3404.60009765625</v>
      </c>
      <c r="D1045" t="n">
        <v>3382</v>
      </c>
      <c r="E1045" t="n">
        <v>3404.60009765625</v>
      </c>
      <c r="F1045" t="n">
        <v>3222</v>
      </c>
    </row>
    <row r="1046">
      <c r="A1046" t="inlineStr">
        <is>
          <t>2025-08-28</t>
        </is>
      </c>
      <c r="B1046" t="n">
        <v>3409</v>
      </c>
      <c r="C1046" t="n">
        <v>3434.60009765625</v>
      </c>
      <c r="D1046" t="n">
        <v>3400</v>
      </c>
      <c r="E1046" t="n">
        <v>3431.800048828125</v>
      </c>
      <c r="F1046" t="n">
        <v>1035</v>
      </c>
    </row>
    <row r="1047">
      <c r="A1047" t="inlineStr">
        <is>
          <t>2025-08-29</t>
        </is>
      </c>
      <c r="B1047" t="n">
        <v>3432.5</v>
      </c>
      <c r="C1047" t="n">
        <v>3475.60009765625</v>
      </c>
      <c r="D1047" t="n">
        <v>3426.60009765625</v>
      </c>
      <c r="E1047" t="n">
        <v>3473.699951171875</v>
      </c>
      <c r="F1047" t="n">
        <v>0</v>
      </c>
    </row>
    <row r="1048">
      <c r="A1048" t="inlineStr">
        <is>
          <t>2025-09-02</t>
        </is>
      </c>
      <c r="B1048" t="n">
        <v>3485.699951171875</v>
      </c>
      <c r="C1048" t="n">
        <v>3559.199951171875</v>
      </c>
      <c r="D1048" t="n">
        <v>3485.699951171875</v>
      </c>
      <c r="E1048" t="n">
        <v>3549.39990234375</v>
      </c>
      <c r="F1048" t="n">
        <v>658</v>
      </c>
    </row>
    <row r="1049">
      <c r="A1049" t="inlineStr">
        <is>
          <t>2025-09-03</t>
        </is>
      </c>
      <c r="B1049" t="n">
        <v>3554.800048828125</v>
      </c>
      <c r="C1049" t="n">
        <v>3593.699951171875</v>
      </c>
      <c r="D1049" t="n">
        <v>3553.199951171875</v>
      </c>
      <c r="E1049" t="n">
        <v>3593.199951171875</v>
      </c>
      <c r="F1049" t="n">
        <v>72</v>
      </c>
    </row>
    <row r="1050">
      <c r="A1050" t="inlineStr">
        <is>
          <t>2025-09-04</t>
        </is>
      </c>
      <c r="B1050" t="n">
        <v>3549.89990234375</v>
      </c>
      <c r="C1050" t="n">
        <v>3573.60009765625</v>
      </c>
      <c r="D1050" t="n">
        <v>3549.89990234375</v>
      </c>
      <c r="E1050" t="n">
        <v>3565.800048828125</v>
      </c>
      <c r="F1050" t="n">
        <v>237</v>
      </c>
    </row>
    <row r="1051">
      <c r="A1051" t="inlineStr">
        <is>
          <t>2025-09-05</t>
        </is>
      </c>
      <c r="B1051" t="n">
        <v>3567.800048828125</v>
      </c>
      <c r="C1051" t="n">
        <v>3613.199951171875</v>
      </c>
      <c r="D1051" t="n">
        <v>3567.800048828125</v>
      </c>
      <c r="E1051" t="n">
        <v>3613.199951171875</v>
      </c>
      <c r="F1051" t="n">
        <v>925</v>
      </c>
    </row>
    <row r="1052">
      <c r="A1052" t="inlineStr">
        <is>
          <t>2025-09-08</t>
        </is>
      </c>
      <c r="B1052" t="n">
        <v>3594.5</v>
      </c>
      <c r="C1052" t="n">
        <v>3641</v>
      </c>
      <c r="D1052" t="n">
        <v>3590</v>
      </c>
      <c r="E1052" t="n">
        <v>3638.10009765625</v>
      </c>
      <c r="F1052" t="n">
        <v>97</v>
      </c>
    </row>
    <row r="1053">
      <c r="A1053" t="inlineStr">
        <is>
          <t>2025-09-09</t>
        </is>
      </c>
      <c r="B1053" t="n">
        <v>3647.10009765625</v>
      </c>
      <c r="C1053" t="n">
        <v>3670.39990234375</v>
      </c>
      <c r="D1053" t="n">
        <v>3627.800048828125</v>
      </c>
      <c r="E1053" t="n">
        <v>3643.300048828125</v>
      </c>
      <c r="F1053" t="n">
        <v>535</v>
      </c>
    </row>
    <row r="1054">
      <c r="A1054" t="inlineStr">
        <is>
          <t>2025-09-10</t>
        </is>
      </c>
      <c r="B1054" t="n">
        <v>3625</v>
      </c>
      <c r="C1054" t="n">
        <v>3655.39990234375</v>
      </c>
      <c r="D1054" t="n">
        <v>3620.800048828125</v>
      </c>
      <c r="E1054" t="n">
        <v>3643.60009765625</v>
      </c>
      <c r="F1054" t="n">
        <v>136</v>
      </c>
    </row>
    <row r="1055">
      <c r="A1055" t="inlineStr">
        <is>
          <t>2025-09-11</t>
        </is>
      </c>
      <c r="B1055" t="n">
        <v>3632.89990234375</v>
      </c>
      <c r="C1055" t="n">
        <v>3636.89990234375</v>
      </c>
      <c r="D1055" t="n">
        <v>3618.39990234375</v>
      </c>
      <c r="E1055" t="n">
        <v>3636.89990234375</v>
      </c>
      <c r="F1055" t="n">
        <v>307</v>
      </c>
    </row>
    <row r="1056">
      <c r="A1056" t="inlineStr">
        <is>
          <t>2025-09-12</t>
        </is>
      </c>
      <c r="B1056" t="n">
        <v>3655.5</v>
      </c>
      <c r="C1056" t="n">
        <v>3656.800048828125</v>
      </c>
      <c r="D1056" t="n">
        <v>3643</v>
      </c>
      <c r="E1056" t="n">
        <v>3649.39990234375</v>
      </c>
      <c r="F1056" t="n">
        <v>1300</v>
      </c>
    </row>
    <row r="1057">
      <c r="A1057" t="inlineStr">
        <is>
          <t>2025-09-15</t>
        </is>
      </c>
      <c r="B1057" t="n">
        <v>3640</v>
      </c>
      <c r="C1057" t="n">
        <v>3686.39990234375</v>
      </c>
      <c r="D1057" t="n">
        <v>3635.10009765625</v>
      </c>
      <c r="E1057" t="n">
        <v>3682.199951171875</v>
      </c>
      <c r="F1057" t="n">
        <v>210</v>
      </c>
    </row>
    <row r="1058">
      <c r="A1058" t="inlineStr">
        <is>
          <t>2025-09-16</t>
        </is>
      </c>
      <c r="B1058" t="n">
        <v>3681.39990234375</v>
      </c>
      <c r="C1058" t="n">
        <v>3698.60009765625</v>
      </c>
      <c r="D1058" t="n">
        <v>3681.39990234375</v>
      </c>
      <c r="E1058" t="n">
        <v>3688.89990234375</v>
      </c>
      <c r="F1058" t="n">
        <v>373</v>
      </c>
    </row>
    <row r="1059">
      <c r="A1059" t="inlineStr">
        <is>
          <t>2025-09-17</t>
        </is>
      </c>
      <c r="B1059" t="n">
        <v>3669</v>
      </c>
      <c r="C1059" t="n">
        <v>3685.199951171875</v>
      </c>
      <c r="D1059" t="n">
        <v>3661.60009765625</v>
      </c>
      <c r="E1059" t="n">
        <v>3681.800048828125</v>
      </c>
      <c r="F1059" t="n">
        <v>183</v>
      </c>
    </row>
    <row r="1060">
      <c r="A1060" t="inlineStr">
        <is>
          <t>2025-09-18</t>
        </is>
      </c>
      <c r="B1060" t="n">
        <v>3654.60009765625</v>
      </c>
      <c r="C1060" t="n">
        <v>3667.39990234375</v>
      </c>
      <c r="D1060" t="n">
        <v>3637</v>
      </c>
      <c r="E1060" t="n">
        <v>3643.699951171875</v>
      </c>
      <c r="F1060" t="n">
        <v>80</v>
      </c>
    </row>
    <row r="1061">
      <c r="A1061" t="inlineStr">
        <is>
          <t>2025-09-19</t>
        </is>
      </c>
      <c r="B1061" t="n">
        <v>3659</v>
      </c>
      <c r="C1061" t="n">
        <v>3685.89990234375</v>
      </c>
      <c r="D1061" t="n">
        <v>3658.199951171875</v>
      </c>
      <c r="E1061" t="n">
        <v>3671.5</v>
      </c>
      <c r="F1061" t="n">
        <v>211</v>
      </c>
    </row>
    <row r="1062">
      <c r="A1062" t="inlineStr">
        <is>
          <t>2025-09-22</t>
        </is>
      </c>
      <c r="B1062" t="n">
        <v>3688.199951171875</v>
      </c>
      <c r="C1062" t="n">
        <v>3748.199951171875</v>
      </c>
      <c r="D1062" t="n">
        <v>3688</v>
      </c>
      <c r="E1062" t="n">
        <v>3740.699951171875</v>
      </c>
      <c r="F1062" t="n">
        <v>410</v>
      </c>
    </row>
    <row r="1063">
      <c r="A1063" t="inlineStr">
        <is>
          <t>2025-09-23</t>
        </is>
      </c>
      <c r="B1063" t="n">
        <v>3747</v>
      </c>
      <c r="C1063" t="n">
        <v>3786</v>
      </c>
      <c r="D1063" t="n">
        <v>3740</v>
      </c>
      <c r="E1063" t="n">
        <v>3780.60009765625</v>
      </c>
      <c r="F1063" t="n">
        <v>627</v>
      </c>
    </row>
    <row r="1064">
      <c r="A1064" t="inlineStr">
        <is>
          <t>2025-09-24</t>
        </is>
      </c>
      <c r="B1064" t="n">
        <v>3769.800048828125</v>
      </c>
      <c r="C1064" t="n">
        <v>3772.5</v>
      </c>
      <c r="D1064" t="n">
        <v>3732.10009765625</v>
      </c>
      <c r="E1064" t="n">
        <v>3732.10009765625</v>
      </c>
      <c r="F1064" t="n">
        <v>588</v>
      </c>
    </row>
    <row r="1065">
      <c r="A1065" t="inlineStr">
        <is>
          <t>2025-09-25</t>
        </is>
      </c>
      <c r="B1065" t="n">
        <v>3742.800048828125</v>
      </c>
      <c r="C1065" t="n">
        <v>3756</v>
      </c>
      <c r="D1065" t="n">
        <v>3724.699951171875</v>
      </c>
      <c r="E1065" t="n">
        <v>3736.89990234375</v>
      </c>
      <c r="F1065" t="n">
        <v>1899</v>
      </c>
    </row>
    <row r="1066">
      <c r="A1066" t="inlineStr">
        <is>
          <t>2025-09-26</t>
        </is>
      </c>
      <c r="B1066" t="n">
        <v>3775.300048828125</v>
      </c>
      <c r="C1066" t="n">
        <v>3775.300048828125</v>
      </c>
      <c r="D1066" t="n">
        <v>3775.300048828125</v>
      </c>
      <c r="E1066" t="n">
        <v>3775.300048828125</v>
      </c>
      <c r="F1066" t="n">
        <v>19308</v>
      </c>
    </row>
    <row r="1067">
      <c r="A1067" t="inlineStr">
        <is>
          <t>2025-09-29</t>
        </is>
      </c>
      <c r="B1067" t="n">
        <v>3754.800048828125</v>
      </c>
      <c r="C1067" t="n">
        <v>3827.60009765625</v>
      </c>
      <c r="D1067" t="n">
        <v>3754.800048828125</v>
      </c>
      <c r="E1067" t="n">
        <v>3820.89990234375</v>
      </c>
      <c r="F1067" t="n">
        <v>8860</v>
      </c>
    </row>
    <row r="1068">
      <c r="A1068" t="inlineStr">
        <is>
          <t>2025-09-30</t>
        </is>
      </c>
      <c r="B1068" t="n">
        <v>3827.5</v>
      </c>
      <c r="C1068" t="n">
        <v>3865.5</v>
      </c>
      <c r="D1068" t="n">
        <v>3793.39990234375</v>
      </c>
      <c r="E1068" t="n">
        <v>3840.800048828125</v>
      </c>
      <c r="F1068" t="n">
        <v>1611</v>
      </c>
    </row>
    <row r="1069">
      <c r="A1069" t="inlineStr">
        <is>
          <t>2025-10-01</t>
        </is>
      </c>
      <c r="B1069" t="n">
        <v>3863.5</v>
      </c>
      <c r="C1069" t="n">
        <v>3891.89990234375</v>
      </c>
      <c r="D1069" t="n">
        <v>3853.300048828125</v>
      </c>
      <c r="E1069" t="n">
        <v>3867.5</v>
      </c>
      <c r="F1069" t="n">
        <v>1778</v>
      </c>
    </row>
    <row r="1070">
      <c r="A1070" t="inlineStr">
        <is>
          <t>2025-10-02</t>
        </is>
      </c>
      <c r="B1070" t="n">
        <v>3856.199951171875</v>
      </c>
      <c r="C1070" t="n">
        <v>3888.60009765625</v>
      </c>
      <c r="D1070" t="n">
        <v>3823.699951171875</v>
      </c>
      <c r="E1070" t="n">
        <v>3839.699951171875</v>
      </c>
      <c r="F1070" t="n">
        <v>3418</v>
      </c>
    </row>
    <row r="1071">
      <c r="A1071" t="inlineStr">
        <is>
          <t>2025-10-03</t>
        </is>
      </c>
      <c r="B1071" t="n">
        <v>3855.199951171875</v>
      </c>
      <c r="C1071" t="n">
        <v>3886.800048828125</v>
      </c>
      <c r="D1071" t="n">
        <v>3853.699951171875</v>
      </c>
      <c r="E1071" t="n">
        <v>3880.800048828125</v>
      </c>
      <c r="F1071" t="n">
        <v>392</v>
      </c>
    </row>
    <row r="1072">
      <c r="A1072" t="inlineStr">
        <is>
          <t>2025-10-06</t>
        </is>
      </c>
      <c r="B1072" t="n">
        <v>3931.300048828125</v>
      </c>
      <c r="C1072" t="n">
        <v>3960</v>
      </c>
      <c r="D1072" t="n">
        <v>3926.800048828125</v>
      </c>
      <c r="E1072" t="n">
        <v>3948.5</v>
      </c>
      <c r="F1072" t="n">
        <v>1267</v>
      </c>
    </row>
    <row r="1073">
      <c r="A1073" t="inlineStr">
        <is>
          <t>2025-10-07</t>
        </is>
      </c>
      <c r="B1073" t="n">
        <v>3959.39990234375</v>
      </c>
      <c r="C1073" t="n">
        <v>3981.5</v>
      </c>
      <c r="D1073" t="n">
        <v>3940</v>
      </c>
      <c r="E1073" t="n">
        <v>3976.60009765625</v>
      </c>
      <c r="F1073" t="n">
        <v>2903</v>
      </c>
    </row>
    <row r="1074">
      <c r="A1074" t="inlineStr">
        <is>
          <t>2025-10-08</t>
        </is>
      </c>
      <c r="B1074" t="n">
        <v>3987.199951171875</v>
      </c>
      <c r="C1074" t="n">
        <v>4049.199951171875</v>
      </c>
      <c r="D1074" t="n">
        <v>3987.199951171875</v>
      </c>
      <c r="E1074" t="n">
        <v>4043.300048828125</v>
      </c>
      <c r="F1074" t="n">
        <v>2179</v>
      </c>
    </row>
    <row r="1075">
      <c r="A1075" t="inlineStr">
        <is>
          <t>2025-10-09</t>
        </is>
      </c>
      <c r="B1075" t="n">
        <v>4011.199951171875</v>
      </c>
      <c r="C1075" t="n">
        <v>4046.199951171875</v>
      </c>
      <c r="D1075" t="n">
        <v>3940</v>
      </c>
      <c r="E1075" t="n">
        <v>3946.300048828125</v>
      </c>
      <c r="F1075" t="n">
        <v>3130</v>
      </c>
    </row>
    <row r="1076">
      <c r="A1076" t="inlineStr">
        <is>
          <t>2025-10-10</t>
        </is>
      </c>
      <c r="B1076" t="n">
        <v>3957</v>
      </c>
      <c r="C1076" t="n">
        <v>4012</v>
      </c>
      <c r="D1076" t="n">
        <v>3945.5</v>
      </c>
      <c r="E1076" t="n">
        <v>3975.89990234375</v>
      </c>
      <c r="F1076" t="n">
        <v>1697</v>
      </c>
    </row>
    <row r="1077">
      <c r="A1077" t="inlineStr">
        <is>
          <t>2025-10-13</t>
        </is>
      </c>
      <c r="B1077" t="n">
        <v>4016</v>
      </c>
      <c r="C1077" t="n">
        <v>4111</v>
      </c>
      <c r="D1077" t="n">
        <v>4016</v>
      </c>
      <c r="E1077" t="n">
        <v>4108.60009765625</v>
      </c>
      <c r="F1077" t="n">
        <v>1697</v>
      </c>
    </row>
    <row r="1078">
      <c r="A1078" t="inlineStr">
        <is>
          <t>2025-10-14</t>
        </is>
      </c>
      <c r="B1078" t="n">
        <v>4131.7001953125</v>
      </c>
      <c r="C1078" t="n">
        <v>4160.10009765625</v>
      </c>
      <c r="D1078" t="n">
        <v>4085.800048828125</v>
      </c>
      <c r="E1078" t="n">
        <v>4138.7001953125</v>
      </c>
      <c r="F1078" t="n">
        <v>2424</v>
      </c>
    </row>
    <row r="1079">
      <c r="A1079" t="inlineStr">
        <is>
          <t>2025-10-15</t>
        </is>
      </c>
      <c r="B1079" t="n">
        <v>4145</v>
      </c>
      <c r="C1079" t="n">
        <v>4210.60009765625</v>
      </c>
      <c r="D1079" t="n">
        <v>4145</v>
      </c>
      <c r="E1079" t="n">
        <v>4176.89990234375</v>
      </c>
      <c r="F1079" t="n">
        <v>3287</v>
      </c>
    </row>
    <row r="1080">
      <c r="A1080" t="inlineStr">
        <is>
          <t>2025-10-16</t>
        </is>
      </c>
      <c r="B1080" t="n">
        <v>4198.7998046875</v>
      </c>
      <c r="C1080" t="n">
        <v>4307</v>
      </c>
      <c r="D1080" t="n">
        <v>4196.60009765625</v>
      </c>
      <c r="E1080" t="n">
        <v>4280.2001953125</v>
      </c>
      <c r="F1080" t="n">
        <v>4705</v>
      </c>
    </row>
    <row r="1081">
      <c r="A1081" t="inlineStr">
        <is>
          <t>2025-10-17</t>
        </is>
      </c>
      <c r="B1081" t="n">
        <v>4354.7001953125</v>
      </c>
      <c r="C1081" t="n">
        <v>4358</v>
      </c>
      <c r="D1081" t="n">
        <v>4182.2001953125</v>
      </c>
      <c r="E1081" t="n">
        <v>4189.89990234375</v>
      </c>
      <c r="F1081" t="n">
        <v>4060</v>
      </c>
    </row>
    <row r="1082">
      <c r="A1082" t="inlineStr">
        <is>
          <t>2025-10-20</t>
        </is>
      </c>
      <c r="B1082" t="n">
        <v>4244.10009765625</v>
      </c>
      <c r="C1082" t="n">
        <v>4356.60009765625</v>
      </c>
      <c r="D1082" t="n">
        <v>4214.60009765625</v>
      </c>
      <c r="E1082" t="n">
        <v>4336.39990234375</v>
      </c>
      <c r="F1082" t="n">
        <v>1750</v>
      </c>
    </row>
    <row r="1083">
      <c r="A1083" t="inlineStr">
        <is>
          <t>2025-10-21</t>
        </is>
      </c>
      <c r="B1083" t="n">
        <v>4332.7001953125</v>
      </c>
      <c r="C1083" t="n">
        <v>4332.7001953125</v>
      </c>
      <c r="D1083" t="n">
        <v>4087.699951171875</v>
      </c>
      <c r="E1083" t="n">
        <v>4087.699951171875</v>
      </c>
      <c r="F1083" t="n">
        <v>2943</v>
      </c>
    </row>
    <row r="1084">
      <c r="A1084" t="inlineStr">
        <is>
          <t>2025-10-22</t>
        </is>
      </c>
      <c r="B1084" t="n">
        <v>4109.7001953125</v>
      </c>
      <c r="C1084" t="n">
        <v>4148.5</v>
      </c>
      <c r="D1084" t="n">
        <v>4006</v>
      </c>
      <c r="E1084" t="n">
        <v>4044.39990234375</v>
      </c>
      <c r="F1084" t="n">
        <v>1237</v>
      </c>
    </row>
    <row r="1085">
      <c r="A1085" t="inlineStr">
        <is>
          <t>2025-10-23</t>
        </is>
      </c>
      <c r="B1085" t="n">
        <v>4078.39990234375</v>
      </c>
      <c r="C1085" t="n">
        <v>4136.7998046875</v>
      </c>
      <c r="D1085" t="n">
        <v>4070.699951171875</v>
      </c>
      <c r="E1085" t="n">
        <v>4125.5</v>
      </c>
      <c r="F1085" t="n">
        <v>354</v>
      </c>
    </row>
    <row r="1086">
      <c r="A1086" t="inlineStr">
        <is>
          <t>2025-10-24</t>
        </is>
      </c>
      <c r="B1086" t="n">
        <v>4117.5</v>
      </c>
      <c r="C1086" t="n">
        <v>4120.60009765625</v>
      </c>
      <c r="D1086" t="n">
        <v>4074.89990234375</v>
      </c>
      <c r="E1086" t="n">
        <v>4118.39990234375</v>
      </c>
      <c r="F1086" t="n">
        <v>123</v>
      </c>
    </row>
    <row r="1087">
      <c r="A1087" t="inlineStr">
        <is>
          <t>2025-10-27</t>
        </is>
      </c>
      <c r="B1087" t="n">
        <v>4060</v>
      </c>
      <c r="C1087" t="n">
        <v>4078.60009765625</v>
      </c>
      <c r="D1087" t="n">
        <v>3971.300048828125</v>
      </c>
      <c r="E1087" t="n">
        <v>4001.89990234375</v>
      </c>
      <c r="F1087" t="n">
        <v>220</v>
      </c>
    </row>
    <row r="1088">
      <c r="A1088" t="inlineStr">
        <is>
          <t>2025-10-28</t>
        </is>
      </c>
      <c r="B1088" t="n">
        <v>3929.699951171875</v>
      </c>
      <c r="C1088" t="n">
        <v>3966.199951171875</v>
      </c>
      <c r="D1088" t="n">
        <v>3923.60009765625</v>
      </c>
      <c r="E1088" t="n">
        <v>3966.199951171875</v>
      </c>
      <c r="F1088" t="n">
        <v>219</v>
      </c>
    </row>
    <row r="1089">
      <c r="A1089" t="inlineStr">
        <is>
          <t>2025-10-29</t>
        </is>
      </c>
      <c r="B1089" t="n">
        <v>3983.699951171875</v>
      </c>
      <c r="C1089" t="n">
        <v>3983.699951171875</v>
      </c>
      <c r="D1089" t="n">
        <v>3983.699951171875</v>
      </c>
      <c r="E1089" t="n">
        <v>3983.699951171875</v>
      </c>
      <c r="F1089" t="n">
        <v>1344</v>
      </c>
    </row>
    <row r="1090">
      <c r="A1090" t="inlineStr">
        <is>
          <t>2025-10-30</t>
        </is>
      </c>
      <c r="B1090" t="n">
        <v>3960</v>
      </c>
      <c r="C1090" t="n">
        <v>4027.199951171875</v>
      </c>
      <c r="D1090" t="n">
        <v>3913.699951171875</v>
      </c>
      <c r="E1090" t="n">
        <v>4001.300048828125</v>
      </c>
      <c r="F1090" t="n">
        <v>935</v>
      </c>
    </row>
    <row r="1091">
      <c r="A1091" t="inlineStr">
        <is>
          <t>2025-10-31</t>
        </is>
      </c>
      <c r="B1091" t="n">
        <v>4034.5</v>
      </c>
      <c r="C1091" t="n">
        <v>4034.5</v>
      </c>
      <c r="D1091" t="n">
        <v>3976.60009765625</v>
      </c>
      <c r="E1091" t="n">
        <v>3982.199951171875</v>
      </c>
      <c r="F1091" t="n">
        <v>559</v>
      </c>
    </row>
    <row r="1092">
      <c r="A1092" t="inlineStr">
        <is>
          <t>2025-11-03</t>
        </is>
      </c>
      <c r="B1092" t="n">
        <v>3976.199951171875</v>
      </c>
      <c r="C1092" t="n">
        <v>4020</v>
      </c>
      <c r="D1092" t="n">
        <v>3959</v>
      </c>
      <c r="E1092" t="n">
        <v>4000.300048828125</v>
      </c>
      <c r="F1092" t="n">
        <v>0</v>
      </c>
    </row>
    <row r="1093">
      <c r="A1093" t="inlineStr">
        <is>
          <t>2025-11-04</t>
        </is>
      </c>
      <c r="B1093" t="n">
        <v>3994.199951171875</v>
      </c>
      <c r="C1093" t="n">
        <v>3995.39990234375</v>
      </c>
      <c r="D1093" t="n">
        <v>3927.39990234375</v>
      </c>
      <c r="E1093" t="n">
        <v>3947.699951171875</v>
      </c>
      <c r="F1093" t="n">
        <v>657</v>
      </c>
    </row>
    <row r="1094">
      <c r="A1094" t="inlineStr">
        <is>
          <t>2025-11-05</t>
        </is>
      </c>
      <c r="B1094" t="n">
        <v>3929.89990234375</v>
      </c>
      <c r="C1094" t="n">
        <v>3983.5</v>
      </c>
      <c r="D1094" t="n">
        <v>3929.89990234375</v>
      </c>
      <c r="E1094" t="n">
        <v>3980.300048828125</v>
      </c>
      <c r="F1094" t="n">
        <v>559</v>
      </c>
    </row>
    <row r="1095">
      <c r="A1095" t="inlineStr">
        <is>
          <t>2025-11-06</t>
        </is>
      </c>
      <c r="B1095" t="n">
        <v>4004</v>
      </c>
      <c r="C1095" t="n">
        <v>4007.5</v>
      </c>
      <c r="D1095" t="n">
        <v>3979.89990234375</v>
      </c>
      <c r="E1095" t="n">
        <v>3979.89990234375</v>
      </c>
      <c r="F1095" t="n">
        <v>650</v>
      </c>
    </row>
    <row r="1096">
      <c r="A1096" t="inlineStr">
        <is>
          <t>2025-11-07</t>
        </is>
      </c>
      <c r="B1096" t="n">
        <v>3980.800048828125</v>
      </c>
      <c r="C1096" t="n">
        <v>3999.39990234375</v>
      </c>
      <c r="D1096" t="n">
        <v>3980.800048828125</v>
      </c>
      <c r="E1096" t="n">
        <v>3999.39990234375</v>
      </c>
      <c r="F1096" t="n">
        <v>245</v>
      </c>
    </row>
    <row r="1097">
      <c r="A1097" t="inlineStr">
        <is>
          <t>2025-11-10</t>
        </is>
      </c>
      <c r="B1097" t="n">
        <v>4060</v>
      </c>
      <c r="C1097" t="n">
        <v>4111.7998046875</v>
      </c>
      <c r="D1097" t="n">
        <v>4060</v>
      </c>
      <c r="E1097" t="n">
        <v>4111.7998046875</v>
      </c>
      <c r="F1097" t="n">
        <v>189</v>
      </c>
    </row>
    <row r="1098">
      <c r="A1098" t="inlineStr">
        <is>
          <t>2025-11-11</t>
        </is>
      </c>
      <c r="B1098" t="n">
        <v>4140.10009765625</v>
      </c>
      <c r="C1098" t="n">
        <v>4140.10009765625</v>
      </c>
      <c r="D1098" t="n">
        <v>4106.7998046875</v>
      </c>
      <c r="E1098" t="n">
        <v>4106.7998046875</v>
      </c>
      <c r="F1098" t="n">
        <v>569</v>
      </c>
    </row>
    <row r="1099">
      <c r="A1099" t="inlineStr">
        <is>
          <t>2025-11-12</t>
        </is>
      </c>
      <c r="B1099" t="n">
        <v>4115.60009765625</v>
      </c>
      <c r="C1099" t="n">
        <v>4204.39990234375</v>
      </c>
      <c r="D1099" t="n">
        <v>4102.89990234375</v>
      </c>
      <c r="E1099" t="n">
        <v>4204.39990234375</v>
      </c>
      <c r="F1099" t="n">
        <v>396</v>
      </c>
    </row>
    <row r="1100">
      <c r="A1100" t="inlineStr">
        <is>
          <t>2025-11-13</t>
        </is>
      </c>
      <c r="B1100" t="n">
        <v>4228.7001953125</v>
      </c>
      <c r="C1100" t="n">
        <v>4228.7001953125</v>
      </c>
      <c r="D1100" t="n">
        <v>4163.7001953125</v>
      </c>
      <c r="E1100" t="n">
        <v>4186.89990234375</v>
      </c>
      <c r="F1100" t="n">
        <v>167</v>
      </c>
    </row>
    <row r="1101">
      <c r="A1101" t="inlineStr">
        <is>
          <t>2025-11-14</t>
        </is>
      </c>
      <c r="B1101" t="n">
        <v>4197.7001953125</v>
      </c>
      <c r="C1101" t="n">
        <v>4197.89990234375</v>
      </c>
      <c r="D1101" t="n">
        <v>4047</v>
      </c>
      <c r="E1101" t="n">
        <v>4087.60009765625</v>
      </c>
      <c r="F1101" t="n">
        <v>483</v>
      </c>
    </row>
    <row r="1102">
      <c r="A1102" t="inlineStr">
        <is>
          <t>2025-11-17</t>
        </is>
      </c>
      <c r="B1102" t="n">
        <v>4070</v>
      </c>
      <c r="C1102" t="n">
        <v>4099.5</v>
      </c>
      <c r="D1102" t="n">
        <v>4019.39990234375</v>
      </c>
      <c r="E1102" t="n">
        <v>4068.300048828125</v>
      </c>
      <c r="F1102" t="n">
        <v>1552</v>
      </c>
    </row>
    <row r="1103">
      <c r="A1103" t="inlineStr">
        <is>
          <t>2025-11-18</t>
        </is>
      </c>
      <c r="B1103" t="n">
        <v>4037.39990234375</v>
      </c>
      <c r="C1103" t="n">
        <v>4063.39990234375</v>
      </c>
      <c r="D1103" t="n">
        <v>4035.60009765625</v>
      </c>
      <c r="E1103" t="n">
        <v>4061.300048828125</v>
      </c>
      <c r="F1103" t="n">
        <v>1375</v>
      </c>
    </row>
    <row r="1104">
      <c r="A1104" t="inlineStr">
        <is>
          <t>2025-11-19</t>
        </is>
      </c>
      <c r="B1104" t="n">
        <v>4086.10009765625</v>
      </c>
      <c r="C1104" t="n">
        <v>4122.7001953125</v>
      </c>
      <c r="D1104" t="n">
        <v>4072</v>
      </c>
      <c r="E1104" t="n">
        <v>4077.699951171875</v>
      </c>
      <c r="F1104" t="n">
        <v>486</v>
      </c>
    </row>
    <row r="1105">
      <c r="A1105" t="inlineStr">
        <is>
          <t>2025-11-20</t>
        </is>
      </c>
      <c r="B1105" t="n">
        <v>4045</v>
      </c>
      <c r="C1105" t="n">
        <v>4090.39990234375</v>
      </c>
      <c r="D1105" t="n">
        <v>4040.199951171875</v>
      </c>
      <c r="E1105" t="n">
        <v>4056.5</v>
      </c>
      <c r="F1105" t="n">
        <v>202</v>
      </c>
    </row>
    <row r="1106">
      <c r="A1106" t="inlineStr">
        <is>
          <t>2025-11-21</t>
        </is>
      </c>
      <c r="B1106" t="n">
        <v>4031.800048828125</v>
      </c>
      <c r="C1106" t="n">
        <v>4085.199951171875</v>
      </c>
      <c r="D1106" t="n">
        <v>4031.800048828125</v>
      </c>
      <c r="E1106" t="n">
        <v>4076.699951171875</v>
      </c>
      <c r="F1106" t="n">
        <v>171</v>
      </c>
    </row>
    <row r="1107">
      <c r="A1107" t="inlineStr">
        <is>
          <t>2025-11-24</t>
        </is>
      </c>
      <c r="B1107" t="n">
        <v>4060.5</v>
      </c>
      <c r="C1107" t="n">
        <v>4091.89990234375</v>
      </c>
      <c r="D1107" t="n">
        <v>4060.5</v>
      </c>
      <c r="E1107" t="n">
        <v>4091.89990234375</v>
      </c>
      <c r="F1107" t="n">
        <v>591</v>
      </c>
    </row>
    <row r="1108">
      <c r="A1108" t="inlineStr">
        <is>
          <t>2025-11-25</t>
        </is>
      </c>
      <c r="B1108" t="n">
        <v>4139.2001953125</v>
      </c>
      <c r="C1108" t="n">
        <v>4139.2001953125</v>
      </c>
      <c r="D1108" t="n">
        <v>4139.2001953125</v>
      </c>
      <c r="E1108" t="n">
        <v>4139.2001953125</v>
      </c>
      <c r="F1108" t="n">
        <v>132704</v>
      </c>
    </row>
    <row r="1109">
      <c r="A1109" t="inlineStr">
        <is>
          <t>2025-11-26</t>
        </is>
      </c>
      <c r="B1109" t="n">
        <v>4128.60009765625</v>
      </c>
      <c r="C1109" t="n">
        <v>4171</v>
      </c>
      <c r="D1109" t="n">
        <v>4127.5</v>
      </c>
      <c r="E1109" t="n">
        <v>4165.2001953125</v>
      </c>
      <c r="F1109" t="n">
        <v>25088</v>
      </c>
    </row>
    <row r="1110">
      <c r="A1110" t="inlineStr">
        <is>
          <t>2025-11-28</t>
        </is>
      </c>
      <c r="B1110" t="n">
        <v>4163.39990234375</v>
      </c>
      <c r="C1110" t="n">
        <v>4223.89990234375</v>
      </c>
      <c r="D1110" t="n">
        <v>4140</v>
      </c>
      <c r="E1110" t="n">
        <v>4218.2998046875</v>
      </c>
      <c r="F1110" t="n">
        <v>3615</v>
      </c>
    </row>
    <row r="1111">
      <c r="A1111" t="inlineStr">
        <is>
          <t>2025-12-01</t>
        </is>
      </c>
      <c r="B1111" t="n">
        <v>4218.5</v>
      </c>
      <c r="C1111" t="n">
        <v>4262.10009765625</v>
      </c>
      <c r="D1111" t="n">
        <v>4214.89990234375</v>
      </c>
      <c r="E1111" t="n">
        <v>4239.2998046875</v>
      </c>
      <c r="F1111" t="n">
        <v>913</v>
      </c>
    </row>
    <row r="1112">
      <c r="A1112" t="inlineStr">
        <is>
          <t>2025-12-02</t>
        </is>
      </c>
      <c r="B1112" t="n">
        <v>4230.5</v>
      </c>
      <c r="C1112" t="n">
        <v>4230.5</v>
      </c>
      <c r="D1112" t="n">
        <v>4167</v>
      </c>
      <c r="E1112" t="n">
        <v>4186.60009765625</v>
      </c>
      <c r="F1112" t="n">
        <v>366</v>
      </c>
    </row>
    <row r="1113">
      <c r="A1113" t="inlineStr">
        <is>
          <t>2025-12-03</t>
        </is>
      </c>
      <c r="B1113" t="n">
        <v>4215.7001953125</v>
      </c>
      <c r="C1113" t="n">
        <v>4234.10009765625</v>
      </c>
      <c r="D1113" t="n">
        <v>4195.7001953125</v>
      </c>
      <c r="E1113" t="n">
        <v>4199.2998046875</v>
      </c>
      <c r="F1113" t="n">
        <v>1897</v>
      </c>
    </row>
    <row r="1114">
      <c r="A1114" t="inlineStr">
        <is>
          <t>2025-12-04</t>
        </is>
      </c>
      <c r="B1114" t="n">
        <v>4211</v>
      </c>
      <c r="C1114" t="n">
        <v>4211.7998046875</v>
      </c>
      <c r="D1114" t="n">
        <v>4175</v>
      </c>
      <c r="E1114" t="n">
        <v>4211.7998046875</v>
      </c>
      <c r="F1114" t="n">
        <v>616</v>
      </c>
    </row>
    <row r="1115">
      <c r="A1115" t="inlineStr">
        <is>
          <t>2025-12-05</t>
        </is>
      </c>
      <c r="B1115" t="n">
        <v>4204.10009765625</v>
      </c>
      <c r="C1115" t="n">
        <v>4255.7001953125</v>
      </c>
      <c r="D1115" t="n">
        <v>4194.5</v>
      </c>
      <c r="E1115" t="n">
        <v>4212.89990234375</v>
      </c>
      <c r="F1115" t="n">
        <v>533</v>
      </c>
    </row>
    <row r="1116">
      <c r="A1116" t="inlineStr">
        <is>
          <t>2025-12-08</t>
        </is>
      </c>
      <c r="B1116" t="n">
        <v>4205.5</v>
      </c>
      <c r="C1116" t="n">
        <v>4215.7998046875</v>
      </c>
      <c r="D1116" t="n">
        <v>4175.5</v>
      </c>
      <c r="E1116" t="n">
        <v>4187.2001953125</v>
      </c>
      <c r="F1116" t="n">
        <v>318</v>
      </c>
    </row>
    <row r="1117">
      <c r="A1117" t="inlineStr">
        <is>
          <t>2025-12-09</t>
        </is>
      </c>
      <c r="B1117" t="n">
        <v>4190.7001953125</v>
      </c>
      <c r="C1117" t="n">
        <v>4219.7001953125</v>
      </c>
      <c r="D1117" t="n">
        <v>4177.7001953125</v>
      </c>
      <c r="E1117" t="n">
        <v>4206.7001953125</v>
      </c>
      <c r="F1117" t="n">
        <v>660</v>
      </c>
    </row>
    <row r="1118">
      <c r="A1118" t="inlineStr">
        <is>
          <t>2025-12-10</t>
        </is>
      </c>
      <c r="B1118" t="n">
        <v>4209</v>
      </c>
      <c r="C1118" t="n">
        <v>4234.5</v>
      </c>
      <c r="D1118" t="n">
        <v>4183.60009765625</v>
      </c>
      <c r="E1118" t="n">
        <v>4196.39990234375</v>
      </c>
      <c r="F1118" t="n">
        <v>692</v>
      </c>
    </row>
    <row r="1119">
      <c r="A1119" t="inlineStr">
        <is>
          <t>2025-12-11</t>
        </is>
      </c>
      <c r="B1119" t="n">
        <v>4224</v>
      </c>
      <c r="C1119" t="n">
        <v>4286.89990234375</v>
      </c>
      <c r="D1119" t="n">
        <v>4214.2998046875</v>
      </c>
      <c r="E1119" t="n">
        <v>4285.5</v>
      </c>
      <c r="F1119" t="n">
        <v>528</v>
      </c>
    </row>
    <row r="1120">
      <c r="A1120" t="inlineStr">
        <is>
          <t>2025-12-12</t>
        </is>
      </c>
      <c r="B1120" t="n">
        <v>4276.39990234375</v>
      </c>
      <c r="C1120" t="n">
        <v>4355</v>
      </c>
      <c r="D1120" t="n">
        <v>4260</v>
      </c>
      <c r="E1120" t="n">
        <v>4300.10009765625</v>
      </c>
      <c r="F1120" t="n">
        <v>1531</v>
      </c>
    </row>
    <row r="1121">
      <c r="A1121" t="inlineStr">
        <is>
          <t>2025-12-15</t>
        </is>
      </c>
      <c r="B1121" t="n">
        <v>4308.2998046875</v>
      </c>
      <c r="C1121" t="n">
        <v>4349.2001953125</v>
      </c>
      <c r="D1121" t="n">
        <v>4292.89990234375</v>
      </c>
      <c r="E1121" t="n">
        <v>4306.7001953125</v>
      </c>
      <c r="F1121" t="n">
        <v>854</v>
      </c>
    </row>
    <row r="1122">
      <c r="A1122" t="inlineStr">
        <is>
          <t>2025-12-16</t>
        </is>
      </c>
      <c r="B1122" t="n">
        <v>4270.5</v>
      </c>
      <c r="C1122" t="n">
        <v>4321.39990234375</v>
      </c>
      <c r="D1122" t="n">
        <v>4270.5</v>
      </c>
      <c r="E1122" t="n">
        <v>4304.5</v>
      </c>
      <c r="F1122" t="n">
        <v>1796</v>
      </c>
    </row>
    <row r="1123">
      <c r="A1123" t="inlineStr">
        <is>
          <t>2025-12-17</t>
        </is>
      </c>
      <c r="B1123" t="n">
        <v>4308.5</v>
      </c>
      <c r="C1123" t="n">
        <v>4351.39990234375</v>
      </c>
      <c r="D1123" t="n">
        <v>4308.5</v>
      </c>
      <c r="E1123" t="n">
        <v>4347.5</v>
      </c>
      <c r="F1123" t="n">
        <v>2169</v>
      </c>
    </row>
    <row r="1124">
      <c r="A1124" t="inlineStr">
        <is>
          <t>2025-12-18</t>
        </is>
      </c>
      <c r="B1124" t="n">
        <v>4331</v>
      </c>
      <c r="C1124" t="n">
        <v>4348.10009765625</v>
      </c>
      <c r="D1124" t="n">
        <v>4328.2001953125</v>
      </c>
      <c r="E1124" t="n">
        <v>4339.5</v>
      </c>
      <c r="F1124" t="n">
        <v>705</v>
      </c>
    </row>
    <row r="1125">
      <c r="A1125" t="inlineStr">
        <is>
          <t>2025-12-19</t>
        </is>
      </c>
      <c r="B1125" t="n">
        <v>4350.10009765625</v>
      </c>
      <c r="C1125" t="n">
        <v>4361.39990234375</v>
      </c>
      <c r="D1125" t="n">
        <v>4350.10009765625</v>
      </c>
      <c r="E1125" t="n">
        <v>4361.39990234375</v>
      </c>
      <c r="F1125" t="n">
        <v>1065</v>
      </c>
    </row>
    <row r="1126">
      <c r="A1126" t="inlineStr">
        <is>
          <t>2025-12-22</t>
        </is>
      </c>
      <c r="B1126" t="n">
        <v>4371.10009765625</v>
      </c>
      <c r="C1126" t="n">
        <v>4447.60009765625</v>
      </c>
      <c r="D1126" t="n">
        <v>4371.10009765625</v>
      </c>
      <c r="E1126" t="n">
        <v>4444.60009765625</v>
      </c>
      <c r="F1126" t="n">
        <v>449</v>
      </c>
    </row>
    <row r="1127">
      <c r="A1127" t="inlineStr">
        <is>
          <t>2025-12-23</t>
        </is>
      </c>
      <c r="B1127" t="n">
        <v>4503.2998046875</v>
      </c>
      <c r="C1127" t="n">
        <v>4503.7998046875</v>
      </c>
      <c r="D1127" t="n">
        <v>4450.39990234375</v>
      </c>
      <c r="E1127" t="n">
        <v>4482.7998046875</v>
      </c>
      <c r="F1127" t="n">
        <v>694</v>
      </c>
    </row>
    <row r="1128">
      <c r="A1128" t="inlineStr">
        <is>
          <t>2025-12-24</t>
        </is>
      </c>
      <c r="B1128" t="n">
        <v>4500.7001953125</v>
      </c>
      <c r="C1128" t="n">
        <v>4503.39990234375</v>
      </c>
      <c r="D1128" t="n">
        <v>4468.39990234375</v>
      </c>
      <c r="E1128" t="n">
        <v>4480.60009765625</v>
      </c>
      <c r="F1128" t="n">
        <v>500</v>
      </c>
    </row>
    <row r="1129">
      <c r="A1129" t="inlineStr">
        <is>
          <t>2025-12-26</t>
        </is>
      </c>
      <c r="B1129" t="n">
        <v>4512</v>
      </c>
      <c r="C1129" t="n">
        <v>4556.2998046875</v>
      </c>
      <c r="D1129" t="n">
        <v>4502</v>
      </c>
      <c r="E1129" t="n">
        <v>4529.10009765625</v>
      </c>
      <c r="F1129" t="n">
        <v>263</v>
      </c>
    </row>
    <row r="1130">
      <c r="A1130" t="inlineStr">
        <is>
          <t>2025-12-29</t>
        </is>
      </c>
      <c r="B1130" t="n">
        <v>4371.5</v>
      </c>
      <c r="C1130" t="n">
        <v>4379</v>
      </c>
      <c r="D1130" t="n">
        <v>4325.10009765625</v>
      </c>
      <c r="E1130" t="n">
        <v>4325.10009765625</v>
      </c>
      <c r="F1130" t="n">
        <v>2044</v>
      </c>
    </row>
    <row r="1131">
      <c r="A1131" t="inlineStr">
        <is>
          <t>2025-12-30</t>
        </is>
      </c>
      <c r="B1131" t="n">
        <v>4346.39990234375</v>
      </c>
      <c r="C1131" t="n">
        <v>4403.60009765625</v>
      </c>
      <c r="D1131" t="n">
        <v>4338</v>
      </c>
      <c r="E1131" t="n">
        <v>4370.10009765625</v>
      </c>
      <c r="F1131" t="n">
        <v>1837</v>
      </c>
    </row>
    <row r="1132">
      <c r="A1132" t="inlineStr">
        <is>
          <t>2025-12-31</t>
        </is>
      </c>
      <c r="B1132" t="n">
        <v>4333.5</v>
      </c>
      <c r="C1132" t="n">
        <v>4363.7998046875</v>
      </c>
      <c r="D1132" t="n">
        <v>4285</v>
      </c>
      <c r="E1132" t="n">
        <v>4325.60009765625</v>
      </c>
      <c r="F1132" t="n">
        <v>785</v>
      </c>
    </row>
    <row r="1133">
      <c r="A1133" t="inlineStr">
        <is>
          <t>2026-01-02</t>
        </is>
      </c>
      <c r="B1133" t="n">
        <v>4350.60009765625</v>
      </c>
      <c r="C1133" t="n">
        <v>4350.60009765625</v>
      </c>
      <c r="D1133" t="n">
        <v>4314.39990234375</v>
      </c>
      <c r="E1133" t="n">
        <v>4314.39990234375</v>
      </c>
      <c r="F1133" t="n">
        <v>589</v>
      </c>
    </row>
    <row r="1134">
      <c r="A1134" t="inlineStr">
        <is>
          <t>2026-01-05</t>
        </is>
      </c>
      <c r="B1134" t="n">
        <v>4386.7001953125</v>
      </c>
      <c r="C1134" t="n">
        <v>4443.5</v>
      </c>
      <c r="D1134" t="n">
        <v>4384.7998046875</v>
      </c>
      <c r="E1134" t="n">
        <v>4436.89990234375</v>
      </c>
      <c r="F1134" t="n">
        <v>618</v>
      </c>
    </row>
    <row r="1135">
      <c r="A1135" t="inlineStr">
        <is>
          <t>2026-01-06</t>
        </is>
      </c>
      <c r="B1135" t="n">
        <v>4449.7001953125</v>
      </c>
      <c r="C1135" t="n">
        <v>4482.2001953125</v>
      </c>
      <c r="D1135" t="n">
        <v>4449</v>
      </c>
      <c r="E1135" t="n">
        <v>4482.2001953125</v>
      </c>
      <c r="F1135" t="n">
        <v>459</v>
      </c>
    </row>
    <row r="1136">
      <c r="A1136" t="inlineStr">
        <is>
          <t>2026-01-07</t>
        </is>
      </c>
      <c r="B1136" t="n">
        <v>4450</v>
      </c>
      <c r="C1136" t="n">
        <v>4450</v>
      </c>
      <c r="D1136" t="n">
        <v>4449.2998046875</v>
      </c>
      <c r="E1136" t="n">
        <v>4449.2998046875</v>
      </c>
      <c r="F1136" t="n">
        <v>972</v>
      </c>
    </row>
    <row r="1137">
      <c r="A1137" t="inlineStr">
        <is>
          <t>2026-01-08</t>
        </is>
      </c>
      <c r="B1137" t="n">
        <v>4460.2001953125</v>
      </c>
      <c r="C1137" t="n">
        <v>4461.2998046875</v>
      </c>
      <c r="D1137" t="n">
        <v>4418</v>
      </c>
      <c r="E1137" t="n">
        <v>4449.7001953125</v>
      </c>
      <c r="F1137" t="n">
        <v>2423</v>
      </c>
    </row>
    <row r="1138">
      <c r="A1138" t="inlineStr">
        <is>
          <t>2026-01-09</t>
        </is>
      </c>
      <c r="B1138" t="n">
        <v>4473</v>
      </c>
      <c r="C1138" t="n">
        <v>4490.2998046875</v>
      </c>
      <c r="D1138" t="n">
        <v>4473</v>
      </c>
      <c r="E1138" t="n">
        <v>4490.2998046875</v>
      </c>
      <c r="F1138" t="n">
        <v>237</v>
      </c>
    </row>
    <row r="1139">
      <c r="A1139" t="inlineStr">
        <is>
          <t>2026-01-12</t>
        </is>
      </c>
      <c r="B1139" t="n">
        <v>4579.10009765625</v>
      </c>
      <c r="C1139" t="n">
        <v>4620</v>
      </c>
      <c r="D1139" t="n">
        <v>4577.7998046875</v>
      </c>
      <c r="E1139" t="n">
        <v>4604.2998046875</v>
      </c>
      <c r="F1139" t="n">
        <v>156</v>
      </c>
    </row>
    <row r="1140">
      <c r="A1140" t="inlineStr">
        <is>
          <t>2026-01-13</t>
        </is>
      </c>
      <c r="B1140" t="n">
        <v>4578.60009765625</v>
      </c>
      <c r="C1140" t="n">
        <v>4617.10009765625</v>
      </c>
      <c r="D1140" t="n">
        <v>4578.60009765625</v>
      </c>
      <c r="E1140" t="n">
        <v>4589.2001953125</v>
      </c>
      <c r="F1140" t="n">
        <v>239</v>
      </c>
    </row>
    <row r="1141">
      <c r="A1141" t="inlineStr">
        <is>
          <t>2026-01-14</t>
        </is>
      </c>
      <c r="B1141" t="n">
        <v>4610.2998046875</v>
      </c>
      <c r="C1141" t="n">
        <v>4635</v>
      </c>
      <c r="D1141" t="n">
        <v>4608.2001953125</v>
      </c>
      <c r="E1141" t="n">
        <v>4626.2998046875</v>
      </c>
      <c r="F1141" t="n">
        <v>1313</v>
      </c>
    </row>
    <row r="1142">
      <c r="A1142" t="inlineStr">
        <is>
          <t>2026-01-15</t>
        </is>
      </c>
      <c r="B1142" t="n">
        <v>4612.89990234375</v>
      </c>
      <c r="C1142" t="n">
        <v>4616.2998046875</v>
      </c>
      <c r="D1142" t="n">
        <v>4612.89990234375</v>
      </c>
      <c r="E1142" t="n">
        <v>4616.2998046875</v>
      </c>
      <c r="F1142" t="n">
        <v>4358</v>
      </c>
    </row>
    <row r="1143">
      <c r="A1143" t="inlineStr">
        <is>
          <t>2026-01-16</t>
        </is>
      </c>
      <c r="B1143" t="n">
        <v>4608</v>
      </c>
      <c r="C1143" t="n">
        <v>4608</v>
      </c>
      <c r="D1143" t="n">
        <v>4588.39990234375</v>
      </c>
      <c r="E1143" t="n">
        <v>4588.39990234375</v>
      </c>
      <c r="F1143" t="n">
        <v>352</v>
      </c>
    </row>
    <row r="1144">
      <c r="A1144" t="inlineStr">
        <is>
          <t>2026-01-20</t>
        </is>
      </c>
      <c r="B1144" t="n">
        <v>4662.2001953125</v>
      </c>
      <c r="C1144" t="n">
        <v>4764</v>
      </c>
      <c r="D1144" t="n">
        <v>4661.7998046875</v>
      </c>
      <c r="E1144" t="n">
        <v>4759.60009765625</v>
      </c>
      <c r="F1144" t="n">
        <v>175</v>
      </c>
    </row>
    <row r="1145">
      <c r="A1145" t="inlineStr">
        <is>
          <t>2026-01-21</t>
        </is>
      </c>
      <c r="B1145" t="n">
        <v>4863.5</v>
      </c>
      <c r="C1145" t="n">
        <v>4872.2998046875</v>
      </c>
      <c r="D1145" t="n">
        <v>4771.5</v>
      </c>
      <c r="E1145" t="n">
        <v>4831.7998046875</v>
      </c>
      <c r="F1145" t="n">
        <v>1706</v>
      </c>
    </row>
    <row r="1146">
      <c r="A1146" t="inlineStr">
        <is>
          <t>2026-01-22</t>
        </is>
      </c>
      <c r="B1146" t="n">
        <v>4791.89990234375</v>
      </c>
      <c r="C1146" t="n">
        <v>4908.7998046875</v>
      </c>
      <c r="D1146" t="n">
        <v>4791.89990234375</v>
      </c>
      <c r="E1146" t="n">
        <v>4908.7998046875</v>
      </c>
      <c r="F1146" t="n">
        <v>1175</v>
      </c>
    </row>
    <row r="1147">
      <c r="A1147" t="inlineStr">
        <is>
          <t>2026-01-23</t>
        </is>
      </c>
      <c r="B1147" t="n">
        <v>4949.60009765625</v>
      </c>
      <c r="C1147" t="n">
        <v>4976.2001953125</v>
      </c>
      <c r="D1147" t="n">
        <v>4936</v>
      </c>
      <c r="E1147" t="n">
        <v>4976.2001953125</v>
      </c>
      <c r="F1147" t="n">
        <v>169</v>
      </c>
    </row>
    <row r="1148">
      <c r="A1148" t="inlineStr">
        <is>
          <t>2026-01-26</t>
        </is>
      </c>
      <c r="B1148" t="n">
        <v>5081.5</v>
      </c>
      <c r="C1148" t="n">
        <v>5095.60009765625</v>
      </c>
      <c r="D1148" t="n">
        <v>5052.2001953125</v>
      </c>
      <c r="E1148" t="n">
        <v>5079.7001953125</v>
      </c>
      <c r="F1148" t="n">
        <v>180</v>
      </c>
    </row>
    <row r="1149">
      <c r="A1149" t="inlineStr">
        <is>
          <t>2026-01-27</t>
        </is>
      </c>
      <c r="B1149" t="n">
        <v>5079.89990234375</v>
      </c>
      <c r="C1149" t="n">
        <v>5079.89990234375</v>
      </c>
      <c r="D1149" t="n">
        <v>5079.89990234375</v>
      </c>
      <c r="E1149" t="n">
        <v>5079.89990234375</v>
      </c>
      <c r="F1149" t="n">
        <v>34</v>
      </c>
    </row>
    <row r="1150">
      <c r="A1150" t="inlineStr">
        <is>
          <t>2026-01-28</t>
        </is>
      </c>
      <c r="B1150" t="n">
        <v>5301.60009765625</v>
      </c>
      <c r="C1150" t="n">
        <v>5301.60009765625</v>
      </c>
      <c r="D1150" t="n">
        <v>5301.60009765625</v>
      </c>
      <c r="E1150" t="n">
        <v>5301.60009765625</v>
      </c>
      <c r="F1150" t="n">
        <v>112054</v>
      </c>
    </row>
    <row r="1151">
      <c r="A1151" t="inlineStr">
        <is>
          <t>2026-01-29</t>
        </is>
      </c>
      <c r="B1151" t="n">
        <v>5415.7001953125</v>
      </c>
      <c r="C1151" t="n">
        <v>5586.2001953125</v>
      </c>
      <c r="D1151" t="n">
        <v>5097.5</v>
      </c>
      <c r="E1151" t="n">
        <v>5318.39990234375</v>
      </c>
      <c r="F1151" t="n">
        <v>23709</v>
      </c>
    </row>
    <row r="1152">
      <c r="A1152" t="inlineStr">
        <is>
          <t>2026-01-30</t>
        </is>
      </c>
      <c r="B1152" t="n">
        <v>5376.39990234375</v>
      </c>
      <c r="C1152" t="n">
        <v>5440.5</v>
      </c>
      <c r="D1152" t="n">
        <v>4700</v>
      </c>
      <c r="E1152" t="n">
        <v>4713.89990234375</v>
      </c>
      <c r="F1152" t="n">
        <v>8374</v>
      </c>
    </row>
    <row r="1153">
      <c r="A1153" t="inlineStr">
        <is>
          <t>2026-02-02</t>
        </is>
      </c>
      <c r="B1153" t="n">
        <v>4807.7001953125</v>
      </c>
      <c r="C1153" t="n">
        <v>4855.7998046875</v>
      </c>
      <c r="D1153" t="n">
        <v>4400</v>
      </c>
      <c r="E1153" t="n">
        <v>4622.5</v>
      </c>
      <c r="F1153" t="n">
        <v>3588</v>
      </c>
    </row>
    <row r="1154">
      <c r="A1154" t="inlineStr">
        <is>
          <t>2026-02-03</t>
        </is>
      </c>
      <c r="B1154" t="n">
        <v>4680</v>
      </c>
      <c r="C1154" t="n">
        <v>4984.60009765625</v>
      </c>
      <c r="D1154" t="n">
        <v>4674.2998046875</v>
      </c>
      <c r="E1154" t="n">
        <v>4903.7001953125</v>
      </c>
      <c r="F1154" t="n">
        <v>1213</v>
      </c>
    </row>
    <row r="1155">
      <c r="A1155" t="inlineStr">
        <is>
          <t>2026-02-04</t>
        </is>
      </c>
      <c r="B1155" t="n">
        <v>4923.2998046875</v>
      </c>
      <c r="C1155" t="n">
        <v>5082.2001953125</v>
      </c>
      <c r="D1155" t="n">
        <v>4897.89990234375</v>
      </c>
      <c r="E1155" t="n">
        <v>4920.39990234375</v>
      </c>
      <c r="F1155" t="n">
        <v>3886</v>
      </c>
    </row>
    <row r="1156">
      <c r="A1156" t="inlineStr">
        <is>
          <t>2026-02-05</t>
        </is>
      </c>
      <c r="B1156" t="n">
        <v>5008.7001953125</v>
      </c>
      <c r="C1156" t="n">
        <v>5012.2998046875</v>
      </c>
      <c r="D1156" t="n">
        <v>4786</v>
      </c>
      <c r="E1156" t="n">
        <v>4861.39990234375</v>
      </c>
      <c r="F1156" t="n">
        <v>793</v>
      </c>
    </row>
    <row r="1157">
      <c r="A1157" t="inlineStr">
        <is>
          <t>2026-02-06</t>
        </is>
      </c>
      <c r="B1157" t="n">
        <v>4762</v>
      </c>
      <c r="C1157" t="n">
        <v>4958.5</v>
      </c>
      <c r="D1157" t="n">
        <v>4655</v>
      </c>
      <c r="E1157" t="n">
        <v>4951.2001953125</v>
      </c>
      <c r="F1157" t="n">
        <v>1386</v>
      </c>
    </row>
    <row r="1158">
      <c r="A1158" t="inlineStr">
        <is>
          <t>2026-02-09</t>
        </is>
      </c>
      <c r="B1158" t="n">
        <v>5017.39990234375</v>
      </c>
      <c r="C1158" t="n">
        <v>5065.7001953125</v>
      </c>
      <c r="D1158" t="n">
        <v>4979.10009765625</v>
      </c>
      <c r="E1158" t="n">
        <v>5050.89990234375</v>
      </c>
      <c r="F1158" t="n">
        <v>170</v>
      </c>
    </row>
    <row r="1159">
      <c r="A1159" t="inlineStr">
        <is>
          <t>2026-02-10</t>
        </is>
      </c>
      <c r="B1159" t="n">
        <v>5013.5</v>
      </c>
      <c r="C1159" t="n">
        <v>5029</v>
      </c>
      <c r="D1159" t="n">
        <v>5002.7001953125</v>
      </c>
      <c r="E1159" t="n">
        <v>5003.7998046875</v>
      </c>
      <c r="F1159" t="n">
        <v>281</v>
      </c>
    </row>
    <row r="1160">
      <c r="A1160" t="inlineStr">
        <is>
          <t>2026-02-11</t>
        </is>
      </c>
      <c r="B1160" t="n">
        <v>5049.89990234375</v>
      </c>
      <c r="C1160" t="n">
        <v>5111.2998046875</v>
      </c>
      <c r="D1160" t="n">
        <v>5041.2998046875</v>
      </c>
      <c r="E1160" t="n">
        <v>5071.60009765625</v>
      </c>
      <c r="F1160" t="n">
        <v>2681</v>
      </c>
    </row>
    <row r="1161">
      <c r="A1161" t="inlineStr">
        <is>
          <t>2026-02-12</t>
        </is>
      </c>
      <c r="B1161" t="n">
        <v>5060.39990234375</v>
      </c>
      <c r="C1161" t="n">
        <v>5078.10009765625</v>
      </c>
      <c r="D1161" t="n">
        <v>4892</v>
      </c>
      <c r="E1161" t="n">
        <v>4923.7001953125</v>
      </c>
      <c r="F1161" t="n">
        <v>484</v>
      </c>
    </row>
    <row r="1162">
      <c r="A1162" t="inlineStr">
        <is>
          <t>2026-02-13</t>
        </is>
      </c>
      <c r="B1162" t="n">
        <v>4953</v>
      </c>
      <c r="C1162" t="n">
        <v>5043.89990234375</v>
      </c>
      <c r="D1162" t="n">
        <v>4946.2001953125</v>
      </c>
      <c r="E1162" t="n">
        <v>5022</v>
      </c>
      <c r="F1162" t="n">
        <v>232</v>
      </c>
    </row>
    <row r="1163">
      <c r="A1163" t="inlineStr">
        <is>
          <t>2026-02-17</t>
        </is>
      </c>
      <c r="B1163" t="n">
        <v>5020</v>
      </c>
      <c r="C1163" t="n">
        <v>5020</v>
      </c>
      <c r="D1163" t="n">
        <v>4847.7998046875</v>
      </c>
      <c r="E1163" t="n">
        <v>4882.89990234375</v>
      </c>
      <c r="F1163" t="n">
        <v>540</v>
      </c>
    </row>
    <row r="1164">
      <c r="A1164" t="inlineStr">
        <is>
          <t>2026-02-18</t>
        </is>
      </c>
      <c r="B1164" t="n">
        <v>4872.2001953125</v>
      </c>
      <c r="C1164" t="n">
        <v>4987</v>
      </c>
      <c r="D1164" t="n">
        <v>4869.5</v>
      </c>
      <c r="E1164" t="n">
        <v>4986.5</v>
      </c>
      <c r="F1164" t="n">
        <v>544</v>
      </c>
    </row>
    <row r="1165">
      <c r="A1165" t="inlineStr">
        <is>
          <t>2026-02-19</t>
        </is>
      </c>
      <c r="B1165" t="n">
        <v>5014.7001953125</v>
      </c>
      <c r="C1165" t="n">
        <v>5014.7001953125</v>
      </c>
      <c r="D1165" t="n">
        <v>4975.89990234375</v>
      </c>
      <c r="E1165" t="n">
        <v>4975.89990234375</v>
      </c>
      <c r="F1165" t="n">
        <v>37</v>
      </c>
    </row>
    <row r="1166">
      <c r="A1166" t="inlineStr">
        <is>
          <t>2026-02-20</t>
        </is>
      </c>
      <c r="B1166" t="n">
        <v>5039.5</v>
      </c>
      <c r="C1166" t="n">
        <v>5072.7001953125</v>
      </c>
      <c r="D1166" t="n">
        <v>5039.5</v>
      </c>
      <c r="E1166" t="n">
        <v>5059.2998046875</v>
      </c>
      <c r="F1166" t="n">
        <v>134</v>
      </c>
    </row>
    <row r="1167">
      <c r="A1167" t="inlineStr">
        <is>
          <t>2026-02-23</t>
        </is>
      </c>
      <c r="B1167" t="n">
        <v>5120.2998046875</v>
      </c>
      <c r="C1167" t="n">
        <v>5211.60009765625</v>
      </c>
      <c r="D1167" t="n">
        <v>5120.2998046875</v>
      </c>
      <c r="E1167" t="n">
        <v>5204.7001953125</v>
      </c>
      <c r="F1167" t="n">
        <v>779</v>
      </c>
    </row>
    <row r="1168">
      <c r="A1168" t="inlineStr">
        <is>
          <t>2026-02-24</t>
        </is>
      </c>
      <c r="B1168" t="n">
        <v>5158.7998046875</v>
      </c>
      <c r="C1168" t="n">
        <v>5159</v>
      </c>
      <c r="D1168" t="n">
        <v>5112.7001953125</v>
      </c>
      <c r="E1168" t="n">
        <v>5155.7998046875</v>
      </c>
      <c r="F1168" t="n">
        <v>88</v>
      </c>
    </row>
    <row r="1169">
      <c r="A1169" t="inlineStr">
        <is>
          <t>2026-02-25</t>
        </is>
      </c>
      <c r="B1169" t="n">
        <v>5166</v>
      </c>
      <c r="C1169" t="n">
        <v>5206.39990234375</v>
      </c>
      <c r="D1169" t="n">
        <v>5166</v>
      </c>
      <c r="E1169" t="n">
        <v>5206.39990234375</v>
      </c>
      <c r="F1169" t="n">
        <v>1772</v>
      </c>
    </row>
    <row r="1170">
      <c r="A1170" t="inlineStr">
        <is>
          <t>2026-02-26</t>
        </is>
      </c>
      <c r="B1170" t="n">
        <v>5177.2001953125</v>
      </c>
      <c r="C1170" t="n">
        <v>5199.2001953125</v>
      </c>
      <c r="D1170" t="n">
        <v>5143.89990234375</v>
      </c>
      <c r="E1170" t="n">
        <v>5176.5</v>
      </c>
      <c r="F1170" t="n">
        <v>1520</v>
      </c>
    </row>
    <row r="1171">
      <c r="A1171" t="inlineStr">
        <is>
          <t>2026-02-27</t>
        </is>
      </c>
      <c r="B1171" t="n">
        <v>5186.7001953125</v>
      </c>
      <c r="C1171" t="n">
        <v>5280</v>
      </c>
      <c r="D1171" t="n">
        <v>5176.7001953125</v>
      </c>
      <c r="E1171" t="n">
        <v>5230.5</v>
      </c>
      <c r="F1171" t="n">
        <v>354</v>
      </c>
    </row>
    <row r="1172">
      <c r="A1172" t="inlineStr">
        <is>
          <t>2026-03-02</t>
        </is>
      </c>
      <c r="B1172" t="n">
        <v>5346.60009765625</v>
      </c>
      <c r="C1172" t="n">
        <v>5405</v>
      </c>
      <c r="D1172" t="n">
        <v>5266.2998046875</v>
      </c>
      <c r="E1172" t="n">
        <v>5294.39990234375</v>
      </c>
      <c r="F1172" t="n">
        <v>72</v>
      </c>
    </row>
    <row r="1173">
      <c r="A1173" t="inlineStr">
        <is>
          <t>2026-03-03</t>
        </is>
      </c>
      <c r="B1173" t="n">
        <v>5298.7001953125</v>
      </c>
      <c r="C1173" t="n">
        <v>5303.7998046875</v>
      </c>
      <c r="D1173" t="n">
        <v>5023</v>
      </c>
      <c r="E1173" t="n">
        <v>5107.39990234375</v>
      </c>
      <c r="F1173" t="n">
        <v>1776</v>
      </c>
    </row>
    <row r="1174">
      <c r="A1174" t="inlineStr">
        <is>
          <t>2026-03-04</t>
        </is>
      </c>
      <c r="B1174" t="n">
        <v>5130.7001953125</v>
      </c>
      <c r="C1174" t="n">
        <v>5180.2001953125</v>
      </c>
      <c r="D1174" t="n">
        <v>5117.2001953125</v>
      </c>
      <c r="E1174" t="n">
        <v>5120.2001953125</v>
      </c>
      <c r="F1174" t="n">
        <v>679</v>
      </c>
    </row>
    <row r="1175">
      <c r="A1175" t="inlineStr">
        <is>
          <t>2026-03-05</t>
        </is>
      </c>
      <c r="B1175" t="n">
        <v>5169.5</v>
      </c>
      <c r="C1175" t="n">
        <v>5169.5</v>
      </c>
      <c r="D1175" t="n">
        <v>5054.7001953125</v>
      </c>
      <c r="E1175" t="n">
        <v>5065.2998046875</v>
      </c>
      <c r="F1175" t="n">
        <v>1701</v>
      </c>
    </row>
    <row r="1176">
      <c r="A1176" t="inlineStr">
        <is>
          <t>2026-03-06</t>
        </is>
      </c>
      <c r="B1176" t="n">
        <v>5121</v>
      </c>
      <c r="C1176" t="n">
        <v>5146.10009765625</v>
      </c>
      <c r="D1176" t="n">
        <v>5076.10009765625</v>
      </c>
      <c r="E1176" t="n">
        <v>5146.10009765625</v>
      </c>
      <c r="F1176" t="n">
        <v>148</v>
      </c>
    </row>
    <row r="1177">
      <c r="A1177" t="inlineStr">
        <is>
          <t>2026-03-09</t>
        </is>
      </c>
      <c r="B1177" t="n">
        <v>5155</v>
      </c>
      <c r="C1177" t="n">
        <v>5160.60009765625</v>
      </c>
      <c r="D1177" t="n">
        <v>5077.7001953125</v>
      </c>
      <c r="E1177" t="n">
        <v>5091.5</v>
      </c>
      <c r="F1177" t="n">
        <v>639</v>
      </c>
    </row>
    <row r="1178">
      <c r="A1178" t="inlineStr">
        <is>
          <t>2026-03-10</t>
        </is>
      </c>
      <c r="B1178" t="n">
        <v>5138.2001953125</v>
      </c>
      <c r="C1178" t="n">
        <v>5229.7001953125</v>
      </c>
      <c r="D1178" t="n">
        <v>5137.60009765625</v>
      </c>
      <c r="E1178" t="n">
        <v>5229.7001953125</v>
      </c>
      <c r="F1178" t="n">
        <v>4300</v>
      </c>
    </row>
    <row r="1179">
      <c r="A1179" t="inlineStr">
        <is>
          <t>2026-03-11</t>
        </is>
      </c>
      <c r="B1179" t="n">
        <v>5190.7998046875</v>
      </c>
      <c r="C1179" t="n">
        <v>5191.2998046875</v>
      </c>
      <c r="D1179" t="n">
        <v>5167.39990234375</v>
      </c>
      <c r="E1179" t="n">
        <v>5167.39990234375</v>
      </c>
      <c r="F1179" t="n">
        <v>633</v>
      </c>
    </row>
    <row r="1180">
      <c r="A1180" t="inlineStr">
        <is>
          <t>2026-03-12</t>
        </is>
      </c>
      <c r="B1180" t="n">
        <v>5137.2001953125</v>
      </c>
      <c r="C1180" t="n">
        <v>5137.2001953125</v>
      </c>
      <c r="D1180" t="n">
        <v>5115.7998046875</v>
      </c>
      <c r="E1180" t="n">
        <v>5115.7998046875</v>
      </c>
      <c r="F1180" t="n">
        <v>410</v>
      </c>
    </row>
    <row r="1181">
      <c r="A1181" t="inlineStr">
        <is>
          <t>2026-03-13</t>
        </is>
      </c>
      <c r="B1181" t="n">
        <v>5089.60009765625</v>
      </c>
      <c r="C1181" t="n">
        <v>5117</v>
      </c>
      <c r="D1181" t="n">
        <v>5009.5</v>
      </c>
      <c r="E1181" t="n">
        <v>5052.5</v>
      </c>
      <c r="F1181" t="n">
        <v>479</v>
      </c>
    </row>
    <row r="1182">
      <c r="A1182" t="inlineStr">
        <is>
          <t>2026-03-16</t>
        </is>
      </c>
      <c r="B1182" t="n">
        <v>5001.60009765625</v>
      </c>
      <c r="C1182" t="n">
        <v>5010.60009765625</v>
      </c>
      <c r="D1182" t="n">
        <v>4994</v>
      </c>
      <c r="E1182" t="n">
        <v>4994</v>
      </c>
      <c r="F1182" t="n">
        <v>130</v>
      </c>
    </row>
    <row r="1183">
      <c r="A1183" t="inlineStr">
        <is>
          <t>2026-03-17</t>
        </is>
      </c>
      <c r="B1183" t="n">
        <v>5017.60009765625</v>
      </c>
      <c r="C1183" t="n">
        <v>5017.60009765625</v>
      </c>
      <c r="D1183" t="n">
        <v>4994.2001953125</v>
      </c>
      <c r="E1183" t="n">
        <v>5001</v>
      </c>
      <c r="F1183" t="n">
        <v>239</v>
      </c>
    </row>
    <row r="1184">
      <c r="A1184" t="inlineStr">
        <is>
          <t>2026-03-18</t>
        </is>
      </c>
      <c r="B1184" t="n">
        <v>4949.60009765625</v>
      </c>
      <c r="C1184" t="n">
        <v>4949.60009765625</v>
      </c>
      <c r="D1184" t="n">
        <v>4821.7001953125</v>
      </c>
      <c r="E1184" t="n">
        <v>4889.89990234375</v>
      </c>
      <c r="F1184" t="n">
        <v>1461</v>
      </c>
    </row>
    <row r="1185">
      <c r="A1185" t="inlineStr">
        <is>
          <t>2026-03-19</t>
        </is>
      </c>
      <c r="B1185" t="n">
        <v>4830.2998046875</v>
      </c>
      <c r="C1185" t="n">
        <v>4830.2998046875</v>
      </c>
      <c r="D1185" t="n">
        <v>4554</v>
      </c>
      <c r="E1185" t="n">
        <v>4600.7001953125</v>
      </c>
      <c r="F1185" t="n">
        <v>627</v>
      </c>
    </row>
    <row r="1186">
      <c r="A1186" t="inlineStr">
        <is>
          <t>2026-03-20</t>
        </is>
      </c>
      <c r="B1186" t="n">
        <v>4686.89990234375</v>
      </c>
      <c r="C1186" t="n">
        <v>4686.89990234375</v>
      </c>
      <c r="D1186" t="n">
        <v>4570.39990234375</v>
      </c>
      <c r="E1186" t="n">
        <v>4570.39990234375</v>
      </c>
      <c r="F1186" t="n">
        <v>235</v>
      </c>
    </row>
    <row r="1187">
      <c r="A1187" t="inlineStr">
        <is>
          <t>2026-03-23</t>
        </is>
      </c>
      <c r="B1187" t="n">
        <v>4353</v>
      </c>
      <c r="C1187" t="n">
        <v>4480.39990234375</v>
      </c>
      <c r="D1187" t="n">
        <v>4100.7998046875</v>
      </c>
      <c r="E1187" t="n">
        <v>4404.10009765625</v>
      </c>
      <c r="F1187" t="n">
        <v>544</v>
      </c>
    </row>
    <row r="1188">
      <c r="A1188" t="inlineStr">
        <is>
          <t>2026-03-24</t>
        </is>
      </c>
      <c r="B1188" t="n">
        <v>4338.7001953125</v>
      </c>
      <c r="C1188" t="n">
        <v>4399.2998046875</v>
      </c>
      <c r="D1188" t="n">
        <v>4325.2001953125</v>
      </c>
      <c r="E1188" t="n">
        <v>4399.2998046875</v>
      </c>
      <c r="F1188" t="n">
        <v>378</v>
      </c>
    </row>
    <row r="1189">
      <c r="A1189" t="inlineStr">
        <is>
          <t>2026-03-25</t>
        </is>
      </c>
      <c r="B1189" t="n">
        <v>4549</v>
      </c>
      <c r="C1189" t="n">
        <v>4551.89990234375</v>
      </c>
      <c r="D1189" t="n">
        <v>4541.7998046875</v>
      </c>
      <c r="E1189" t="n">
        <v>4549.7998046875</v>
      </c>
      <c r="F1189" t="n">
        <v>388</v>
      </c>
    </row>
    <row r="1190">
      <c r="A1190" t="inlineStr">
        <is>
          <t>2026-03-26</t>
        </is>
      </c>
      <c r="B1190" t="n">
        <v>4441.5</v>
      </c>
      <c r="C1190" t="n">
        <v>4443.10009765625</v>
      </c>
      <c r="D1190" t="n">
        <v>4375.5</v>
      </c>
      <c r="E1190" t="n">
        <v>4375.5</v>
      </c>
      <c r="F1190" t="n">
        <v>1070</v>
      </c>
    </row>
    <row r="1191">
      <c r="A1191" t="inlineStr">
        <is>
          <t>2026-03-27</t>
        </is>
      </c>
      <c r="B1191" t="n">
        <v>4492</v>
      </c>
      <c r="C1191" t="n">
        <v>4492</v>
      </c>
      <c r="D1191" t="n">
        <v>4492</v>
      </c>
      <c r="E1191" t="n">
        <v>4492</v>
      </c>
      <c r="F1191" t="n">
        <v>74348</v>
      </c>
    </row>
    <row r="1192">
      <c r="A1192" t="inlineStr">
        <is>
          <t>2026-03-30</t>
        </is>
      </c>
      <c r="B1192" t="n">
        <v>4482.7998046875</v>
      </c>
      <c r="C1192" t="n">
        <v>4579.10009765625</v>
      </c>
      <c r="D1192" t="n">
        <v>4413.39990234375</v>
      </c>
      <c r="E1192" t="n">
        <v>4526</v>
      </c>
      <c r="F1192" t="n">
        <v>10816</v>
      </c>
    </row>
    <row r="1193">
      <c r="A1193" t="inlineStr">
        <is>
          <t>2026-03-31</t>
        </is>
      </c>
      <c r="B1193" t="n">
        <v>4510</v>
      </c>
      <c r="C1193" t="n">
        <v>4684.10009765625</v>
      </c>
      <c r="D1193" t="n">
        <v>4508.60009765625</v>
      </c>
      <c r="E1193" t="n">
        <v>4647.60009765625</v>
      </c>
      <c r="F1193" t="n">
        <v>4264</v>
      </c>
    </row>
    <row r="1194">
      <c r="A1194" t="inlineStr">
        <is>
          <t>2026-04-01</t>
        </is>
      </c>
      <c r="B1194" t="n">
        <v>4668.39990234375</v>
      </c>
      <c r="C1194" t="n">
        <v>4789.10009765625</v>
      </c>
      <c r="D1194" t="n">
        <v>4668</v>
      </c>
      <c r="E1194" t="n">
        <v>4783.2001953125</v>
      </c>
      <c r="F1194" t="n">
        <v>1637</v>
      </c>
    </row>
    <row r="1195">
      <c r="A1195" t="inlineStr">
        <is>
          <t>2026-04-02</t>
        </is>
      </c>
      <c r="B1195" t="n">
        <v>4764.89990234375</v>
      </c>
      <c r="C1195" t="n">
        <v>4784.39990234375</v>
      </c>
      <c r="D1195" t="n">
        <v>4558.89990234375</v>
      </c>
      <c r="E1195" t="n">
        <v>4651.5</v>
      </c>
      <c r="F1195" t="n">
        <v>0</v>
      </c>
    </row>
    <row r="1196">
      <c r="A1196" t="inlineStr">
        <is>
          <t>2026-04-06</t>
        </is>
      </c>
      <c r="B1196" t="n">
        <v>4656.10009765625</v>
      </c>
      <c r="C1196" t="n">
        <v>4689.60009765625</v>
      </c>
      <c r="D1196" t="n">
        <v>4605</v>
      </c>
      <c r="E1196" t="n">
        <v>4656.7998046875</v>
      </c>
      <c r="F1196" t="n">
        <v>148</v>
      </c>
    </row>
    <row r="1197">
      <c r="A1197" t="inlineStr">
        <is>
          <t>2026-04-07</t>
        </is>
      </c>
      <c r="B1197" t="n">
        <v>4624.89990234375</v>
      </c>
      <c r="C1197" t="n">
        <v>4676.2998046875</v>
      </c>
      <c r="D1197" t="n">
        <v>4608</v>
      </c>
      <c r="E1197" t="n">
        <v>4657.10009765625</v>
      </c>
      <c r="F1197" t="n">
        <v>327</v>
      </c>
    </row>
    <row r="1198">
      <c r="A1198" t="inlineStr">
        <is>
          <t>2026-04-08</t>
        </is>
      </c>
      <c r="B1198" t="n">
        <v>4760</v>
      </c>
      <c r="C1198" t="n">
        <v>4851</v>
      </c>
      <c r="D1198" t="n">
        <v>4738.7998046875</v>
      </c>
      <c r="E1198" t="n">
        <v>4749.5</v>
      </c>
      <c r="F1198" t="n">
        <v>405</v>
      </c>
    </row>
    <row r="1199">
      <c r="A1199" t="inlineStr">
        <is>
          <t>2026-04-09</t>
        </is>
      </c>
      <c r="B1199" t="n">
        <v>4711</v>
      </c>
      <c r="C1199" t="n">
        <v>4799.10009765625</v>
      </c>
      <c r="D1199" t="n">
        <v>4711</v>
      </c>
      <c r="E1199" t="n">
        <v>4792.2001953125</v>
      </c>
      <c r="F1199" t="n">
        <v>1277</v>
      </c>
    </row>
    <row r="1200">
      <c r="A1200" t="inlineStr">
        <is>
          <t>2026-04-10</t>
        </is>
      </c>
      <c r="B1200" t="n">
        <v>4745.89990234375</v>
      </c>
      <c r="C1200" t="n">
        <v>4791</v>
      </c>
      <c r="D1200" t="n">
        <v>4744.89990234375</v>
      </c>
      <c r="E1200" t="n">
        <v>4761.89990234375</v>
      </c>
      <c r="F1200" t="n">
        <v>812</v>
      </c>
    </row>
    <row r="1201">
      <c r="A1201" t="inlineStr">
        <is>
          <t>2026-04-13</t>
        </is>
      </c>
      <c r="B1201" t="n">
        <v>4704</v>
      </c>
      <c r="C1201" t="n">
        <v>4742.39990234375</v>
      </c>
      <c r="D1201" t="n">
        <v>4704</v>
      </c>
      <c r="E1201" t="n">
        <v>4742.39990234375</v>
      </c>
      <c r="F1201" t="n">
        <v>32</v>
      </c>
    </row>
    <row r="1202">
      <c r="A1202" t="inlineStr">
        <is>
          <t>2026-04-14</t>
        </is>
      </c>
      <c r="B1202" t="n">
        <v>4770.10009765625</v>
      </c>
      <c r="C1202" t="n">
        <v>4841.60009765625</v>
      </c>
      <c r="D1202" t="n">
        <v>4770.10009765625</v>
      </c>
      <c r="E1202" t="n">
        <v>4825</v>
      </c>
      <c r="F1202" t="n">
        <v>288</v>
      </c>
    </row>
    <row r="1203">
      <c r="A1203" t="inlineStr">
        <is>
          <t>2026-04-15</t>
        </is>
      </c>
      <c r="B1203" t="n">
        <v>4843.60009765625</v>
      </c>
      <c r="C1203" t="n">
        <v>4843.60009765625</v>
      </c>
      <c r="D1203" t="n">
        <v>4798</v>
      </c>
      <c r="E1203" t="n">
        <v>4800</v>
      </c>
      <c r="F1203" t="n">
        <v>182</v>
      </c>
    </row>
    <row r="1204">
      <c r="A1204" t="inlineStr">
        <is>
          <t>2026-04-16</t>
        </is>
      </c>
      <c r="B1204" t="n">
        <v>4810.89990234375</v>
      </c>
      <c r="C1204" t="n">
        <v>4810.89990234375</v>
      </c>
      <c r="D1204" t="n">
        <v>4785.39990234375</v>
      </c>
      <c r="E1204" t="n">
        <v>4785.39990234375</v>
      </c>
      <c r="F1204" t="n">
        <v>805</v>
      </c>
    </row>
    <row r="1205">
      <c r="A1205" t="inlineStr">
        <is>
          <t>2026-04-17</t>
        </is>
      </c>
      <c r="B1205" t="n">
        <v>4771.60009765625</v>
      </c>
      <c r="C1205" t="n">
        <v>4879.7001953125</v>
      </c>
      <c r="D1205" t="n">
        <v>4767.2001953125</v>
      </c>
      <c r="E1205" t="n">
        <v>4857.60009765625</v>
      </c>
      <c r="F1205" t="n">
        <v>1902</v>
      </c>
    </row>
    <row r="1206">
      <c r="A1206" t="inlineStr">
        <is>
          <t>2026-04-20</t>
        </is>
      </c>
      <c r="B1206" t="n">
        <v>4793.89990234375</v>
      </c>
      <c r="C1206" t="n">
        <v>4811</v>
      </c>
      <c r="D1206" t="n">
        <v>4770</v>
      </c>
      <c r="E1206" t="n">
        <v>4806.60009765625</v>
      </c>
      <c r="F1206" t="n">
        <v>724</v>
      </c>
    </row>
    <row r="1207">
      <c r="A1207" t="inlineStr">
        <is>
          <t>2026-04-21</t>
        </is>
      </c>
      <c r="B1207" t="n">
        <v>4698.39990234375</v>
      </c>
      <c r="C1207" t="n">
        <v>4705</v>
      </c>
      <c r="D1207" t="n">
        <v>4676.39990234375</v>
      </c>
      <c r="E1207" t="n">
        <v>4698.39990234375</v>
      </c>
      <c r="F1207" t="n">
        <v>1197</v>
      </c>
    </row>
    <row r="1208">
      <c r="A1208" t="inlineStr">
        <is>
          <t>2026-04-22</t>
        </is>
      </c>
      <c r="B1208" t="n">
        <v>4754.2001953125</v>
      </c>
      <c r="C1208" t="n">
        <v>4754.2001953125</v>
      </c>
      <c r="D1208" t="n">
        <v>4732.5</v>
      </c>
      <c r="E1208" t="n">
        <v>4732.5</v>
      </c>
      <c r="F1208" t="n">
        <v>765</v>
      </c>
    </row>
    <row r="1209">
      <c r="A1209" t="inlineStr">
        <is>
          <t>2026-04-23</t>
        </is>
      </c>
      <c r="B1209" t="n">
        <v>4711.5</v>
      </c>
      <c r="C1209" t="n">
        <v>4732.39990234375</v>
      </c>
      <c r="D1209" t="n">
        <v>4705.10009765625</v>
      </c>
      <c r="E1209" t="n">
        <v>4705.10009765625</v>
      </c>
      <c r="F1209" t="n">
        <v>292</v>
      </c>
    </row>
    <row r="1210">
      <c r="A1210" t="inlineStr">
        <is>
          <t>2026-04-24</t>
        </is>
      </c>
      <c r="B1210" t="n">
        <v>4695</v>
      </c>
      <c r="C1210" t="n">
        <v>4722.2998046875</v>
      </c>
      <c r="D1210" t="n">
        <v>4657.5</v>
      </c>
      <c r="E1210" t="n">
        <v>4722.2998046875</v>
      </c>
      <c r="F1210" t="n">
        <v>45</v>
      </c>
    </row>
    <row r="1211">
      <c r="A1211" t="inlineStr">
        <is>
          <t>2026-04-27</t>
        </is>
      </c>
      <c r="B1211" t="n">
        <v>4707.60009765625</v>
      </c>
      <c r="C1211" t="n">
        <v>4711.10009765625</v>
      </c>
      <c r="D1211" t="n">
        <v>4675.39990234375</v>
      </c>
      <c r="E1211" t="n">
        <v>4675.39990234375</v>
      </c>
      <c r="F1211" t="n">
        <v>538</v>
      </c>
    </row>
    <row r="1212">
      <c r="A1212" t="inlineStr">
        <is>
          <t>2026-04-28</t>
        </is>
      </c>
      <c r="B1212" t="n">
        <v>4680.89990234375</v>
      </c>
      <c r="C1212" t="n">
        <v>4680.89990234375</v>
      </c>
      <c r="D1212" t="n">
        <v>4591.5</v>
      </c>
      <c r="E1212" t="n">
        <v>4591.5</v>
      </c>
      <c r="F1212" t="n">
        <v>2660</v>
      </c>
    </row>
    <row r="1213">
      <c r="A1213" t="inlineStr">
        <is>
          <t>2026-04-29</t>
        </is>
      </c>
      <c r="B1213" t="n">
        <v>4598.60009765625</v>
      </c>
      <c r="C1213" t="n">
        <v>4601.60009765625</v>
      </c>
      <c r="D1213" t="n">
        <v>4515.7001953125</v>
      </c>
      <c r="E1213" t="n">
        <v>4545.2001953125</v>
      </c>
      <c r="F1213" t="n">
        <v>507</v>
      </c>
    </row>
    <row r="1214">
      <c r="A1214" t="inlineStr">
        <is>
          <t>2026-04-30</t>
        </is>
      </c>
      <c r="B1214" t="n">
        <v>4561.89990234375</v>
      </c>
      <c r="C1214" t="n">
        <v>4636.7001953125</v>
      </c>
      <c r="D1214" t="n">
        <v>4561.89990234375</v>
      </c>
      <c r="E1214" t="n">
        <v>4614.7001953125</v>
      </c>
      <c r="F1214" t="n">
        <v>77</v>
      </c>
    </row>
    <row r="1215">
      <c r="A1215" t="inlineStr">
        <is>
          <t>2026-05-01</t>
        </is>
      </c>
      <c r="B1215" t="n">
        <v>4636.7001953125</v>
      </c>
      <c r="C1215" t="n">
        <v>4636.7001953125</v>
      </c>
      <c r="D1215" t="n">
        <v>4581.7001953125</v>
      </c>
      <c r="E1215" t="n">
        <v>4629.89990234375</v>
      </c>
      <c r="F1215" t="n">
        <v>113</v>
      </c>
    </row>
    <row r="1216">
      <c r="A1216" t="inlineStr">
        <is>
          <t>2026-05-04</t>
        </is>
      </c>
      <c r="B1216" t="n">
        <v>4581.2001953125</v>
      </c>
      <c r="C1216" t="n">
        <v>4581.2001953125</v>
      </c>
      <c r="D1216" t="n">
        <v>4512.7001953125</v>
      </c>
      <c r="E1216" t="n">
        <v>4519.5</v>
      </c>
      <c r="F1216" t="n">
        <v>20</v>
      </c>
    </row>
    <row r="1217">
      <c r="A1217" t="inlineStr">
        <is>
          <t>2026-05-05</t>
        </is>
      </c>
      <c r="B1217" t="n">
        <v>4547.60009765625</v>
      </c>
      <c r="C1217" t="n">
        <v>4580.5</v>
      </c>
      <c r="D1217" t="n">
        <v>4547.60009765625</v>
      </c>
      <c r="E1217" t="n">
        <v>4555.7998046875</v>
      </c>
      <c r="F1217" t="n">
        <v>426</v>
      </c>
    </row>
    <row r="1218">
      <c r="A1218" t="inlineStr">
        <is>
          <t>2026-05-06</t>
        </is>
      </c>
      <c r="B1218" t="n">
        <v>4663.60009765625</v>
      </c>
      <c r="C1218" t="n">
        <v>4712.60009765625</v>
      </c>
      <c r="D1218" t="n">
        <v>4663.60009765625</v>
      </c>
      <c r="E1218" t="n">
        <v>4681.89990234375</v>
      </c>
      <c r="F1218" t="n">
        <v>212</v>
      </c>
    </row>
    <row r="1219">
      <c r="A1219" t="inlineStr">
        <is>
          <t>2026-05-07</t>
        </is>
      </c>
      <c r="B1219" t="n">
        <v>4704.7998046875</v>
      </c>
      <c r="C1219" t="n">
        <v>4736.2001953125</v>
      </c>
      <c r="D1219" t="n">
        <v>4699.7998046875</v>
      </c>
      <c r="E1219" t="n">
        <v>4699.7998046875</v>
      </c>
      <c r="F1219" t="n">
        <v>254</v>
      </c>
    </row>
    <row r="1220">
      <c r="A1220" t="inlineStr">
        <is>
          <t>2026-05-08</t>
        </is>
      </c>
      <c r="B1220" t="n">
        <v>4714.39990234375</v>
      </c>
      <c r="C1220" t="n">
        <v>4724.7998046875</v>
      </c>
      <c r="D1220" t="n">
        <v>4713.60009765625</v>
      </c>
      <c r="E1220" t="n">
        <v>4720.39990234375</v>
      </c>
      <c r="F1220" t="n">
        <v>120</v>
      </c>
    </row>
    <row r="1221">
      <c r="A1221" t="inlineStr">
        <is>
          <t>2026-05-11</t>
        </is>
      </c>
      <c r="B1221" t="n">
        <v>4729.5</v>
      </c>
      <c r="C1221" t="n">
        <v>4729.5</v>
      </c>
      <c r="D1221" t="n">
        <v>4718.7001953125</v>
      </c>
      <c r="E1221" t="n">
        <v>4718.7001953125</v>
      </c>
      <c r="F1221" t="n">
        <v>36</v>
      </c>
    </row>
    <row r="1222">
      <c r="A1222" t="inlineStr">
        <is>
          <t>2026-05-12</t>
        </is>
      </c>
      <c r="B1222" t="n">
        <v>4762.2001953125</v>
      </c>
      <c r="C1222" t="n">
        <v>4765.2001953125</v>
      </c>
      <c r="D1222" t="n">
        <v>4677.60009765625</v>
      </c>
      <c r="E1222" t="n">
        <v>4677.60009765625</v>
      </c>
      <c r="F1222" t="n">
        <v>93</v>
      </c>
    </row>
    <row r="1223">
      <c r="A1223" t="inlineStr">
        <is>
          <t>2026-05-13</t>
        </is>
      </c>
      <c r="B1223" t="n">
        <v>4722.7001953125</v>
      </c>
      <c r="C1223" t="n">
        <v>4722.7001953125</v>
      </c>
      <c r="D1223" t="n">
        <v>4679.5</v>
      </c>
      <c r="E1223" t="n">
        <v>4697.7001953125</v>
      </c>
      <c r="F1223" t="n">
        <v>228</v>
      </c>
    </row>
    <row r="1224">
      <c r="A1224" t="inlineStr">
        <is>
          <t>2026-05-14</t>
        </is>
      </c>
      <c r="B1224" t="n">
        <v>4678.10009765625</v>
      </c>
      <c r="C1224" t="n">
        <v>4678.10009765625</v>
      </c>
      <c r="D1224" t="n">
        <v>4650.2998046875</v>
      </c>
      <c r="E1224" t="n">
        <v>4678.10009765625</v>
      </c>
      <c r="F1224" t="n">
        <v>5</v>
      </c>
    </row>
    <row r="1225">
      <c r="A1225" t="inlineStr">
        <is>
          <t>2026-05-15</t>
        </is>
      </c>
      <c r="B1225" t="n">
        <v>4615.2001953125</v>
      </c>
      <c r="C1225" t="n">
        <v>4615.2001953125</v>
      </c>
      <c r="D1225" t="n">
        <v>4524.2998046875</v>
      </c>
      <c r="E1225" t="n">
        <v>4555.7998046875</v>
      </c>
      <c r="F1225" t="n">
        <v>607</v>
      </c>
    </row>
    <row r="1226">
      <c r="A1226" t="inlineStr">
        <is>
          <t>2026-05-18</t>
        </is>
      </c>
      <c r="B1226" t="n">
        <v>4563</v>
      </c>
      <c r="C1226" t="n">
        <v>4570.2998046875</v>
      </c>
      <c r="D1226" t="n">
        <v>4538.7001953125</v>
      </c>
      <c r="E1226" t="n">
        <v>4552.5</v>
      </c>
      <c r="F1226" t="n">
        <v>38</v>
      </c>
    </row>
    <row r="1227">
      <c r="A1227" t="inlineStr">
        <is>
          <t>2026-05-19</t>
        </is>
      </c>
      <c r="B1227" t="n">
        <v>4551.7001953125</v>
      </c>
      <c r="C1227" t="n">
        <v>4552.60009765625</v>
      </c>
      <c r="D1227" t="n">
        <v>4506.2001953125</v>
      </c>
      <c r="E1227" t="n">
        <v>4506.2998046875</v>
      </c>
      <c r="F1227" t="n">
        <v>875</v>
      </c>
    </row>
    <row r="1228">
      <c r="A1228" t="inlineStr">
        <is>
          <t>2026-05-20</t>
        </is>
      </c>
      <c r="B1228" t="n">
        <v>4502.60009765625</v>
      </c>
      <c r="C1228" t="n">
        <v>4531.2998046875</v>
      </c>
      <c r="D1228" t="n">
        <v>4465.10009765625</v>
      </c>
      <c r="E1228" t="n">
        <v>4531.2998046875</v>
      </c>
      <c r="F1228" t="n">
        <v>981</v>
      </c>
    </row>
    <row r="1229">
      <c r="A1229" t="inlineStr">
        <is>
          <t>2026-05-21</t>
        </is>
      </c>
      <c r="B1229" t="n">
        <v>4507.2001953125</v>
      </c>
      <c r="C1229" t="n">
        <v>4539.7998046875</v>
      </c>
      <c r="D1229" t="n">
        <v>4503.7998046875</v>
      </c>
      <c r="E1229" t="n">
        <v>4539.7998046875</v>
      </c>
      <c r="F1229" t="n">
        <v>426</v>
      </c>
    </row>
    <row r="1230">
      <c r="A1230" t="inlineStr">
        <is>
          <t>2026-05-22</t>
        </is>
      </c>
      <c r="B1230" t="n">
        <v>4519.5</v>
      </c>
      <c r="C1230" t="n">
        <v>4530.2998046875</v>
      </c>
      <c r="D1230" t="n">
        <v>4519.10009765625</v>
      </c>
      <c r="E1230" t="n">
        <v>4521</v>
      </c>
      <c r="F1230" t="n">
        <v>40</v>
      </c>
    </row>
    <row r="1231">
      <c r="A1231" t="inlineStr">
        <is>
          <t>2026-05-26</t>
        </is>
      </c>
      <c r="B1231" t="n">
        <v>4572.7998046875</v>
      </c>
      <c r="C1231" t="n">
        <v>4572.7998046875</v>
      </c>
      <c r="D1231" t="n">
        <v>4500.39990234375</v>
      </c>
      <c r="E1231" t="n">
        <v>4500.39990234375</v>
      </c>
      <c r="F1231" t="n">
        <v>1261</v>
      </c>
    </row>
    <row r="1232">
      <c r="A1232" t="inlineStr">
        <is>
          <t>2026-05-27</t>
        </is>
      </c>
      <c r="B1232" t="n">
        <v>4439.7001953125</v>
      </c>
      <c r="C1232" t="n">
        <v>4447.5</v>
      </c>
      <c r="D1232" t="n">
        <v>4439.7001953125</v>
      </c>
      <c r="E1232" t="n">
        <v>4447.5</v>
      </c>
      <c r="F1232" t="n">
        <v>81062</v>
      </c>
    </row>
    <row r="1233">
      <c r="A1233" t="inlineStr">
        <is>
          <t>2026-05-28</t>
        </is>
      </c>
      <c r="B1233" t="n">
        <v>4453.60009765625</v>
      </c>
      <c r="C1233" t="n">
        <v>4512.60009765625</v>
      </c>
      <c r="D1233" t="n">
        <v>4363.5</v>
      </c>
      <c r="E1233" t="n">
        <v>4499.2998046875</v>
      </c>
      <c r="F1233" t="n">
        <v>16427</v>
      </c>
    </row>
    <row r="1234">
      <c r="A1234" t="inlineStr">
        <is>
          <t>2026-05-29</t>
        </is>
      </c>
      <c r="B1234" t="n">
        <v>4494</v>
      </c>
      <c r="C1234" t="n">
        <v>4591.7998046875</v>
      </c>
      <c r="D1234" t="n">
        <v>4487.89990234375</v>
      </c>
      <c r="E1234" t="n">
        <v>4560.5</v>
      </c>
      <c r="F1234" t="n">
        <v>1883</v>
      </c>
    </row>
    <row r="1235">
      <c r="A1235" t="inlineStr">
        <is>
          <t>2026-06-01</t>
        </is>
      </c>
      <c r="B1235" t="n">
        <v>4523.5</v>
      </c>
      <c r="C1235" t="n">
        <v>4541.39990234375</v>
      </c>
      <c r="D1235" t="n">
        <v>4449.7001953125</v>
      </c>
      <c r="E1235" t="n">
        <v>4475.2001953125</v>
      </c>
      <c r="F1235" t="n">
        <v>835</v>
      </c>
    </row>
    <row r="1236">
      <c r="A1236" t="inlineStr">
        <is>
          <t>2026-06-02</t>
        </is>
      </c>
      <c r="B1236" t="n">
        <v>4488</v>
      </c>
      <c r="C1236" t="n">
        <v>4529.5</v>
      </c>
      <c r="D1236" t="n">
        <v>4474.2001953125</v>
      </c>
      <c r="E1236" t="n">
        <v>4489.10009765625</v>
      </c>
      <c r="F1236" t="n">
        <v>456</v>
      </c>
    </row>
    <row r="1237">
      <c r="A1237" t="inlineStr">
        <is>
          <t>2026-06-03</t>
        </is>
      </c>
      <c r="B1237" t="n">
        <v>4471.2001953125</v>
      </c>
      <c r="C1237" t="n">
        <v>4471.7001953125</v>
      </c>
      <c r="D1237" t="n">
        <v>4427.2001953125</v>
      </c>
      <c r="E1237" t="n">
        <v>4436.7001953125</v>
      </c>
      <c r="F1237" t="n">
        <v>2913</v>
      </c>
    </row>
    <row r="1238">
      <c r="A1238" t="inlineStr">
        <is>
          <t>2026-06-04</t>
        </is>
      </c>
      <c r="B1238" t="n">
        <v>4447.39990234375</v>
      </c>
      <c r="C1238" t="n">
        <v>4509.89990234375</v>
      </c>
      <c r="D1238" t="n">
        <v>4447.39990234375</v>
      </c>
      <c r="E1238" t="n">
        <v>4475.7998046875</v>
      </c>
      <c r="F1238" t="n">
        <v>480</v>
      </c>
    </row>
    <row r="1239">
      <c r="A1239" t="inlineStr">
        <is>
          <t>2026-06-05</t>
        </is>
      </c>
      <c r="B1239" t="n">
        <v>4472.2998046875</v>
      </c>
      <c r="C1239" t="n">
        <v>4472.2998046875</v>
      </c>
      <c r="D1239" t="n">
        <v>4319.10009765625</v>
      </c>
      <c r="E1239" t="n">
        <v>4337.10009765625</v>
      </c>
      <c r="F1239" t="n">
        <v>4062</v>
      </c>
    </row>
    <row r="1240">
      <c r="A1240" t="inlineStr">
        <is>
          <t>2026-06-08</t>
        </is>
      </c>
      <c r="B1240" t="n">
        <v>4324.2001953125</v>
      </c>
      <c r="C1240" t="n">
        <v>4340.89990234375</v>
      </c>
      <c r="D1240" t="n">
        <v>4284.60009765625</v>
      </c>
      <c r="E1240" t="n">
        <v>4335.89990234375</v>
      </c>
      <c r="F1240" t="n">
        <v>357</v>
      </c>
    </row>
    <row r="1241">
      <c r="A1241" t="inlineStr">
        <is>
          <t>2026-06-09</t>
        </is>
      </c>
      <c r="B1241" t="n">
        <v>4332.7998046875</v>
      </c>
      <c r="C1241" t="n">
        <v>4344.5</v>
      </c>
      <c r="D1241" t="n">
        <v>4240.2001953125</v>
      </c>
      <c r="E1241" t="n">
        <v>4260</v>
      </c>
      <c r="F1241" t="n">
        <v>1292</v>
      </c>
    </row>
    <row r="1242">
      <c r="A1242" t="inlineStr">
        <is>
          <t>2026-06-10</t>
        </is>
      </c>
      <c r="B1242" t="n">
        <v>4200</v>
      </c>
      <c r="C1242" t="n">
        <v>4206.7001953125</v>
      </c>
      <c r="D1242" t="n">
        <v>4100</v>
      </c>
      <c r="E1242" t="n">
        <v>4108.2001953125</v>
      </c>
      <c r="F1242" t="n">
        <v>525</v>
      </c>
    </row>
    <row r="1243">
      <c r="A1243" t="inlineStr">
        <is>
          <t>2026-06-11</t>
        </is>
      </c>
      <c r="B1243" t="n">
        <v>4042.89990234375</v>
      </c>
      <c r="C1243" t="n">
        <v>4209.7998046875</v>
      </c>
      <c r="D1243" t="n">
        <v>4031</v>
      </c>
      <c r="E1243" t="n">
        <v>4090.300048828125</v>
      </c>
      <c r="F1243" t="n">
        <v>1938</v>
      </c>
    </row>
    <row r="1244">
      <c r="A1244" t="inlineStr">
        <is>
          <t>2026-06-12</t>
        </is>
      </c>
      <c r="B1244" t="n">
        <v>4208.2998046875</v>
      </c>
      <c r="C1244" t="n">
        <v>4225.2998046875</v>
      </c>
      <c r="D1244" t="n">
        <v>4173.2001953125</v>
      </c>
      <c r="E1244" t="n">
        <v>4215</v>
      </c>
      <c r="F1244" t="n">
        <v>1167</v>
      </c>
    </row>
    <row r="1245">
      <c r="A1245" t="inlineStr">
        <is>
          <t>2026-06-15</t>
        </is>
      </c>
      <c r="B1245" t="n">
        <v>4271.2001953125</v>
      </c>
      <c r="C1245" t="n">
        <v>4362</v>
      </c>
      <c r="D1245" t="n">
        <v>4269.10009765625</v>
      </c>
      <c r="E1245" t="n">
        <v>4328</v>
      </c>
      <c r="F1245" t="n">
        <v>1666</v>
      </c>
    </row>
    <row r="1246">
      <c r="A1246" t="inlineStr">
        <is>
          <t>2026-06-16</t>
        </is>
      </c>
      <c r="B1246" t="n">
        <v>4309.5</v>
      </c>
      <c r="C1246" t="n">
        <v>4345.7998046875</v>
      </c>
      <c r="D1246" t="n">
        <v>4309.5</v>
      </c>
      <c r="E1246" t="n">
        <v>4330.89990234375</v>
      </c>
      <c r="F1246" t="n">
        <v>158</v>
      </c>
    </row>
    <row r="1247">
      <c r="A1247" t="inlineStr">
        <is>
          <t>2026-06-17</t>
        </is>
      </c>
      <c r="B1247" t="n">
        <v>4339</v>
      </c>
      <c r="C1247" t="n">
        <v>4377</v>
      </c>
      <c r="D1247" t="n">
        <v>4296</v>
      </c>
      <c r="E1247" t="n">
        <v>4358.89990234375</v>
      </c>
      <c r="F1247" t="n">
        <v>1961</v>
      </c>
    </row>
    <row r="1248">
      <c r="A1248" t="inlineStr">
        <is>
          <t>2026-06-18</t>
        </is>
      </c>
      <c r="B1248" t="n">
        <v>4279.7998046875</v>
      </c>
      <c r="C1248" t="n">
        <v>4323.2001953125</v>
      </c>
      <c r="D1248" t="n">
        <v>4223.7001953125</v>
      </c>
      <c r="E1248" t="n">
        <v>4224.10009765625</v>
      </c>
      <c r="F1248" t="n">
        <v>738</v>
      </c>
    </row>
    <row r="1249">
      <c r="A1249" t="inlineStr">
        <is>
          <t>2026-06-22</t>
        </is>
      </c>
      <c r="B1249" t="n">
        <v>4138.7998046875</v>
      </c>
      <c r="C1249" t="n">
        <v>4216.39990234375</v>
      </c>
      <c r="D1249" t="n">
        <v>4134.7998046875</v>
      </c>
      <c r="E1249" t="n">
        <v>4181.89990234375</v>
      </c>
      <c r="F1249" t="n">
        <v>1197</v>
      </c>
    </row>
    <row r="1250">
      <c r="A1250" t="inlineStr">
        <is>
          <t>2026-06-23</t>
        </is>
      </c>
      <c r="B1250" t="n">
        <v>4127.10009765625</v>
      </c>
      <c r="C1250" t="n">
        <v>4135.2001953125</v>
      </c>
      <c r="D1250" t="n">
        <v>4118.5</v>
      </c>
      <c r="E1250" t="n">
        <v>4129.89990234375</v>
      </c>
      <c r="F1250" t="n">
        <v>252</v>
      </c>
    </row>
    <row r="1251">
      <c r="A1251" t="inlineStr">
        <is>
          <t>2026-06-24</t>
        </is>
      </c>
      <c r="B1251" t="n">
        <v>4104.39990234375</v>
      </c>
      <c r="C1251" t="n">
        <v>4104.7001953125</v>
      </c>
      <c r="D1251" t="n">
        <v>3963.300048828125</v>
      </c>
      <c r="E1251" t="n">
        <v>3990.300048828125</v>
      </c>
      <c r="F1251" t="n">
        <v>353</v>
      </c>
    </row>
    <row r="1252">
      <c r="A1252" t="inlineStr">
        <is>
          <t>2026-06-25</t>
        </is>
      </c>
      <c r="B1252" t="n">
        <v>3988.39990234375</v>
      </c>
      <c r="C1252" t="n">
        <v>4030.5</v>
      </c>
      <c r="D1252" t="n">
        <v>3986.699951171875</v>
      </c>
      <c r="E1252" t="n">
        <v>4030.5</v>
      </c>
      <c r="F1252" t="n">
        <v>2724</v>
      </c>
    </row>
    <row r="1253">
      <c r="A1253" t="inlineStr">
        <is>
          <t>2026-06-26</t>
        </is>
      </c>
      <c r="B1253" t="n">
        <v>4078.699951171875</v>
      </c>
      <c r="C1253" t="n">
        <v>4078.699951171875</v>
      </c>
      <c r="D1253" t="n">
        <v>4078.699951171875</v>
      </c>
      <c r="E1253" t="n">
        <v>4078.699951171875</v>
      </c>
      <c r="F1253" t="n">
        <v>1431</v>
      </c>
    </row>
    <row r="1254">
      <c r="A1254" t="inlineStr">
        <is>
          <t>2026-06-29</t>
        </is>
      </c>
      <c r="B1254" t="n">
        <v>4057.5</v>
      </c>
      <c r="C1254" t="n">
        <v>4070</v>
      </c>
      <c r="D1254" t="n">
        <v>4003.199951171875</v>
      </c>
      <c r="E1254" t="n">
        <v>4022.300048828125</v>
      </c>
      <c r="F1254" t="n">
        <v>785</v>
      </c>
    </row>
    <row r="1255">
      <c r="A1255" t="inlineStr">
        <is>
          <t>2026-06-30</t>
        </is>
      </c>
      <c r="B1255" t="n">
        <v>4002.60009765625</v>
      </c>
      <c r="C1255" t="n">
        <v>4049.699951171875</v>
      </c>
      <c r="D1255" t="n">
        <v>3962.5</v>
      </c>
      <c r="E1255" t="n">
        <v>4022.89990234375</v>
      </c>
      <c r="F1255" t="n">
        <v>1108</v>
      </c>
    </row>
    <row r="1256">
      <c r="A1256" t="inlineStr">
        <is>
          <t>2026-07-01</t>
        </is>
      </c>
      <c r="B1256" t="n">
        <v>4013.10009765625</v>
      </c>
      <c r="C1256" t="n">
        <v>4100</v>
      </c>
      <c r="D1256" t="n">
        <v>3963</v>
      </c>
      <c r="E1256" t="n">
        <v>4068.300048828125</v>
      </c>
      <c r="F1256" t="n">
        <v>770</v>
      </c>
    </row>
    <row r="1257">
      <c r="A1257" t="inlineStr">
        <is>
          <t>2026-07-02</t>
        </is>
      </c>
      <c r="B1257" t="n">
        <v>4067.5</v>
      </c>
      <c r="C1257" t="n">
        <v>4140.10009765625</v>
      </c>
      <c r="D1257" t="n">
        <v>4062</v>
      </c>
      <c r="E1257" t="n">
        <v>4112.7001953125</v>
      </c>
      <c r="F1257" t="n">
        <v>228</v>
      </c>
    </row>
    <row r="1258">
      <c r="A1258" t="inlineStr">
        <is>
          <t>2026-07-03</t>
        </is>
      </c>
      <c r="B1258" t="n">
        <v>4138</v>
      </c>
      <c r="C1258" t="n">
        <v>4208.2998046875</v>
      </c>
      <c r="D1258" t="n">
        <v>4133.7998046875</v>
      </c>
      <c r="E1258" t="n">
        <v>4187.2998046875</v>
      </c>
      <c r="F1258" t="n">
        <v>54673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27"/>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开盘</t>
        </is>
      </c>
      <c r="C1" s="1" t="inlineStr">
        <is>
          <t>最高</t>
        </is>
      </c>
      <c r="D1" s="1" t="inlineStr">
        <is>
          <t>最低</t>
        </is>
      </c>
      <c r="E1" s="1" t="inlineStr">
        <is>
          <t>收盘</t>
        </is>
      </c>
      <c r="F1" s="1" t="inlineStr">
        <is>
          <t>成交量</t>
        </is>
      </c>
    </row>
    <row r="2">
      <c r="A2" t="inlineStr">
        <is>
          <t>2021-07-05</t>
        </is>
      </c>
      <c r="B2" t="n">
        <v>35284.34375</v>
      </c>
      <c r="C2" t="n">
        <v>35284.34375</v>
      </c>
      <c r="D2" t="n">
        <v>33213.66015625</v>
      </c>
      <c r="E2" t="n">
        <v>33746.00390625</v>
      </c>
      <c r="F2" t="n">
        <v>26721554282</v>
      </c>
    </row>
    <row r="3">
      <c r="A3" t="inlineStr">
        <is>
          <t>2021-07-06</t>
        </is>
      </c>
      <c r="B3" t="n">
        <v>33723.5078125</v>
      </c>
      <c r="C3" t="n">
        <v>35038.53515625</v>
      </c>
      <c r="D3" t="n">
        <v>33599.91796875</v>
      </c>
      <c r="E3" t="n">
        <v>34235.1953125</v>
      </c>
      <c r="F3" t="n">
        <v>26501259870</v>
      </c>
    </row>
    <row r="4">
      <c r="A4" t="inlineStr">
        <is>
          <t>2021-07-07</t>
        </is>
      </c>
      <c r="B4" t="n">
        <v>34225.6796875</v>
      </c>
      <c r="C4" t="n">
        <v>34997.6640625</v>
      </c>
      <c r="D4" t="n">
        <v>33839.2890625</v>
      </c>
      <c r="E4" t="n">
        <v>33855.328125</v>
      </c>
      <c r="F4" t="n">
        <v>24796027477</v>
      </c>
    </row>
    <row r="5">
      <c r="A5" t="inlineStr">
        <is>
          <t>2021-07-08</t>
        </is>
      </c>
      <c r="B5" t="n">
        <v>33889.60546875</v>
      </c>
      <c r="C5" t="n">
        <v>33907.90625</v>
      </c>
      <c r="D5" t="n">
        <v>32133.18359375</v>
      </c>
      <c r="E5" t="n">
        <v>32877.37109375</v>
      </c>
      <c r="F5" t="n">
        <v>29910396946</v>
      </c>
    </row>
    <row r="6">
      <c r="A6" t="inlineStr">
        <is>
          <t>2021-07-09</t>
        </is>
      </c>
      <c r="B6" t="n">
        <v>32861.671875</v>
      </c>
      <c r="C6" t="n">
        <v>34042.29296875</v>
      </c>
      <c r="D6" t="n">
        <v>32318.880859375</v>
      </c>
      <c r="E6" t="n">
        <v>33798.01171875</v>
      </c>
      <c r="F6" t="n">
        <v>27436021028</v>
      </c>
    </row>
    <row r="7">
      <c r="A7" t="inlineStr">
        <is>
          <t>2021-07-10</t>
        </is>
      </c>
      <c r="B7" t="n">
        <v>33811.2421875</v>
      </c>
      <c r="C7" t="n">
        <v>34209.0703125</v>
      </c>
      <c r="D7" t="n">
        <v>33116.01171875</v>
      </c>
      <c r="E7" t="n">
        <v>33520.51953125</v>
      </c>
      <c r="F7" t="n">
        <v>22971873468</v>
      </c>
    </row>
    <row r="8">
      <c r="A8" t="inlineStr">
        <is>
          <t>2021-07-11</t>
        </is>
      </c>
      <c r="B8" t="n">
        <v>33509.078125</v>
      </c>
      <c r="C8" t="n">
        <v>34584.703125</v>
      </c>
      <c r="D8" t="n">
        <v>33346.73828125</v>
      </c>
      <c r="E8" t="n">
        <v>34240.1875</v>
      </c>
      <c r="F8" t="n">
        <v>20108729370</v>
      </c>
    </row>
    <row r="9">
      <c r="A9" t="inlineStr">
        <is>
          <t>2021-07-12</t>
        </is>
      </c>
      <c r="B9" t="n">
        <v>34254.015625</v>
      </c>
      <c r="C9" t="n">
        <v>34592.15625</v>
      </c>
      <c r="D9" t="n">
        <v>32697.30859375</v>
      </c>
      <c r="E9" t="n">
        <v>33155.84765625</v>
      </c>
      <c r="F9" t="n">
        <v>24321499537</v>
      </c>
    </row>
    <row r="10">
      <c r="A10" t="inlineStr">
        <is>
          <t>2021-07-13</t>
        </is>
      </c>
      <c r="B10" t="n">
        <v>33125.46875</v>
      </c>
      <c r="C10" t="n">
        <v>33327.1015625</v>
      </c>
      <c r="D10" t="n">
        <v>32261.419921875</v>
      </c>
      <c r="E10" t="n">
        <v>32702.025390625</v>
      </c>
      <c r="F10" t="n">
        <v>19120856669</v>
      </c>
    </row>
    <row r="11">
      <c r="A11" t="inlineStr">
        <is>
          <t>2021-07-14</t>
        </is>
      </c>
      <c r="B11" t="n">
        <v>32723.845703125</v>
      </c>
      <c r="C11" t="n">
        <v>33061.3984375</v>
      </c>
      <c r="D11" t="n">
        <v>31639.125</v>
      </c>
      <c r="E11" t="n">
        <v>32822.34765625</v>
      </c>
      <c r="F11" t="n">
        <v>21376531210</v>
      </c>
    </row>
    <row r="12">
      <c r="A12" t="inlineStr">
        <is>
          <t>2021-07-15</t>
        </is>
      </c>
      <c r="B12" t="n">
        <v>32827.875</v>
      </c>
      <c r="C12" t="n">
        <v>33159.640625</v>
      </c>
      <c r="D12" t="n">
        <v>31175.708984375</v>
      </c>
      <c r="E12" t="n">
        <v>31780.73046875</v>
      </c>
      <c r="F12" t="n">
        <v>21300524237</v>
      </c>
    </row>
    <row r="13">
      <c r="A13" t="inlineStr">
        <is>
          <t>2021-07-16</t>
        </is>
      </c>
      <c r="B13" t="n">
        <v>31841.55078125</v>
      </c>
      <c r="C13" t="n">
        <v>32218.40625</v>
      </c>
      <c r="D13" t="n">
        <v>31100.673828125</v>
      </c>
      <c r="E13" t="n">
        <v>31421.5390625</v>
      </c>
      <c r="F13" t="n">
        <v>23699476918</v>
      </c>
    </row>
    <row r="14">
      <c r="A14" t="inlineStr">
        <is>
          <t>2021-07-17</t>
        </is>
      </c>
      <c r="B14" t="n">
        <v>31397.30859375</v>
      </c>
      <c r="C14" t="n">
        <v>31935.9453125</v>
      </c>
      <c r="D14" t="n">
        <v>31223.990234375</v>
      </c>
      <c r="E14" t="n">
        <v>31533.068359375</v>
      </c>
      <c r="F14" t="n">
        <v>18895018942</v>
      </c>
    </row>
    <row r="15">
      <c r="A15" t="inlineStr">
        <is>
          <t>2021-07-18</t>
        </is>
      </c>
      <c r="B15" t="n">
        <v>31533.884765625</v>
      </c>
      <c r="C15" t="n">
        <v>32398.99609375</v>
      </c>
      <c r="D15" t="n">
        <v>31215.4921875</v>
      </c>
      <c r="E15" t="n">
        <v>31796.810546875</v>
      </c>
      <c r="F15" t="n">
        <v>18787986667</v>
      </c>
    </row>
    <row r="16">
      <c r="A16" t="inlineStr">
        <is>
          <t>2021-07-19</t>
        </is>
      </c>
      <c r="B16" t="n">
        <v>31800.01171875</v>
      </c>
      <c r="C16" t="n">
        <v>31885.859375</v>
      </c>
      <c r="D16" t="n">
        <v>30563.734375</v>
      </c>
      <c r="E16" t="n">
        <v>30817.83203125</v>
      </c>
      <c r="F16" t="n">
        <v>20434789545</v>
      </c>
    </row>
    <row r="17">
      <c r="A17" t="inlineStr">
        <is>
          <t>2021-07-20</t>
        </is>
      </c>
      <c r="B17" t="n">
        <v>30838.28515625</v>
      </c>
      <c r="C17" t="n">
        <v>31006.1875</v>
      </c>
      <c r="D17" t="n">
        <v>29360.955078125</v>
      </c>
      <c r="E17" t="n">
        <v>29807.34765625</v>
      </c>
      <c r="F17" t="n">
        <v>23148267245</v>
      </c>
    </row>
    <row r="18">
      <c r="A18" t="inlineStr">
        <is>
          <t>2021-07-21</t>
        </is>
      </c>
      <c r="B18" t="n">
        <v>29796.28515625</v>
      </c>
      <c r="C18" t="n">
        <v>32752.326171875</v>
      </c>
      <c r="D18" t="n">
        <v>29526.18359375</v>
      </c>
      <c r="E18" t="n">
        <v>32110.693359375</v>
      </c>
      <c r="F18" t="n">
        <v>28203024559</v>
      </c>
    </row>
    <row r="19">
      <c r="A19" t="inlineStr">
        <is>
          <t>2021-07-22</t>
        </is>
      </c>
      <c r="B19" t="n">
        <v>32138.873046875</v>
      </c>
      <c r="C19" t="n">
        <v>32576.400390625</v>
      </c>
      <c r="D19" t="n">
        <v>31745.298828125</v>
      </c>
      <c r="E19" t="n">
        <v>32313.10546875</v>
      </c>
      <c r="F19" t="n">
        <v>19555230518</v>
      </c>
    </row>
    <row r="20">
      <c r="A20" t="inlineStr">
        <is>
          <t>2021-07-23</t>
        </is>
      </c>
      <c r="B20" t="n">
        <v>32305.958984375</v>
      </c>
      <c r="C20" t="n">
        <v>33581.55078125</v>
      </c>
      <c r="D20" t="n">
        <v>32057.892578125</v>
      </c>
      <c r="E20" t="n">
        <v>33581.55078125</v>
      </c>
      <c r="F20" t="n">
        <v>22552046192</v>
      </c>
    </row>
    <row r="21">
      <c r="A21" t="inlineStr">
        <is>
          <t>2021-07-24</t>
        </is>
      </c>
      <c r="B21" t="n">
        <v>33593.73046875</v>
      </c>
      <c r="C21" t="n">
        <v>34490.390625</v>
      </c>
      <c r="D21" t="n">
        <v>33424.859375</v>
      </c>
      <c r="E21" t="n">
        <v>34292.4453125</v>
      </c>
      <c r="F21" t="n">
        <v>21664706865</v>
      </c>
    </row>
    <row r="22">
      <c r="A22" t="inlineStr">
        <is>
          <t>2021-07-25</t>
        </is>
      </c>
      <c r="B22" t="n">
        <v>34290.29296875</v>
      </c>
      <c r="C22" t="n">
        <v>35364.92578125</v>
      </c>
      <c r="D22" t="n">
        <v>33881.8359375</v>
      </c>
      <c r="E22" t="n">
        <v>35350.1875</v>
      </c>
      <c r="F22" t="n">
        <v>20856685287</v>
      </c>
    </row>
    <row r="23">
      <c r="A23" t="inlineStr">
        <is>
          <t>2021-07-26</t>
        </is>
      </c>
      <c r="B23" t="n">
        <v>35384.03125</v>
      </c>
      <c r="C23" t="n">
        <v>40499.67578125</v>
      </c>
      <c r="D23" t="n">
        <v>35287.3125</v>
      </c>
      <c r="E23" t="n">
        <v>37337.53515625</v>
      </c>
      <c r="F23" t="n">
        <v>51022126212</v>
      </c>
    </row>
    <row r="24">
      <c r="A24" t="inlineStr">
        <is>
          <t>2021-07-27</t>
        </is>
      </c>
      <c r="B24" t="n">
        <v>37276.03515625</v>
      </c>
      <c r="C24" t="n">
        <v>39406.94140625</v>
      </c>
      <c r="D24" t="n">
        <v>36441.7265625</v>
      </c>
      <c r="E24" t="n">
        <v>39406.94140625</v>
      </c>
      <c r="F24" t="n">
        <v>35097370560</v>
      </c>
    </row>
    <row r="25">
      <c r="A25" t="inlineStr">
        <is>
          <t>2021-07-28</t>
        </is>
      </c>
      <c r="B25" t="n">
        <v>39503.1875</v>
      </c>
      <c r="C25" t="n">
        <v>40816.0703125</v>
      </c>
      <c r="D25" t="n">
        <v>38862.4375</v>
      </c>
      <c r="E25" t="n">
        <v>39995.90625</v>
      </c>
      <c r="F25" t="n">
        <v>38702404695</v>
      </c>
    </row>
    <row r="26">
      <c r="A26" t="inlineStr">
        <is>
          <t>2021-07-29</t>
        </is>
      </c>
      <c r="B26" t="n">
        <v>39995.453125</v>
      </c>
      <c r="C26" t="n">
        <v>40593.0703125</v>
      </c>
      <c r="D26" t="n">
        <v>39352.05859375</v>
      </c>
      <c r="E26" t="n">
        <v>40008.421875</v>
      </c>
      <c r="F26" t="n">
        <v>27167146027</v>
      </c>
    </row>
    <row r="27">
      <c r="A27" t="inlineStr">
        <is>
          <t>2021-07-30</t>
        </is>
      </c>
      <c r="B27" t="n">
        <v>40027.484375</v>
      </c>
      <c r="C27" t="n">
        <v>42235.546875</v>
      </c>
      <c r="D27" t="n">
        <v>38397.35546875</v>
      </c>
      <c r="E27" t="n">
        <v>42235.546875</v>
      </c>
      <c r="F27" t="n">
        <v>33072782960</v>
      </c>
    </row>
    <row r="28">
      <c r="A28" t="inlineStr">
        <is>
          <t>2021-07-31</t>
        </is>
      </c>
      <c r="B28" t="n">
        <v>42196.3046875</v>
      </c>
      <c r="C28" t="n">
        <v>42231.44921875</v>
      </c>
      <c r="D28" t="n">
        <v>41110.83203125</v>
      </c>
      <c r="E28" t="n">
        <v>41626.1953125</v>
      </c>
      <c r="F28" t="n">
        <v>25802845343</v>
      </c>
    </row>
    <row r="29">
      <c r="A29" t="inlineStr">
        <is>
          <t>2021-08-01</t>
        </is>
      </c>
      <c r="B29" t="n">
        <v>41460.84375</v>
      </c>
      <c r="C29" t="n">
        <v>42541.6796875</v>
      </c>
      <c r="D29" t="n">
        <v>39540.94140625</v>
      </c>
      <c r="E29" t="n">
        <v>39974.89453125</v>
      </c>
      <c r="F29" t="n">
        <v>26688438115</v>
      </c>
    </row>
    <row r="30">
      <c r="A30" t="inlineStr">
        <is>
          <t>2021-08-02</t>
        </is>
      </c>
      <c r="B30" t="n">
        <v>39907.26171875</v>
      </c>
      <c r="C30" t="n">
        <v>40419.1796875</v>
      </c>
      <c r="D30" t="n">
        <v>38746.34765625</v>
      </c>
      <c r="E30" t="n">
        <v>39201.9453125</v>
      </c>
      <c r="F30" t="n">
        <v>25595265436</v>
      </c>
    </row>
    <row r="31">
      <c r="A31" t="inlineStr">
        <is>
          <t>2021-08-03</t>
        </is>
      </c>
      <c r="B31" t="n">
        <v>39178.40234375</v>
      </c>
      <c r="C31" t="n">
        <v>39750.03125</v>
      </c>
      <c r="D31" t="n">
        <v>37782.05078125</v>
      </c>
      <c r="E31" t="n">
        <v>38152.98046875</v>
      </c>
      <c r="F31" t="n">
        <v>26189830450</v>
      </c>
    </row>
    <row r="32">
      <c r="A32" t="inlineStr">
        <is>
          <t>2021-08-04</t>
        </is>
      </c>
      <c r="B32" t="n">
        <v>38213.33203125</v>
      </c>
      <c r="C32" t="n">
        <v>39952.296875</v>
      </c>
      <c r="D32" t="n">
        <v>37589.1640625</v>
      </c>
      <c r="E32" t="n">
        <v>39747.50390625</v>
      </c>
      <c r="F32" t="n">
        <v>25372562724</v>
      </c>
    </row>
    <row r="33">
      <c r="A33" t="inlineStr">
        <is>
          <t>2021-08-05</t>
        </is>
      </c>
      <c r="B33" t="n">
        <v>39744.515625</v>
      </c>
      <c r="C33" t="n">
        <v>41341.93359375</v>
      </c>
      <c r="D33" t="n">
        <v>37458.00390625</v>
      </c>
      <c r="E33" t="n">
        <v>40869.5546875</v>
      </c>
      <c r="F33" t="n">
        <v>35185031017</v>
      </c>
    </row>
    <row r="34">
      <c r="A34" t="inlineStr">
        <is>
          <t>2021-08-06</t>
        </is>
      </c>
      <c r="B34" t="n">
        <v>40865.8671875</v>
      </c>
      <c r="C34" t="n">
        <v>43271.66015625</v>
      </c>
      <c r="D34" t="n">
        <v>39932.1796875</v>
      </c>
      <c r="E34" t="n">
        <v>42816.5</v>
      </c>
      <c r="F34" t="n">
        <v>38226483046</v>
      </c>
    </row>
    <row r="35">
      <c r="A35" t="inlineStr">
        <is>
          <t>2021-08-07</t>
        </is>
      </c>
      <c r="B35" t="n">
        <v>42832.796875</v>
      </c>
      <c r="C35" t="n">
        <v>44689.859375</v>
      </c>
      <c r="D35" t="n">
        <v>42618.56640625</v>
      </c>
      <c r="E35" t="n">
        <v>44555.80078125</v>
      </c>
      <c r="F35" t="n">
        <v>40030862141</v>
      </c>
    </row>
    <row r="36">
      <c r="A36" t="inlineStr">
        <is>
          <t>2021-08-08</t>
        </is>
      </c>
      <c r="B36" t="n">
        <v>44574.4375</v>
      </c>
      <c r="C36" t="n">
        <v>45282.3515625</v>
      </c>
      <c r="D36" t="n">
        <v>43331.91015625</v>
      </c>
      <c r="E36" t="n">
        <v>43798.1171875</v>
      </c>
      <c r="F36" t="n">
        <v>36302664750</v>
      </c>
    </row>
    <row r="37">
      <c r="A37" t="inlineStr">
        <is>
          <t>2021-08-09</t>
        </is>
      </c>
      <c r="B37" t="n">
        <v>43791.92578125</v>
      </c>
      <c r="C37" t="n">
        <v>46456.83203125</v>
      </c>
      <c r="D37" t="n">
        <v>42848.6875</v>
      </c>
      <c r="E37" t="n">
        <v>46365.40234375</v>
      </c>
      <c r="F37" t="n">
        <v>38734079049</v>
      </c>
    </row>
    <row r="38">
      <c r="A38" t="inlineStr">
        <is>
          <t>2021-08-10</t>
        </is>
      </c>
      <c r="B38" t="n">
        <v>46280.84765625</v>
      </c>
      <c r="C38" t="n">
        <v>46637.98828125</v>
      </c>
      <c r="D38" t="n">
        <v>44705.5546875</v>
      </c>
      <c r="E38" t="n">
        <v>45585.03125</v>
      </c>
      <c r="F38" t="n">
        <v>33546019517</v>
      </c>
    </row>
    <row r="39">
      <c r="A39" t="inlineStr">
        <is>
          <t>2021-08-11</t>
        </is>
      </c>
      <c r="B39" t="n">
        <v>45599.703125</v>
      </c>
      <c r="C39" t="n">
        <v>46735.6328125</v>
      </c>
      <c r="D39" t="n">
        <v>45351.7109375</v>
      </c>
      <c r="E39" t="n">
        <v>45593.63671875</v>
      </c>
      <c r="F39" t="n">
        <v>34319709073</v>
      </c>
    </row>
    <row r="40">
      <c r="A40" t="inlineStr">
        <is>
          <t>2021-08-12</t>
        </is>
      </c>
      <c r="B40" t="n">
        <v>45576.87890625</v>
      </c>
      <c r="C40" t="n">
        <v>46228.91015625</v>
      </c>
      <c r="D40" t="n">
        <v>43861.4453125</v>
      </c>
      <c r="E40" t="n">
        <v>44428.2890625</v>
      </c>
      <c r="F40" t="n">
        <v>33723620826</v>
      </c>
    </row>
    <row r="41">
      <c r="A41" t="inlineStr">
        <is>
          <t>2021-08-13</t>
        </is>
      </c>
      <c r="B41" t="n">
        <v>44439.69140625</v>
      </c>
      <c r="C41" t="n">
        <v>47831.9765625</v>
      </c>
      <c r="D41" t="n">
        <v>44282.41796875</v>
      </c>
      <c r="E41" t="n">
        <v>47793.3203125</v>
      </c>
      <c r="F41" t="n">
        <v>31744259539</v>
      </c>
    </row>
    <row r="42">
      <c r="A42" t="inlineStr">
        <is>
          <t>2021-08-14</t>
        </is>
      </c>
      <c r="B42" t="n">
        <v>47810.6875</v>
      </c>
      <c r="C42" t="n">
        <v>48098.68359375</v>
      </c>
      <c r="D42" t="n">
        <v>46177.6328125</v>
      </c>
      <c r="E42" t="n">
        <v>47096.9453125</v>
      </c>
      <c r="F42" t="n">
        <v>31211354442</v>
      </c>
    </row>
    <row r="43">
      <c r="A43" t="inlineStr">
        <is>
          <t>2021-08-15</t>
        </is>
      </c>
      <c r="B43" t="n">
        <v>47096.66796875</v>
      </c>
      <c r="C43" t="n">
        <v>47357.10546875</v>
      </c>
      <c r="D43" t="n">
        <v>45579.58984375</v>
      </c>
      <c r="E43" t="n">
        <v>47047.00390625</v>
      </c>
      <c r="F43" t="n">
        <v>30988958446</v>
      </c>
    </row>
    <row r="44">
      <c r="A44" t="inlineStr">
        <is>
          <t>2021-08-16</t>
        </is>
      </c>
      <c r="B44" t="n">
        <v>47019.9609375</v>
      </c>
      <c r="C44" t="n">
        <v>47998.09765625</v>
      </c>
      <c r="D44" t="n">
        <v>45700.3203125</v>
      </c>
      <c r="E44" t="n">
        <v>46004.484375</v>
      </c>
      <c r="F44" t="n">
        <v>32776876610</v>
      </c>
    </row>
    <row r="45">
      <c r="A45" t="inlineStr">
        <is>
          <t>2021-08-17</t>
        </is>
      </c>
      <c r="B45" t="n">
        <v>45936.45703125</v>
      </c>
      <c r="C45" t="n">
        <v>47139.5703125</v>
      </c>
      <c r="D45" t="n">
        <v>44512.41796875</v>
      </c>
      <c r="E45" t="n">
        <v>44695.359375</v>
      </c>
      <c r="F45" t="n">
        <v>33451362600</v>
      </c>
    </row>
    <row r="46">
      <c r="A46" t="inlineStr">
        <is>
          <t>2021-08-18</t>
        </is>
      </c>
      <c r="B46" t="n">
        <v>44686.75</v>
      </c>
      <c r="C46" t="n">
        <v>45952.0625</v>
      </c>
      <c r="D46" t="n">
        <v>44364.02734375</v>
      </c>
      <c r="E46" t="n">
        <v>44801.1875</v>
      </c>
      <c r="F46" t="n">
        <v>32194123075</v>
      </c>
    </row>
    <row r="47">
      <c r="A47" t="inlineStr">
        <is>
          <t>2021-08-19</t>
        </is>
      </c>
      <c r="B47" t="n">
        <v>44741.8828125</v>
      </c>
      <c r="C47" t="n">
        <v>46970.76171875</v>
      </c>
      <c r="D47" t="n">
        <v>43998.31640625</v>
      </c>
      <c r="E47" t="n">
        <v>46717.578125</v>
      </c>
      <c r="F47" t="n">
        <v>37204312299</v>
      </c>
    </row>
    <row r="48">
      <c r="A48" t="inlineStr">
        <is>
          <t>2021-08-20</t>
        </is>
      </c>
      <c r="B48" t="n">
        <v>46723.12109375</v>
      </c>
      <c r="C48" t="n">
        <v>49342.15234375</v>
      </c>
      <c r="D48" t="n">
        <v>46650.70703125</v>
      </c>
      <c r="E48" t="n">
        <v>49339.17578125</v>
      </c>
      <c r="F48" t="n">
        <v>34706867452</v>
      </c>
    </row>
    <row r="49">
      <c r="A49" t="inlineStr">
        <is>
          <t>2021-08-21</t>
        </is>
      </c>
      <c r="B49" t="n">
        <v>49327.07421875</v>
      </c>
      <c r="C49" t="n">
        <v>49717.01953125</v>
      </c>
      <c r="D49" t="n">
        <v>48312.19921875</v>
      </c>
      <c r="E49" t="n">
        <v>48905.4921875</v>
      </c>
      <c r="F49" t="n">
        <v>40585205312</v>
      </c>
    </row>
    <row r="50">
      <c r="A50" t="inlineStr">
        <is>
          <t>2021-08-22</t>
        </is>
      </c>
      <c r="B50" t="n">
        <v>48869.10546875</v>
      </c>
      <c r="C50" t="n">
        <v>49471.609375</v>
      </c>
      <c r="D50" t="n">
        <v>48199.94140625</v>
      </c>
      <c r="E50" t="n">
        <v>49321.65234375</v>
      </c>
      <c r="F50" t="n">
        <v>25370975378</v>
      </c>
    </row>
    <row r="51">
      <c r="A51" t="inlineStr">
        <is>
          <t>2021-08-23</t>
        </is>
      </c>
      <c r="B51" t="n">
        <v>49291.67578125</v>
      </c>
      <c r="C51" t="n">
        <v>50482.078125</v>
      </c>
      <c r="D51" t="n">
        <v>49074.60546875</v>
      </c>
      <c r="E51" t="n">
        <v>49546.1484375</v>
      </c>
      <c r="F51" t="n">
        <v>34305053719</v>
      </c>
    </row>
    <row r="52">
      <c r="A52" t="inlineStr">
        <is>
          <t>2021-08-24</t>
        </is>
      </c>
      <c r="B52" t="n">
        <v>49562.34765625</v>
      </c>
      <c r="C52" t="n">
        <v>49878.76953125</v>
      </c>
      <c r="D52" t="n">
        <v>47687.1171875</v>
      </c>
      <c r="E52" t="n">
        <v>47706.1171875</v>
      </c>
      <c r="F52" t="n">
        <v>35361168834</v>
      </c>
    </row>
    <row r="53">
      <c r="A53" t="inlineStr">
        <is>
          <t>2021-08-25</t>
        </is>
      </c>
      <c r="B53" t="n">
        <v>47727.2578125</v>
      </c>
      <c r="C53" t="n">
        <v>49202.87890625</v>
      </c>
      <c r="D53" t="n">
        <v>47163.61328125</v>
      </c>
      <c r="E53" t="n">
        <v>48960.7890625</v>
      </c>
      <c r="F53" t="n">
        <v>32646349931</v>
      </c>
    </row>
    <row r="54">
      <c r="A54" t="inlineStr">
        <is>
          <t>2021-08-26</t>
        </is>
      </c>
      <c r="B54" t="n">
        <v>49002.640625</v>
      </c>
      <c r="C54" t="n">
        <v>49347.58203125</v>
      </c>
      <c r="D54" t="n">
        <v>46405.78125</v>
      </c>
      <c r="E54" t="n">
        <v>46942.21875</v>
      </c>
      <c r="F54" t="n">
        <v>32666549568</v>
      </c>
    </row>
    <row r="55">
      <c r="A55" t="inlineStr">
        <is>
          <t>2021-08-27</t>
        </is>
      </c>
      <c r="B55" t="n">
        <v>46894.5546875</v>
      </c>
      <c r="C55" t="n">
        <v>49112.78515625</v>
      </c>
      <c r="D55" t="n">
        <v>46394.28125</v>
      </c>
      <c r="E55" t="n">
        <v>49058.66796875</v>
      </c>
      <c r="F55" t="n">
        <v>34511076995</v>
      </c>
    </row>
    <row r="56">
      <c r="A56" t="inlineStr">
        <is>
          <t>2021-08-28</t>
        </is>
      </c>
      <c r="B56" t="n">
        <v>49072.5859375</v>
      </c>
      <c r="C56" t="n">
        <v>49283.50390625</v>
      </c>
      <c r="D56" t="n">
        <v>48499.23828125</v>
      </c>
      <c r="E56" t="n">
        <v>48902.40234375</v>
      </c>
      <c r="F56" t="n">
        <v>28568103401</v>
      </c>
    </row>
    <row r="57">
      <c r="A57" t="inlineStr">
        <is>
          <t>2021-08-29</t>
        </is>
      </c>
      <c r="B57" t="n">
        <v>48911.25</v>
      </c>
      <c r="C57" t="n">
        <v>49644.11328125</v>
      </c>
      <c r="D57" t="n">
        <v>47925.85546875</v>
      </c>
      <c r="E57" t="n">
        <v>48829.83203125</v>
      </c>
      <c r="F57" t="n">
        <v>25889650240</v>
      </c>
    </row>
    <row r="58">
      <c r="A58" t="inlineStr">
        <is>
          <t>2021-08-30</t>
        </is>
      </c>
      <c r="B58" t="n">
        <v>48834.8515625</v>
      </c>
      <c r="C58" t="n">
        <v>48925.60546875</v>
      </c>
      <c r="D58" t="n">
        <v>46950.2734375</v>
      </c>
      <c r="E58" t="n">
        <v>47054.984375</v>
      </c>
      <c r="F58" t="n">
        <v>31847007016</v>
      </c>
    </row>
    <row r="59">
      <c r="A59" t="inlineStr">
        <is>
          <t>2021-08-31</t>
        </is>
      </c>
      <c r="B59" t="n">
        <v>47024.33984375</v>
      </c>
      <c r="C59" t="n">
        <v>48189.55078125</v>
      </c>
      <c r="D59" t="n">
        <v>46750.09375</v>
      </c>
      <c r="E59" t="n">
        <v>47166.6875</v>
      </c>
      <c r="F59" t="n">
        <v>34730363427</v>
      </c>
    </row>
    <row r="60">
      <c r="A60" t="inlineStr">
        <is>
          <t>2021-09-01</t>
        </is>
      </c>
      <c r="B60" t="n">
        <v>47099.7734375</v>
      </c>
      <c r="C60" t="n">
        <v>49111.08984375</v>
      </c>
      <c r="D60" t="n">
        <v>46562.4375</v>
      </c>
      <c r="E60" t="n">
        <v>48847.02734375</v>
      </c>
      <c r="F60" t="n">
        <v>39139399125</v>
      </c>
    </row>
    <row r="61">
      <c r="A61" t="inlineStr">
        <is>
          <t>2021-09-02</t>
        </is>
      </c>
      <c r="B61" t="n">
        <v>48807.84765625</v>
      </c>
      <c r="C61" t="n">
        <v>50343.421875</v>
      </c>
      <c r="D61" t="n">
        <v>48652.3203125</v>
      </c>
      <c r="E61" t="n">
        <v>49327.72265625</v>
      </c>
      <c r="F61" t="n">
        <v>39508070319</v>
      </c>
    </row>
    <row r="62">
      <c r="A62" t="inlineStr">
        <is>
          <t>2021-09-03</t>
        </is>
      </c>
      <c r="B62" t="n">
        <v>49288.25</v>
      </c>
      <c r="C62" t="n">
        <v>50982.2734375</v>
      </c>
      <c r="D62" t="n">
        <v>48386.0859375</v>
      </c>
      <c r="E62" t="n">
        <v>50025.375</v>
      </c>
      <c r="F62" t="n">
        <v>43206179619</v>
      </c>
    </row>
    <row r="63">
      <c r="A63" t="inlineStr">
        <is>
          <t>2021-09-04</t>
        </is>
      </c>
      <c r="B63" t="n">
        <v>50009.32421875</v>
      </c>
      <c r="C63" t="n">
        <v>50545.58203125</v>
      </c>
      <c r="D63" t="n">
        <v>49548.78125</v>
      </c>
      <c r="E63" t="n">
        <v>49944.625</v>
      </c>
      <c r="F63" t="n">
        <v>37471327794</v>
      </c>
    </row>
    <row r="64">
      <c r="A64" t="inlineStr">
        <is>
          <t>2021-09-05</t>
        </is>
      </c>
      <c r="B64" t="n">
        <v>49937.859375</v>
      </c>
      <c r="C64" t="n">
        <v>51868.6796875</v>
      </c>
      <c r="D64" t="n">
        <v>49538.59765625</v>
      </c>
      <c r="E64" t="n">
        <v>51753.41015625</v>
      </c>
      <c r="F64" t="n">
        <v>30322676319</v>
      </c>
    </row>
    <row r="65">
      <c r="A65" t="inlineStr">
        <is>
          <t>2021-09-06</t>
        </is>
      </c>
      <c r="B65" t="n">
        <v>51769.00390625</v>
      </c>
      <c r="C65" t="n">
        <v>52700.94140625</v>
      </c>
      <c r="D65" t="n">
        <v>51053.6796875</v>
      </c>
      <c r="E65" t="n">
        <v>52633.53515625</v>
      </c>
      <c r="F65" t="n">
        <v>38884105426</v>
      </c>
    </row>
    <row r="66">
      <c r="A66" t="inlineStr">
        <is>
          <t>2021-09-07</t>
        </is>
      </c>
      <c r="B66" t="n">
        <v>52660.48046875</v>
      </c>
      <c r="C66" t="n">
        <v>52853.765625</v>
      </c>
      <c r="D66" t="n">
        <v>43285.20703125</v>
      </c>
      <c r="E66" t="n">
        <v>46811.12890625</v>
      </c>
      <c r="F66" t="n">
        <v>65210059683</v>
      </c>
    </row>
    <row r="67">
      <c r="A67" t="inlineStr">
        <is>
          <t>2021-09-08</t>
        </is>
      </c>
      <c r="B67" t="n">
        <v>46827.76171875</v>
      </c>
      <c r="C67" t="n">
        <v>47334.0546875</v>
      </c>
      <c r="D67" t="n">
        <v>44561.39453125</v>
      </c>
      <c r="E67" t="n">
        <v>46091.390625</v>
      </c>
      <c r="F67" t="n">
        <v>49007762488</v>
      </c>
    </row>
    <row r="68">
      <c r="A68" t="inlineStr">
        <is>
          <t>2021-09-09</t>
        </is>
      </c>
      <c r="B68" t="n">
        <v>45774.7421875</v>
      </c>
      <c r="C68" t="n">
        <v>47261.94921875</v>
      </c>
      <c r="D68" t="n">
        <v>45669.73828125</v>
      </c>
      <c r="E68" t="n">
        <v>46391.421875</v>
      </c>
      <c r="F68" t="n">
        <v>38672657013</v>
      </c>
    </row>
    <row r="69">
      <c r="A69" t="inlineStr">
        <is>
          <t>2021-09-10</t>
        </is>
      </c>
      <c r="B69" t="n">
        <v>46396.6640625</v>
      </c>
      <c r="C69" t="n">
        <v>47031.7421875</v>
      </c>
      <c r="D69" t="n">
        <v>44344.484375</v>
      </c>
      <c r="E69" t="n">
        <v>44883.91015625</v>
      </c>
      <c r="F69" t="n">
        <v>39154666597</v>
      </c>
    </row>
    <row r="70">
      <c r="A70" t="inlineStr">
        <is>
          <t>2021-09-11</t>
        </is>
      </c>
      <c r="B70" t="n">
        <v>44869.83984375</v>
      </c>
      <c r="C70" t="n">
        <v>45969.29296875</v>
      </c>
      <c r="D70" t="n">
        <v>44818.265625</v>
      </c>
      <c r="E70" t="n">
        <v>45201.45703125</v>
      </c>
      <c r="F70" t="n">
        <v>34499835245</v>
      </c>
    </row>
    <row r="71">
      <c r="A71" t="inlineStr">
        <is>
          <t>2021-09-12</t>
        </is>
      </c>
      <c r="B71" t="n">
        <v>45206.62890625</v>
      </c>
      <c r="C71" t="n">
        <v>46364.87890625</v>
      </c>
      <c r="D71" t="n">
        <v>44790.4609375</v>
      </c>
      <c r="E71" t="n">
        <v>46063.26953125</v>
      </c>
      <c r="F71" t="n">
        <v>27881980161</v>
      </c>
    </row>
    <row r="72">
      <c r="A72" t="inlineStr">
        <is>
          <t>2021-09-13</t>
        </is>
      </c>
      <c r="B72" t="n">
        <v>46057.21484375</v>
      </c>
      <c r="C72" t="n">
        <v>46598.6796875</v>
      </c>
      <c r="D72" t="n">
        <v>43591.3203125</v>
      </c>
      <c r="E72" t="n">
        <v>44963.07421875</v>
      </c>
      <c r="F72" t="n">
        <v>40969943253</v>
      </c>
    </row>
    <row r="73">
      <c r="A73" t="inlineStr">
        <is>
          <t>2021-09-14</t>
        </is>
      </c>
      <c r="B73" t="n">
        <v>44960.05078125</v>
      </c>
      <c r="C73" t="n">
        <v>47218.125</v>
      </c>
      <c r="D73" t="n">
        <v>44752.33203125</v>
      </c>
      <c r="E73" t="n">
        <v>47092.4921875</v>
      </c>
      <c r="F73" t="n">
        <v>38652152880</v>
      </c>
    </row>
    <row r="74">
      <c r="A74" t="inlineStr">
        <is>
          <t>2021-09-15</t>
        </is>
      </c>
      <c r="B74" t="n">
        <v>47098</v>
      </c>
      <c r="C74" t="n">
        <v>48450.46875</v>
      </c>
      <c r="D74" t="n">
        <v>46773.328125</v>
      </c>
      <c r="E74" t="n">
        <v>48176.34765625</v>
      </c>
      <c r="F74" t="n">
        <v>30484496466</v>
      </c>
    </row>
    <row r="75">
      <c r="A75" t="inlineStr">
        <is>
          <t>2021-09-16</t>
        </is>
      </c>
      <c r="B75" t="n">
        <v>48158.90625</v>
      </c>
      <c r="C75" t="n">
        <v>48486.828125</v>
      </c>
      <c r="D75" t="n">
        <v>47079.55859375</v>
      </c>
      <c r="E75" t="n">
        <v>47783.359375</v>
      </c>
      <c r="F75" t="n">
        <v>31764293754</v>
      </c>
    </row>
    <row r="76">
      <c r="A76" t="inlineStr">
        <is>
          <t>2021-09-17</t>
        </is>
      </c>
      <c r="B76" t="n">
        <v>47771.00390625</v>
      </c>
      <c r="C76" t="n">
        <v>48160.921875</v>
      </c>
      <c r="D76" t="n">
        <v>46832.5234375</v>
      </c>
      <c r="E76" t="n">
        <v>47267.51953125</v>
      </c>
      <c r="F76" t="n">
        <v>28727713711</v>
      </c>
    </row>
    <row r="77">
      <c r="A77" t="inlineStr">
        <is>
          <t>2021-09-18</t>
        </is>
      </c>
      <c r="B77" t="n">
        <v>47273.52734375</v>
      </c>
      <c r="C77" t="n">
        <v>48791.78125</v>
      </c>
      <c r="D77" t="n">
        <v>47087.28515625</v>
      </c>
      <c r="E77" t="n">
        <v>48278.36328125</v>
      </c>
      <c r="F77" t="n">
        <v>28575630451</v>
      </c>
    </row>
    <row r="78">
      <c r="A78" t="inlineStr">
        <is>
          <t>2021-09-19</t>
        </is>
      </c>
      <c r="B78" t="n">
        <v>48268.85546875</v>
      </c>
      <c r="C78" t="n">
        <v>48328.3671875</v>
      </c>
      <c r="D78" t="n">
        <v>46919.8046875</v>
      </c>
      <c r="E78" t="n">
        <v>47260.21875</v>
      </c>
      <c r="F78" t="n">
        <v>26967722648</v>
      </c>
    </row>
    <row r="79">
      <c r="A79" t="inlineStr">
        <is>
          <t>2021-09-20</t>
        </is>
      </c>
      <c r="B79" t="n">
        <v>47261.40625</v>
      </c>
      <c r="C79" t="n">
        <v>47328.19921875</v>
      </c>
      <c r="D79" t="n">
        <v>42598.9140625</v>
      </c>
      <c r="E79" t="n">
        <v>42843.80078125</v>
      </c>
      <c r="F79" t="n">
        <v>43909845642</v>
      </c>
    </row>
    <row r="80">
      <c r="A80" t="inlineStr">
        <is>
          <t>2021-09-21</t>
        </is>
      </c>
      <c r="B80" t="n">
        <v>43012.234375</v>
      </c>
      <c r="C80" t="n">
        <v>43607.609375</v>
      </c>
      <c r="D80" t="n">
        <v>39787.609375</v>
      </c>
      <c r="E80" t="n">
        <v>40693.67578125</v>
      </c>
      <c r="F80" t="n">
        <v>48701090088</v>
      </c>
    </row>
    <row r="81">
      <c r="A81" t="inlineStr">
        <is>
          <t>2021-09-22</t>
        </is>
      </c>
      <c r="B81" t="n">
        <v>40677.953125</v>
      </c>
      <c r="C81" t="n">
        <v>43978.62109375</v>
      </c>
      <c r="D81" t="n">
        <v>40625.6328125</v>
      </c>
      <c r="E81" t="n">
        <v>43574.5078125</v>
      </c>
      <c r="F81" t="n">
        <v>38139709246</v>
      </c>
    </row>
    <row r="82">
      <c r="A82" t="inlineStr">
        <is>
          <t>2021-09-23</t>
        </is>
      </c>
      <c r="B82" t="n">
        <v>43560.296875</v>
      </c>
      <c r="C82" t="n">
        <v>44942.17578125</v>
      </c>
      <c r="D82" t="n">
        <v>43109.33984375</v>
      </c>
      <c r="E82" t="n">
        <v>44895.09765625</v>
      </c>
      <c r="F82" t="n">
        <v>34244064430</v>
      </c>
    </row>
    <row r="83">
      <c r="A83" t="inlineStr">
        <is>
          <t>2021-09-24</t>
        </is>
      </c>
      <c r="B83" t="n">
        <v>44894.30078125</v>
      </c>
      <c r="C83" t="n">
        <v>45080.4921875</v>
      </c>
      <c r="D83" t="n">
        <v>40936.55859375</v>
      </c>
      <c r="E83" t="n">
        <v>42839.75</v>
      </c>
      <c r="F83" t="n">
        <v>42839345714</v>
      </c>
    </row>
    <row r="84">
      <c r="A84" t="inlineStr">
        <is>
          <t>2021-09-25</t>
        </is>
      </c>
      <c r="B84" t="n">
        <v>42840.890625</v>
      </c>
      <c r="C84" t="n">
        <v>42996.2578125</v>
      </c>
      <c r="D84" t="n">
        <v>41759.921875</v>
      </c>
      <c r="E84" t="n">
        <v>42716.59375</v>
      </c>
      <c r="F84" t="n">
        <v>31604717236</v>
      </c>
    </row>
    <row r="85">
      <c r="A85" t="inlineStr">
        <is>
          <t>2021-09-26</t>
        </is>
      </c>
      <c r="B85" t="n">
        <v>42721.62890625</v>
      </c>
      <c r="C85" t="n">
        <v>43919.30078125</v>
      </c>
      <c r="D85" t="n">
        <v>40848.4609375</v>
      </c>
      <c r="E85" t="n">
        <v>43208.5390625</v>
      </c>
      <c r="F85" t="n">
        <v>30661222077</v>
      </c>
    </row>
    <row r="86">
      <c r="A86" t="inlineStr">
        <is>
          <t>2021-09-27</t>
        </is>
      </c>
      <c r="B86" t="n">
        <v>43234.18359375</v>
      </c>
      <c r="C86" t="n">
        <v>44313.24609375</v>
      </c>
      <c r="D86" t="n">
        <v>42190.6328125</v>
      </c>
      <c r="E86" t="n">
        <v>42235.73046875</v>
      </c>
      <c r="F86" t="n">
        <v>30980029059</v>
      </c>
    </row>
    <row r="87">
      <c r="A87" t="inlineStr">
        <is>
          <t>2021-09-28</t>
        </is>
      </c>
      <c r="B87" t="n">
        <v>42200.8984375</v>
      </c>
      <c r="C87" t="n">
        <v>42775.14453125</v>
      </c>
      <c r="D87" t="n">
        <v>40931.6640625</v>
      </c>
      <c r="E87" t="n">
        <v>41034.54296875</v>
      </c>
      <c r="F87" t="n">
        <v>30214940550</v>
      </c>
    </row>
    <row r="88">
      <c r="A88" t="inlineStr">
        <is>
          <t>2021-09-29</t>
        </is>
      </c>
      <c r="B88" t="n">
        <v>41064.984375</v>
      </c>
      <c r="C88" t="n">
        <v>42545.2578125</v>
      </c>
      <c r="D88" t="n">
        <v>40829.66796875</v>
      </c>
      <c r="E88" t="n">
        <v>41564.36328125</v>
      </c>
      <c r="F88" t="n">
        <v>30602359905</v>
      </c>
    </row>
    <row r="89">
      <c r="A89" t="inlineStr">
        <is>
          <t>2021-09-30</t>
        </is>
      </c>
      <c r="B89" t="n">
        <v>41551.26953125</v>
      </c>
      <c r="C89" t="n">
        <v>44092.6015625</v>
      </c>
      <c r="D89" t="n">
        <v>41444.58203125</v>
      </c>
      <c r="E89" t="n">
        <v>43790.89453125</v>
      </c>
      <c r="F89" t="n">
        <v>31141681925</v>
      </c>
    </row>
    <row r="90">
      <c r="A90" t="inlineStr">
        <is>
          <t>2021-10-01</t>
        </is>
      </c>
      <c r="B90" t="n">
        <v>43816.7421875</v>
      </c>
      <c r="C90" t="n">
        <v>48436.01171875</v>
      </c>
      <c r="D90" t="n">
        <v>43320.0234375</v>
      </c>
      <c r="E90" t="n">
        <v>48116.94140625</v>
      </c>
      <c r="F90" t="n">
        <v>42850641582</v>
      </c>
    </row>
    <row r="91">
      <c r="A91" t="inlineStr">
        <is>
          <t>2021-10-02</t>
        </is>
      </c>
      <c r="B91" t="n">
        <v>48137.46875</v>
      </c>
      <c r="C91" t="n">
        <v>48282.0625</v>
      </c>
      <c r="D91" t="n">
        <v>47465.49609375</v>
      </c>
      <c r="E91" t="n">
        <v>47711.48828125</v>
      </c>
      <c r="F91" t="n">
        <v>30614346492</v>
      </c>
    </row>
    <row r="92">
      <c r="A92" t="inlineStr">
        <is>
          <t>2021-10-03</t>
        </is>
      </c>
      <c r="B92" t="n">
        <v>47680.02734375</v>
      </c>
      <c r="C92" t="n">
        <v>49130.69140625</v>
      </c>
      <c r="D92" t="n">
        <v>47157.2890625</v>
      </c>
      <c r="E92" t="n">
        <v>48199.953125</v>
      </c>
      <c r="F92" t="n">
        <v>26638115879</v>
      </c>
    </row>
    <row r="93">
      <c r="A93" t="inlineStr">
        <is>
          <t>2021-10-04</t>
        </is>
      </c>
      <c r="B93" t="n">
        <v>48208.90625</v>
      </c>
      <c r="C93" t="n">
        <v>49456.77734375</v>
      </c>
      <c r="D93" t="n">
        <v>47045.00390625</v>
      </c>
      <c r="E93" t="n">
        <v>49112.90234375</v>
      </c>
      <c r="F93" t="n">
        <v>33383173002</v>
      </c>
    </row>
    <row r="94">
      <c r="A94" t="inlineStr">
        <is>
          <t>2021-10-05</t>
        </is>
      </c>
      <c r="B94" t="n">
        <v>49174.9609375</v>
      </c>
      <c r="C94" t="n">
        <v>51839.984375</v>
      </c>
      <c r="D94" t="n">
        <v>49072.83984375</v>
      </c>
      <c r="E94" t="n">
        <v>51514.8125</v>
      </c>
      <c r="F94" t="n">
        <v>35873904236</v>
      </c>
    </row>
    <row r="95">
      <c r="A95" t="inlineStr">
        <is>
          <t>2021-10-06</t>
        </is>
      </c>
      <c r="B95" t="n">
        <v>51486.6640625</v>
      </c>
      <c r="C95" t="n">
        <v>55568.46484375</v>
      </c>
      <c r="D95" t="n">
        <v>50488.19140625</v>
      </c>
      <c r="E95" t="n">
        <v>55361.44921875</v>
      </c>
      <c r="F95" t="n">
        <v>49034730168</v>
      </c>
    </row>
    <row r="96">
      <c r="A96" t="inlineStr">
        <is>
          <t>2021-10-07</t>
        </is>
      </c>
      <c r="B96" t="n">
        <v>55338.625</v>
      </c>
      <c r="C96" t="n">
        <v>55338.625</v>
      </c>
      <c r="D96" t="n">
        <v>53525.46875</v>
      </c>
      <c r="E96" t="n">
        <v>53805.984375</v>
      </c>
      <c r="F96" t="n">
        <v>36807860413</v>
      </c>
    </row>
    <row r="97">
      <c r="A97" t="inlineStr">
        <is>
          <t>2021-10-08</t>
        </is>
      </c>
      <c r="B97" t="n">
        <v>53802.14453125</v>
      </c>
      <c r="C97" t="n">
        <v>55922.98046875</v>
      </c>
      <c r="D97" t="n">
        <v>53688.0546875</v>
      </c>
      <c r="E97" t="n">
        <v>53967.84765625</v>
      </c>
      <c r="F97" t="n">
        <v>34800873924</v>
      </c>
    </row>
    <row r="98">
      <c r="A98" t="inlineStr">
        <is>
          <t>2021-10-09</t>
        </is>
      </c>
      <c r="B98" t="n">
        <v>53929.78125</v>
      </c>
      <c r="C98" t="n">
        <v>55397.9453125</v>
      </c>
      <c r="D98" t="n">
        <v>53735.14453125</v>
      </c>
      <c r="E98" t="n">
        <v>54968.22265625</v>
      </c>
      <c r="F98" t="n">
        <v>32491211414</v>
      </c>
    </row>
    <row r="99">
      <c r="A99" t="inlineStr">
        <is>
          <t>2021-10-10</t>
        </is>
      </c>
      <c r="B99" t="n">
        <v>54952.8203125</v>
      </c>
      <c r="C99" t="n">
        <v>56401.3046875</v>
      </c>
      <c r="D99" t="n">
        <v>54264.2578125</v>
      </c>
      <c r="E99" t="n">
        <v>54771.578125</v>
      </c>
      <c r="F99" t="n">
        <v>39527792364</v>
      </c>
    </row>
    <row r="100">
      <c r="A100" t="inlineStr">
        <is>
          <t>2021-10-11</t>
        </is>
      </c>
      <c r="B100" t="n">
        <v>54734.125</v>
      </c>
      <c r="C100" t="n">
        <v>57793.0390625</v>
      </c>
      <c r="D100" t="n">
        <v>54519.765625</v>
      </c>
      <c r="E100" t="n">
        <v>57484.7890625</v>
      </c>
      <c r="F100" t="n">
        <v>42637331698</v>
      </c>
    </row>
    <row r="101">
      <c r="A101" t="inlineStr">
        <is>
          <t>2021-10-12</t>
        </is>
      </c>
      <c r="B101" t="n">
        <v>57526.83203125</v>
      </c>
      <c r="C101" t="n">
        <v>57627.87890625</v>
      </c>
      <c r="D101" t="n">
        <v>54477.97265625</v>
      </c>
      <c r="E101" t="n">
        <v>56041.05859375</v>
      </c>
      <c r="F101" t="n">
        <v>41083758949</v>
      </c>
    </row>
    <row r="102">
      <c r="A102" t="inlineStr">
        <is>
          <t>2021-10-13</t>
        </is>
      </c>
      <c r="B102" t="n">
        <v>56038.2578125</v>
      </c>
      <c r="C102" t="n">
        <v>57688.66015625</v>
      </c>
      <c r="D102" t="n">
        <v>54370.97265625</v>
      </c>
      <c r="E102" t="n">
        <v>57401.09765625</v>
      </c>
      <c r="F102" t="n">
        <v>41684252783</v>
      </c>
    </row>
    <row r="103">
      <c r="A103" t="inlineStr">
        <is>
          <t>2021-10-14</t>
        </is>
      </c>
      <c r="B103" t="n">
        <v>57372.83203125</v>
      </c>
      <c r="C103" t="n">
        <v>58478.734375</v>
      </c>
      <c r="D103" t="n">
        <v>56957.07421875</v>
      </c>
      <c r="E103" t="n">
        <v>57321.5234375</v>
      </c>
      <c r="F103" t="n">
        <v>36615791366</v>
      </c>
    </row>
    <row r="104">
      <c r="A104" t="inlineStr">
        <is>
          <t>2021-10-15</t>
        </is>
      </c>
      <c r="B104" t="n">
        <v>57345.90234375</v>
      </c>
      <c r="C104" t="n">
        <v>62757.12890625</v>
      </c>
      <c r="D104" t="n">
        <v>56868.14453125</v>
      </c>
      <c r="E104" t="n">
        <v>61593.94921875</v>
      </c>
      <c r="F104" t="n">
        <v>51780081801</v>
      </c>
    </row>
    <row r="105">
      <c r="A105" t="inlineStr">
        <is>
          <t>2021-10-16</t>
        </is>
      </c>
      <c r="B105" t="n">
        <v>61609.52734375</v>
      </c>
      <c r="C105" t="n">
        <v>62274.4765625</v>
      </c>
      <c r="D105" t="n">
        <v>60206.12109375</v>
      </c>
      <c r="E105" t="n">
        <v>60892.1796875</v>
      </c>
      <c r="F105" t="n">
        <v>34250964237</v>
      </c>
    </row>
    <row r="106">
      <c r="A106" t="inlineStr">
        <is>
          <t>2021-10-17</t>
        </is>
      </c>
      <c r="B106" t="n">
        <v>60887.65234375</v>
      </c>
      <c r="C106" t="n">
        <v>61645.5234375</v>
      </c>
      <c r="D106" t="n">
        <v>59164.46875</v>
      </c>
      <c r="E106" t="n">
        <v>61553.6171875</v>
      </c>
      <c r="F106" t="n">
        <v>29032367511</v>
      </c>
    </row>
    <row r="107">
      <c r="A107" t="inlineStr">
        <is>
          <t>2021-10-18</t>
        </is>
      </c>
      <c r="B107" t="n">
        <v>61548.8046875</v>
      </c>
      <c r="C107" t="n">
        <v>62614.66015625</v>
      </c>
      <c r="D107" t="n">
        <v>60012.7578125</v>
      </c>
      <c r="E107" t="n">
        <v>62026.078125</v>
      </c>
      <c r="F107" t="n">
        <v>38055562075</v>
      </c>
    </row>
    <row r="108">
      <c r="A108" t="inlineStr">
        <is>
          <t>2021-10-19</t>
        </is>
      </c>
      <c r="B108" t="n">
        <v>62043.1640625</v>
      </c>
      <c r="C108" t="n">
        <v>64434.53515625</v>
      </c>
      <c r="D108" t="n">
        <v>61622.93359375</v>
      </c>
      <c r="E108" t="n">
        <v>64261.9921875</v>
      </c>
      <c r="F108" t="n">
        <v>40471196346</v>
      </c>
    </row>
    <row r="109">
      <c r="A109" t="inlineStr">
        <is>
          <t>2021-10-20</t>
        </is>
      </c>
      <c r="B109" t="n">
        <v>64284.5859375</v>
      </c>
      <c r="C109" t="n">
        <v>66930.390625</v>
      </c>
      <c r="D109" t="n">
        <v>63610.67578125</v>
      </c>
      <c r="E109" t="n">
        <v>65992.8359375</v>
      </c>
      <c r="F109" t="n">
        <v>40788955582</v>
      </c>
    </row>
    <row r="110">
      <c r="A110" t="inlineStr">
        <is>
          <t>2021-10-21</t>
        </is>
      </c>
      <c r="B110" t="n">
        <v>66002.234375</v>
      </c>
      <c r="C110" t="n">
        <v>66600.546875</v>
      </c>
      <c r="D110" t="n">
        <v>62117.41015625</v>
      </c>
      <c r="E110" t="n">
        <v>62210.171875</v>
      </c>
      <c r="F110" t="n">
        <v>45908121370</v>
      </c>
    </row>
    <row r="111">
      <c r="A111" t="inlineStr">
        <is>
          <t>2021-10-22</t>
        </is>
      </c>
      <c r="B111" t="n">
        <v>62237.890625</v>
      </c>
      <c r="C111" t="n">
        <v>63715.0234375</v>
      </c>
      <c r="D111" t="n">
        <v>60122.796875</v>
      </c>
      <c r="E111" t="n">
        <v>60692.265625</v>
      </c>
      <c r="F111" t="n">
        <v>38434082775</v>
      </c>
    </row>
    <row r="112">
      <c r="A112" t="inlineStr">
        <is>
          <t>2021-10-23</t>
        </is>
      </c>
      <c r="B112" t="n">
        <v>60694.62890625</v>
      </c>
      <c r="C112" t="n">
        <v>61743.87890625</v>
      </c>
      <c r="D112" t="n">
        <v>59826.5234375</v>
      </c>
      <c r="E112" t="n">
        <v>61393.6171875</v>
      </c>
      <c r="F112" t="n">
        <v>26882546034</v>
      </c>
    </row>
    <row r="113">
      <c r="A113" t="inlineStr">
        <is>
          <t>2021-10-24</t>
        </is>
      </c>
      <c r="B113" t="n">
        <v>61368.34375</v>
      </c>
      <c r="C113" t="n">
        <v>61505.8046875</v>
      </c>
      <c r="D113" t="n">
        <v>59643.34375</v>
      </c>
      <c r="E113" t="n">
        <v>60930.8359375</v>
      </c>
      <c r="F113" t="n">
        <v>27316183882</v>
      </c>
    </row>
    <row r="114">
      <c r="A114" t="inlineStr">
        <is>
          <t>2021-10-25</t>
        </is>
      </c>
      <c r="B114" t="n">
        <v>60893.92578125</v>
      </c>
      <c r="C114" t="n">
        <v>63729.32421875</v>
      </c>
      <c r="D114" t="n">
        <v>60691.80078125</v>
      </c>
      <c r="E114" t="n">
        <v>63039.82421875</v>
      </c>
      <c r="F114" t="n">
        <v>31064911614</v>
      </c>
    </row>
    <row r="115">
      <c r="A115" t="inlineStr">
        <is>
          <t>2021-10-26</t>
        </is>
      </c>
      <c r="B115" t="n">
        <v>63032.76171875</v>
      </c>
      <c r="C115" t="n">
        <v>63229.02734375</v>
      </c>
      <c r="D115" t="n">
        <v>59991.16015625</v>
      </c>
      <c r="E115" t="n">
        <v>60363.79296875</v>
      </c>
      <c r="F115" t="n">
        <v>34878965587</v>
      </c>
    </row>
    <row r="116">
      <c r="A116" t="inlineStr">
        <is>
          <t>2021-10-27</t>
        </is>
      </c>
      <c r="B116" t="n">
        <v>60352</v>
      </c>
      <c r="C116" t="n">
        <v>61435.18359375</v>
      </c>
      <c r="D116" t="n">
        <v>58208.1875</v>
      </c>
      <c r="E116" t="n">
        <v>58482.38671875</v>
      </c>
      <c r="F116" t="n">
        <v>43657076893</v>
      </c>
    </row>
    <row r="117">
      <c r="A117" t="inlineStr">
        <is>
          <t>2021-10-28</t>
        </is>
      </c>
      <c r="B117" t="n">
        <v>58470.73046875</v>
      </c>
      <c r="C117" t="n">
        <v>62128.6328125</v>
      </c>
      <c r="D117" t="n">
        <v>58206.91796875</v>
      </c>
      <c r="E117" t="n">
        <v>60622.13671875</v>
      </c>
      <c r="F117" t="n">
        <v>45257083247</v>
      </c>
    </row>
    <row r="118">
      <c r="A118" t="inlineStr">
        <is>
          <t>2021-10-29</t>
        </is>
      </c>
      <c r="B118" t="n">
        <v>60624.87109375</v>
      </c>
      <c r="C118" t="n">
        <v>62927.609375</v>
      </c>
      <c r="D118" t="n">
        <v>60329.96484375</v>
      </c>
      <c r="E118" t="n">
        <v>62227.96484375</v>
      </c>
      <c r="F118" t="n">
        <v>36856881767</v>
      </c>
    </row>
    <row r="119">
      <c r="A119" t="inlineStr">
        <is>
          <t>2021-10-30</t>
        </is>
      </c>
      <c r="B119" t="n">
        <v>62239.36328125</v>
      </c>
      <c r="C119" t="n">
        <v>62330.14453125</v>
      </c>
      <c r="D119" t="n">
        <v>60918.38671875</v>
      </c>
      <c r="E119" t="n">
        <v>61888.83203125</v>
      </c>
      <c r="F119" t="n">
        <v>32157938616</v>
      </c>
    </row>
    <row r="120">
      <c r="A120" t="inlineStr">
        <is>
          <t>2021-10-31</t>
        </is>
      </c>
      <c r="B120" t="n">
        <v>61850.48828125</v>
      </c>
      <c r="C120" t="n">
        <v>62406.171875</v>
      </c>
      <c r="D120" t="n">
        <v>60074.328125</v>
      </c>
      <c r="E120" t="n">
        <v>61318.95703125</v>
      </c>
      <c r="F120" t="n">
        <v>32241199927</v>
      </c>
    </row>
    <row r="121">
      <c r="A121" t="inlineStr">
        <is>
          <t>2021-11-01</t>
        </is>
      </c>
      <c r="B121" t="n">
        <v>61320.44921875</v>
      </c>
      <c r="C121" t="n">
        <v>62419.00390625</v>
      </c>
      <c r="D121" t="n">
        <v>59695.18359375</v>
      </c>
      <c r="E121" t="n">
        <v>61004.40625</v>
      </c>
      <c r="F121" t="n">
        <v>36150572843</v>
      </c>
    </row>
    <row r="122">
      <c r="A122" t="inlineStr">
        <is>
          <t>2021-11-02</t>
        </is>
      </c>
      <c r="B122" t="n">
        <v>60963.25390625</v>
      </c>
      <c r="C122" t="n">
        <v>64242.79296875</v>
      </c>
      <c r="D122" t="n">
        <v>60673.0546875</v>
      </c>
      <c r="E122" t="n">
        <v>63226.40234375</v>
      </c>
      <c r="F122" t="n">
        <v>37746665647</v>
      </c>
    </row>
    <row r="123">
      <c r="A123" t="inlineStr">
        <is>
          <t>2021-11-03</t>
        </is>
      </c>
      <c r="B123" t="n">
        <v>63254.3359375</v>
      </c>
      <c r="C123" t="n">
        <v>63516.9375</v>
      </c>
      <c r="D123" t="n">
        <v>61184.23828125</v>
      </c>
      <c r="E123" t="n">
        <v>62970.046875</v>
      </c>
      <c r="F123" t="n">
        <v>36124731509</v>
      </c>
    </row>
    <row r="124">
      <c r="A124" t="inlineStr">
        <is>
          <t>2021-11-04</t>
        </is>
      </c>
      <c r="B124" t="n">
        <v>62941.8046875</v>
      </c>
      <c r="C124" t="n">
        <v>63123.2890625</v>
      </c>
      <c r="D124" t="n">
        <v>60799.6640625</v>
      </c>
      <c r="E124" t="n">
        <v>61452.23046875</v>
      </c>
      <c r="F124" t="n">
        <v>32615846901</v>
      </c>
    </row>
    <row r="125">
      <c r="A125" t="inlineStr">
        <is>
          <t>2021-11-05</t>
        </is>
      </c>
      <c r="B125" t="n">
        <v>61460.078125</v>
      </c>
      <c r="C125" t="n">
        <v>62541.46875</v>
      </c>
      <c r="D125" t="n">
        <v>60844.609375</v>
      </c>
      <c r="E125" t="n">
        <v>61125.67578125</v>
      </c>
      <c r="F125" t="n">
        <v>30605102446</v>
      </c>
    </row>
    <row r="126">
      <c r="A126" t="inlineStr">
        <is>
          <t>2021-11-06</t>
        </is>
      </c>
      <c r="B126" t="n">
        <v>61068.875</v>
      </c>
      <c r="C126" t="n">
        <v>61590.68359375</v>
      </c>
      <c r="D126" t="n">
        <v>60163.78125</v>
      </c>
      <c r="E126" t="n">
        <v>61527.48046875</v>
      </c>
      <c r="F126" t="n">
        <v>29094934221</v>
      </c>
    </row>
    <row r="127">
      <c r="A127" t="inlineStr">
        <is>
          <t>2021-11-07</t>
        </is>
      </c>
      <c r="B127" t="n">
        <v>61554.921875</v>
      </c>
      <c r="C127" t="n">
        <v>63326.98828125</v>
      </c>
      <c r="D127" t="n">
        <v>61432.48828125</v>
      </c>
      <c r="E127" t="n">
        <v>63326.98828125</v>
      </c>
      <c r="F127" t="n">
        <v>24726754302</v>
      </c>
    </row>
    <row r="128">
      <c r="A128" t="inlineStr">
        <is>
          <t>2021-11-08</t>
        </is>
      </c>
      <c r="B128" t="n">
        <v>63344.06640625</v>
      </c>
      <c r="C128" t="n">
        <v>67673.7421875</v>
      </c>
      <c r="D128" t="n">
        <v>63344.06640625</v>
      </c>
      <c r="E128" t="n">
        <v>67566.828125</v>
      </c>
      <c r="F128" t="n">
        <v>41125608330</v>
      </c>
    </row>
    <row r="129">
      <c r="A129" t="inlineStr">
        <is>
          <t>2021-11-09</t>
        </is>
      </c>
      <c r="B129" t="n">
        <v>67549.734375</v>
      </c>
      <c r="C129" t="n">
        <v>68530.3359375</v>
      </c>
      <c r="D129" t="n">
        <v>66382.0625</v>
      </c>
      <c r="E129" t="n">
        <v>66971.828125</v>
      </c>
      <c r="F129" t="n">
        <v>42357991721</v>
      </c>
    </row>
    <row r="130">
      <c r="A130" t="inlineStr">
        <is>
          <t>2021-11-10</t>
        </is>
      </c>
      <c r="B130" t="n">
        <v>66953.3359375</v>
      </c>
      <c r="C130" t="n">
        <v>68789.625</v>
      </c>
      <c r="D130" t="n">
        <v>63208.11328125</v>
      </c>
      <c r="E130" t="n">
        <v>64995.23046875</v>
      </c>
      <c r="F130" t="n">
        <v>48730828378</v>
      </c>
    </row>
    <row r="131">
      <c r="A131" t="inlineStr">
        <is>
          <t>2021-11-11</t>
        </is>
      </c>
      <c r="B131" t="n">
        <v>64978.890625</v>
      </c>
      <c r="C131" t="n">
        <v>65579.015625</v>
      </c>
      <c r="D131" t="n">
        <v>64180.48828125</v>
      </c>
      <c r="E131" t="n">
        <v>64949.9609375</v>
      </c>
      <c r="F131" t="n">
        <v>35880633236</v>
      </c>
    </row>
    <row r="132">
      <c r="A132" t="inlineStr">
        <is>
          <t>2021-11-12</t>
        </is>
      </c>
      <c r="B132" t="n">
        <v>64863.98046875</v>
      </c>
      <c r="C132" t="n">
        <v>65460.81640625</v>
      </c>
      <c r="D132" t="n">
        <v>62333.9140625</v>
      </c>
      <c r="E132" t="n">
        <v>64155.94140625</v>
      </c>
      <c r="F132" t="n">
        <v>36084893887</v>
      </c>
    </row>
    <row r="133">
      <c r="A133" t="inlineStr">
        <is>
          <t>2021-11-13</t>
        </is>
      </c>
      <c r="B133" t="n">
        <v>64158.12109375</v>
      </c>
      <c r="C133" t="n">
        <v>64915.67578125</v>
      </c>
      <c r="D133" t="n">
        <v>63303.734375</v>
      </c>
      <c r="E133" t="n">
        <v>64469.52734375</v>
      </c>
      <c r="F133" t="n">
        <v>30474228777</v>
      </c>
    </row>
    <row r="134">
      <c r="A134" t="inlineStr">
        <is>
          <t>2021-11-14</t>
        </is>
      </c>
      <c r="B134" t="n">
        <v>64455.37109375</v>
      </c>
      <c r="C134" t="n">
        <v>65495.1796875</v>
      </c>
      <c r="D134" t="n">
        <v>63647.80859375</v>
      </c>
      <c r="E134" t="n">
        <v>65466.83984375</v>
      </c>
      <c r="F134" t="n">
        <v>25122092191</v>
      </c>
    </row>
    <row r="135">
      <c r="A135" t="inlineStr">
        <is>
          <t>2021-11-15</t>
        </is>
      </c>
      <c r="B135" t="n">
        <v>65521.2890625</v>
      </c>
      <c r="C135" t="n">
        <v>66281.5703125</v>
      </c>
      <c r="D135" t="n">
        <v>63548.14453125</v>
      </c>
      <c r="E135" t="n">
        <v>63557.87109375</v>
      </c>
      <c r="F135" t="n">
        <v>30558763548</v>
      </c>
    </row>
    <row r="136">
      <c r="A136" t="inlineStr">
        <is>
          <t>2021-11-16</t>
        </is>
      </c>
      <c r="B136" t="n">
        <v>63721.1953125</v>
      </c>
      <c r="C136" t="n">
        <v>63721.1953125</v>
      </c>
      <c r="D136" t="n">
        <v>59016.3359375</v>
      </c>
      <c r="E136" t="n">
        <v>60161.24609375</v>
      </c>
      <c r="F136" t="n">
        <v>46844335592</v>
      </c>
    </row>
    <row r="137">
      <c r="A137" t="inlineStr">
        <is>
          <t>2021-11-17</t>
        </is>
      </c>
      <c r="B137" t="n">
        <v>60139.62109375</v>
      </c>
      <c r="C137" t="n">
        <v>60823.609375</v>
      </c>
      <c r="D137" t="n">
        <v>58515.41015625</v>
      </c>
      <c r="E137" t="n">
        <v>60368.01171875</v>
      </c>
      <c r="F137" t="n">
        <v>39178392930</v>
      </c>
    </row>
    <row r="138">
      <c r="A138" t="inlineStr">
        <is>
          <t>2021-11-18</t>
        </is>
      </c>
      <c r="B138" t="n">
        <v>60360.13671875</v>
      </c>
      <c r="C138" t="n">
        <v>60948.5</v>
      </c>
      <c r="D138" t="n">
        <v>56550.79296875</v>
      </c>
      <c r="E138" t="n">
        <v>56942.13671875</v>
      </c>
      <c r="F138" t="n">
        <v>41388338699</v>
      </c>
    </row>
    <row r="139">
      <c r="A139" t="inlineStr">
        <is>
          <t>2021-11-19</t>
        </is>
      </c>
      <c r="B139" t="n">
        <v>56896.12890625</v>
      </c>
      <c r="C139" t="n">
        <v>58351.11328125</v>
      </c>
      <c r="D139" t="n">
        <v>55705.1796875</v>
      </c>
      <c r="E139" t="n">
        <v>58119.578125</v>
      </c>
      <c r="F139" t="n">
        <v>38702407772</v>
      </c>
    </row>
    <row r="140">
      <c r="A140" t="inlineStr">
        <is>
          <t>2021-11-20</t>
        </is>
      </c>
      <c r="B140" t="n">
        <v>58115.08203125</v>
      </c>
      <c r="C140" t="n">
        <v>59859.87890625</v>
      </c>
      <c r="D140" t="n">
        <v>57469.7265625</v>
      </c>
      <c r="E140" t="n">
        <v>59697.1953125</v>
      </c>
      <c r="F140" t="n">
        <v>30624264863</v>
      </c>
    </row>
    <row r="141">
      <c r="A141" t="inlineStr">
        <is>
          <t>2021-11-21</t>
        </is>
      </c>
      <c r="B141" t="n">
        <v>59730.5078125</v>
      </c>
      <c r="C141" t="n">
        <v>60004.42578125</v>
      </c>
      <c r="D141" t="n">
        <v>58618.9296875</v>
      </c>
      <c r="E141" t="n">
        <v>58730.4765625</v>
      </c>
      <c r="F141" t="n">
        <v>26123447605</v>
      </c>
    </row>
    <row r="142">
      <c r="A142" t="inlineStr">
        <is>
          <t>2021-11-22</t>
        </is>
      </c>
      <c r="B142" t="n">
        <v>58706.84765625</v>
      </c>
      <c r="C142" t="n">
        <v>59266.359375</v>
      </c>
      <c r="D142" t="n">
        <v>55679.83984375</v>
      </c>
      <c r="E142" t="n">
        <v>56289.2890625</v>
      </c>
      <c r="F142" t="n">
        <v>35036121783</v>
      </c>
    </row>
    <row r="143">
      <c r="A143" t="inlineStr">
        <is>
          <t>2021-11-23</t>
        </is>
      </c>
      <c r="B143" t="n">
        <v>56304.5546875</v>
      </c>
      <c r="C143" t="n">
        <v>57875.515625</v>
      </c>
      <c r="D143" t="n">
        <v>55632.76171875</v>
      </c>
      <c r="E143" t="n">
        <v>57569.07421875</v>
      </c>
      <c r="F143" t="n">
        <v>37485803899</v>
      </c>
    </row>
    <row r="144">
      <c r="A144" t="inlineStr">
        <is>
          <t>2021-11-24</t>
        </is>
      </c>
      <c r="B144" t="n">
        <v>57565.8515625</v>
      </c>
      <c r="C144" t="n">
        <v>57803.06640625</v>
      </c>
      <c r="D144" t="n">
        <v>55964.22265625</v>
      </c>
      <c r="E144" t="n">
        <v>56280.42578125</v>
      </c>
      <c r="F144" t="n">
        <v>36635566789</v>
      </c>
    </row>
    <row r="145">
      <c r="A145" t="inlineStr">
        <is>
          <t>2021-11-25</t>
        </is>
      </c>
      <c r="B145" t="n">
        <v>57165.41796875</v>
      </c>
      <c r="C145" t="n">
        <v>59367.96875</v>
      </c>
      <c r="D145" t="n">
        <v>57146.68359375</v>
      </c>
      <c r="E145" t="n">
        <v>57274.6796875</v>
      </c>
      <c r="F145" t="n">
        <v>34284016248</v>
      </c>
    </row>
    <row r="146">
      <c r="A146" t="inlineStr">
        <is>
          <t>2021-11-26</t>
        </is>
      </c>
      <c r="B146" t="n">
        <v>58960.28515625</v>
      </c>
      <c r="C146" t="n">
        <v>59183.48046875</v>
      </c>
      <c r="D146" t="n">
        <v>53569.765625</v>
      </c>
      <c r="E146" t="n">
        <v>53569.765625</v>
      </c>
      <c r="F146" t="n">
        <v>41810748221</v>
      </c>
    </row>
    <row r="147">
      <c r="A147" t="inlineStr">
        <is>
          <t>2021-11-27</t>
        </is>
      </c>
      <c r="B147" t="n">
        <v>53736.4296875</v>
      </c>
      <c r="C147" t="n">
        <v>55329.2578125</v>
      </c>
      <c r="D147" t="n">
        <v>53668.35546875</v>
      </c>
      <c r="E147" t="n">
        <v>54815.078125</v>
      </c>
      <c r="F147" t="n">
        <v>30560857714</v>
      </c>
    </row>
    <row r="148">
      <c r="A148" t="inlineStr">
        <is>
          <t>2021-11-28</t>
        </is>
      </c>
      <c r="B148" t="n">
        <v>54813.0234375</v>
      </c>
      <c r="C148" t="n">
        <v>57393.84375</v>
      </c>
      <c r="D148" t="n">
        <v>53576.734375</v>
      </c>
      <c r="E148" t="n">
        <v>57248.45703125</v>
      </c>
      <c r="F148" t="n">
        <v>28116886357</v>
      </c>
    </row>
    <row r="149">
      <c r="A149" t="inlineStr">
        <is>
          <t>2021-11-29</t>
        </is>
      </c>
      <c r="B149" t="n">
        <v>57291.90625</v>
      </c>
      <c r="C149" t="n">
        <v>58872.87890625</v>
      </c>
      <c r="D149" t="n">
        <v>56792.52734375</v>
      </c>
      <c r="E149" t="n">
        <v>57806.56640625</v>
      </c>
      <c r="F149" t="n">
        <v>32370840356</v>
      </c>
    </row>
    <row r="150">
      <c r="A150" t="inlineStr">
        <is>
          <t>2021-11-30</t>
        </is>
      </c>
      <c r="B150" t="n">
        <v>57830.11328125</v>
      </c>
      <c r="C150" t="n">
        <v>59113.40234375</v>
      </c>
      <c r="D150" t="n">
        <v>56057.28125</v>
      </c>
      <c r="E150" t="n">
        <v>57005.42578125</v>
      </c>
      <c r="F150" t="n">
        <v>36708594618</v>
      </c>
    </row>
    <row r="151">
      <c r="A151" t="inlineStr">
        <is>
          <t>2021-12-01</t>
        </is>
      </c>
      <c r="B151" t="n">
        <v>56907.96484375</v>
      </c>
      <c r="C151" t="n">
        <v>59041.68359375</v>
      </c>
      <c r="D151" t="n">
        <v>56553.08203125</v>
      </c>
      <c r="E151" t="n">
        <v>57229.828125</v>
      </c>
      <c r="F151" t="n">
        <v>36858195307</v>
      </c>
    </row>
    <row r="152">
      <c r="A152" t="inlineStr">
        <is>
          <t>2021-12-02</t>
        </is>
      </c>
      <c r="B152" t="n">
        <v>57217.37109375</v>
      </c>
      <c r="C152" t="n">
        <v>57349.234375</v>
      </c>
      <c r="D152" t="n">
        <v>55895.1328125</v>
      </c>
      <c r="E152" t="n">
        <v>56477.81640625</v>
      </c>
      <c r="F152" t="n">
        <v>32379968686</v>
      </c>
    </row>
    <row r="153">
      <c r="A153" t="inlineStr">
        <is>
          <t>2021-12-03</t>
        </is>
      </c>
      <c r="B153" t="n">
        <v>56509.1640625</v>
      </c>
      <c r="C153" t="n">
        <v>57482.16796875</v>
      </c>
      <c r="D153" t="n">
        <v>52496.5859375</v>
      </c>
      <c r="E153" t="n">
        <v>53598.24609375</v>
      </c>
      <c r="F153" t="n">
        <v>39789134215</v>
      </c>
    </row>
    <row r="154">
      <c r="A154" t="inlineStr">
        <is>
          <t>2021-12-04</t>
        </is>
      </c>
      <c r="B154" t="n">
        <v>53727.87890625</v>
      </c>
      <c r="C154" t="n">
        <v>53904.6796875</v>
      </c>
      <c r="D154" t="n">
        <v>42874.6171875</v>
      </c>
      <c r="E154" t="n">
        <v>49200.703125</v>
      </c>
      <c r="F154" t="n">
        <v>61385677469</v>
      </c>
    </row>
    <row r="155">
      <c r="A155" t="inlineStr">
        <is>
          <t>2021-12-05</t>
        </is>
      </c>
      <c r="B155" t="n">
        <v>49201.51953125</v>
      </c>
      <c r="C155" t="n">
        <v>49768.1484375</v>
      </c>
      <c r="D155" t="n">
        <v>47857.49609375</v>
      </c>
      <c r="E155" t="n">
        <v>49368.84765625</v>
      </c>
      <c r="F155" t="n">
        <v>37198201161</v>
      </c>
    </row>
    <row r="156">
      <c r="A156" t="inlineStr">
        <is>
          <t>2021-12-06</t>
        </is>
      </c>
      <c r="B156" t="n">
        <v>49413.48046875</v>
      </c>
      <c r="C156" t="n">
        <v>50929.51953125</v>
      </c>
      <c r="D156" t="n">
        <v>47281.03515625</v>
      </c>
      <c r="E156" t="n">
        <v>50582.625</v>
      </c>
      <c r="F156" t="n">
        <v>37707308001</v>
      </c>
    </row>
    <row r="157">
      <c r="A157" t="inlineStr">
        <is>
          <t>2021-12-07</t>
        </is>
      </c>
      <c r="B157" t="n">
        <v>50581.828125</v>
      </c>
      <c r="C157" t="n">
        <v>51934.78125</v>
      </c>
      <c r="D157" t="n">
        <v>50175.80859375</v>
      </c>
      <c r="E157" t="n">
        <v>50700.0859375</v>
      </c>
      <c r="F157" t="n">
        <v>33676814852</v>
      </c>
    </row>
    <row r="158">
      <c r="A158" t="inlineStr">
        <is>
          <t>2021-12-08</t>
        </is>
      </c>
      <c r="B158" t="n">
        <v>50667.6484375</v>
      </c>
      <c r="C158" t="n">
        <v>51171.375</v>
      </c>
      <c r="D158" t="n">
        <v>48765.98828125</v>
      </c>
      <c r="E158" t="n">
        <v>50504.796875</v>
      </c>
      <c r="F158" t="n">
        <v>28479699446</v>
      </c>
    </row>
    <row r="159">
      <c r="A159" t="inlineStr">
        <is>
          <t>2021-12-09</t>
        </is>
      </c>
      <c r="B159" t="n">
        <v>50450.08203125</v>
      </c>
      <c r="C159" t="n">
        <v>50797.1640625</v>
      </c>
      <c r="D159" t="n">
        <v>47358.3515625</v>
      </c>
      <c r="E159" t="n">
        <v>47672.12109375</v>
      </c>
      <c r="F159" t="n">
        <v>29603577251</v>
      </c>
    </row>
    <row r="160">
      <c r="A160" t="inlineStr">
        <is>
          <t>2021-12-10</t>
        </is>
      </c>
      <c r="B160" t="n">
        <v>47642.14453125</v>
      </c>
      <c r="C160" t="n">
        <v>50015.25390625</v>
      </c>
      <c r="D160" t="n">
        <v>47023.69921875</v>
      </c>
      <c r="E160" t="n">
        <v>47243.3046875</v>
      </c>
      <c r="F160" t="n">
        <v>30966005122</v>
      </c>
    </row>
    <row r="161">
      <c r="A161" t="inlineStr">
        <is>
          <t>2021-12-11</t>
        </is>
      </c>
      <c r="B161" t="n">
        <v>47264.6328125</v>
      </c>
      <c r="C161" t="n">
        <v>49458.2109375</v>
      </c>
      <c r="D161" t="n">
        <v>46942.34765625</v>
      </c>
      <c r="E161" t="n">
        <v>49362.5078125</v>
      </c>
      <c r="F161" t="n">
        <v>25775869261</v>
      </c>
    </row>
    <row r="162">
      <c r="A162" t="inlineStr">
        <is>
          <t>2021-12-12</t>
        </is>
      </c>
      <c r="B162" t="n">
        <v>49354.85546875</v>
      </c>
      <c r="C162" t="n">
        <v>50724.8671875</v>
      </c>
      <c r="D162" t="n">
        <v>48725.8515625</v>
      </c>
      <c r="E162" t="n">
        <v>50098.3359375</v>
      </c>
      <c r="F162" t="n">
        <v>21939223599</v>
      </c>
    </row>
    <row r="163">
      <c r="A163" t="inlineStr">
        <is>
          <t>2021-12-13</t>
        </is>
      </c>
      <c r="B163" t="n">
        <v>50114.7421875</v>
      </c>
      <c r="C163" t="n">
        <v>50205</v>
      </c>
      <c r="D163" t="n">
        <v>45894.84765625</v>
      </c>
      <c r="E163" t="n">
        <v>46737.48046875</v>
      </c>
      <c r="F163" t="n">
        <v>32166727776</v>
      </c>
    </row>
    <row r="164">
      <c r="A164" t="inlineStr">
        <is>
          <t>2021-12-14</t>
        </is>
      </c>
      <c r="B164" t="n">
        <v>46709.82421875</v>
      </c>
      <c r="C164" t="n">
        <v>48431.3984375</v>
      </c>
      <c r="D164" t="n">
        <v>46424.49609375</v>
      </c>
      <c r="E164" t="n">
        <v>46612.6328125</v>
      </c>
      <c r="F164" t="n">
        <v>34638619079</v>
      </c>
    </row>
    <row r="165">
      <c r="A165" t="inlineStr">
        <is>
          <t>2021-12-15</t>
        </is>
      </c>
      <c r="B165" t="n">
        <v>48379.75390625</v>
      </c>
      <c r="C165" t="n">
        <v>49473.95703125</v>
      </c>
      <c r="D165" t="n">
        <v>46671.96484375</v>
      </c>
      <c r="E165" t="n">
        <v>48896.72265625</v>
      </c>
      <c r="F165" t="n">
        <v>36541828520</v>
      </c>
    </row>
    <row r="166">
      <c r="A166" t="inlineStr">
        <is>
          <t>2021-12-16</t>
        </is>
      </c>
      <c r="B166" t="n">
        <v>48900.46484375</v>
      </c>
      <c r="C166" t="n">
        <v>49425.57421875</v>
      </c>
      <c r="D166" t="n">
        <v>47529.87890625</v>
      </c>
      <c r="E166" t="n">
        <v>47665.42578125</v>
      </c>
      <c r="F166" t="n">
        <v>27268150947</v>
      </c>
    </row>
    <row r="167">
      <c r="A167" t="inlineStr">
        <is>
          <t>2021-12-17</t>
        </is>
      </c>
      <c r="B167" t="n">
        <v>47653.73046875</v>
      </c>
      <c r="C167" t="n">
        <v>48004.89453125</v>
      </c>
      <c r="D167" t="n">
        <v>45618.21484375</v>
      </c>
      <c r="E167" t="n">
        <v>46202.14453125</v>
      </c>
      <c r="F167" t="n">
        <v>32902725329</v>
      </c>
    </row>
    <row r="168">
      <c r="A168" t="inlineStr">
        <is>
          <t>2021-12-18</t>
        </is>
      </c>
      <c r="B168" t="n">
        <v>46219.25390625</v>
      </c>
      <c r="C168" t="n">
        <v>47313.828125</v>
      </c>
      <c r="D168" t="n">
        <v>45598.44140625</v>
      </c>
      <c r="E168" t="n">
        <v>46848.77734375</v>
      </c>
      <c r="F168" t="n">
        <v>26098292690</v>
      </c>
    </row>
    <row r="169">
      <c r="A169" t="inlineStr">
        <is>
          <t>2021-12-19</t>
        </is>
      </c>
      <c r="B169" t="n">
        <v>46853.8671875</v>
      </c>
      <c r="C169" t="n">
        <v>48089.6640625</v>
      </c>
      <c r="D169" t="n">
        <v>46502.953125</v>
      </c>
      <c r="E169" t="n">
        <v>46707.015625</v>
      </c>
      <c r="F169" t="n">
        <v>25154053861</v>
      </c>
    </row>
    <row r="170">
      <c r="A170" t="inlineStr">
        <is>
          <t>2021-12-20</t>
        </is>
      </c>
      <c r="B170" t="n">
        <v>46707.0625</v>
      </c>
      <c r="C170" t="n">
        <v>47401.71875</v>
      </c>
      <c r="D170" t="n">
        <v>45579.80859375</v>
      </c>
      <c r="E170" t="n">
        <v>46880.27734375</v>
      </c>
      <c r="F170" t="n">
        <v>30961902129</v>
      </c>
    </row>
    <row r="171">
      <c r="A171" t="inlineStr">
        <is>
          <t>2021-12-21</t>
        </is>
      </c>
      <c r="B171" t="n">
        <v>46886.078125</v>
      </c>
      <c r="C171" t="n">
        <v>49300.91796875</v>
      </c>
      <c r="D171" t="n">
        <v>46698.7734375</v>
      </c>
      <c r="E171" t="n">
        <v>48936.61328125</v>
      </c>
      <c r="F171" t="n">
        <v>27055803928</v>
      </c>
    </row>
    <row r="172">
      <c r="A172" t="inlineStr">
        <is>
          <t>2021-12-22</t>
        </is>
      </c>
      <c r="B172" t="n">
        <v>48937.09765625</v>
      </c>
      <c r="C172" t="n">
        <v>49544.796875</v>
      </c>
      <c r="D172" t="n">
        <v>48450.94140625</v>
      </c>
      <c r="E172" t="n">
        <v>48628.51171875</v>
      </c>
      <c r="F172" t="n">
        <v>24447979559</v>
      </c>
    </row>
    <row r="173">
      <c r="A173" t="inlineStr">
        <is>
          <t>2021-12-23</t>
        </is>
      </c>
      <c r="B173" t="n">
        <v>48626.34375</v>
      </c>
      <c r="C173" t="n">
        <v>51332.33984375</v>
      </c>
      <c r="D173" t="n">
        <v>48065.8359375</v>
      </c>
      <c r="E173" t="n">
        <v>50784.5390625</v>
      </c>
      <c r="F173" t="n">
        <v>28223878108</v>
      </c>
    </row>
    <row r="174">
      <c r="A174" t="inlineStr">
        <is>
          <t>2021-12-24</t>
        </is>
      </c>
      <c r="B174" t="n">
        <v>50806.05078125</v>
      </c>
      <c r="C174" t="n">
        <v>51814.02734375</v>
      </c>
      <c r="D174" t="n">
        <v>50514.49609375</v>
      </c>
      <c r="E174" t="n">
        <v>50822.1953125</v>
      </c>
      <c r="F174" t="n">
        <v>24367912228</v>
      </c>
    </row>
    <row r="175">
      <c r="A175" t="inlineStr">
        <is>
          <t>2021-12-25</t>
        </is>
      </c>
      <c r="B175" t="n">
        <v>50854.91796875</v>
      </c>
      <c r="C175" t="n">
        <v>51176.59765625</v>
      </c>
      <c r="D175" t="n">
        <v>50236.70703125</v>
      </c>
      <c r="E175" t="n">
        <v>50429.859375</v>
      </c>
      <c r="F175" t="n">
        <v>19030650914</v>
      </c>
    </row>
    <row r="176">
      <c r="A176" t="inlineStr">
        <is>
          <t>2021-12-26</t>
        </is>
      </c>
      <c r="B176" t="n">
        <v>50428.69140625</v>
      </c>
      <c r="C176" t="n">
        <v>51196.37890625</v>
      </c>
      <c r="D176" t="n">
        <v>49623.10546875</v>
      </c>
      <c r="E176" t="n">
        <v>50809.515625</v>
      </c>
      <c r="F176" t="n">
        <v>20964372926</v>
      </c>
    </row>
    <row r="177">
      <c r="A177" t="inlineStr">
        <is>
          <t>2021-12-27</t>
        </is>
      </c>
      <c r="B177" t="n">
        <v>50802.609375</v>
      </c>
      <c r="C177" t="n">
        <v>51956.328125</v>
      </c>
      <c r="D177" t="n">
        <v>50499.46875</v>
      </c>
      <c r="E177" t="n">
        <v>50640.41796875</v>
      </c>
      <c r="F177" t="n">
        <v>24324345758</v>
      </c>
    </row>
    <row r="178">
      <c r="A178" t="inlineStr">
        <is>
          <t>2021-12-28</t>
        </is>
      </c>
      <c r="B178" t="n">
        <v>50679.859375</v>
      </c>
      <c r="C178" t="n">
        <v>50679.859375</v>
      </c>
      <c r="D178" t="n">
        <v>47414.2109375</v>
      </c>
      <c r="E178" t="n">
        <v>47588.85546875</v>
      </c>
      <c r="F178" t="n">
        <v>33430376883</v>
      </c>
    </row>
    <row r="179">
      <c r="A179" t="inlineStr">
        <is>
          <t>2021-12-29</t>
        </is>
      </c>
      <c r="B179" t="n">
        <v>47623.87109375</v>
      </c>
      <c r="C179" t="n">
        <v>48119.7421875</v>
      </c>
      <c r="D179" t="n">
        <v>46201.49609375</v>
      </c>
      <c r="E179" t="n">
        <v>46444.7109375</v>
      </c>
      <c r="F179" t="n">
        <v>30049226299</v>
      </c>
    </row>
    <row r="180">
      <c r="A180" t="inlineStr">
        <is>
          <t>2021-12-30</t>
        </is>
      </c>
      <c r="B180" t="n">
        <v>46490.60546875</v>
      </c>
      <c r="C180" t="n">
        <v>47879.96484375</v>
      </c>
      <c r="D180" t="n">
        <v>46060.3125</v>
      </c>
      <c r="E180" t="n">
        <v>47178.125</v>
      </c>
      <c r="F180" t="n">
        <v>26686491018</v>
      </c>
    </row>
    <row r="181">
      <c r="A181" t="inlineStr">
        <is>
          <t>2021-12-31</t>
        </is>
      </c>
      <c r="B181" t="n">
        <v>47169.37109375</v>
      </c>
      <c r="C181" t="n">
        <v>48472.52734375</v>
      </c>
      <c r="D181" t="n">
        <v>45819.953125</v>
      </c>
      <c r="E181" t="n">
        <v>46306.4453125</v>
      </c>
      <c r="F181" t="n">
        <v>36974172400</v>
      </c>
    </row>
    <row r="182">
      <c r="A182" t="inlineStr">
        <is>
          <t>2022-01-01</t>
        </is>
      </c>
      <c r="B182" t="n">
        <v>46311.74609375</v>
      </c>
      <c r="C182" t="n">
        <v>47827.3125</v>
      </c>
      <c r="D182" t="n">
        <v>46288.484375</v>
      </c>
      <c r="E182" t="n">
        <v>47686.8125</v>
      </c>
      <c r="F182" t="n">
        <v>24582667004</v>
      </c>
    </row>
    <row r="183">
      <c r="A183" t="inlineStr">
        <is>
          <t>2022-01-02</t>
        </is>
      </c>
      <c r="B183" t="n">
        <v>47680.92578125</v>
      </c>
      <c r="C183" t="n">
        <v>47881.40625</v>
      </c>
      <c r="D183" t="n">
        <v>46856.9375</v>
      </c>
      <c r="E183" t="n">
        <v>47345.21875</v>
      </c>
      <c r="F183" t="n">
        <v>27951569547</v>
      </c>
    </row>
    <row r="184">
      <c r="A184" t="inlineStr">
        <is>
          <t>2022-01-03</t>
        </is>
      </c>
      <c r="B184" t="n">
        <v>47343.54296875</v>
      </c>
      <c r="C184" t="n">
        <v>47510.7265625</v>
      </c>
      <c r="D184" t="n">
        <v>45835.96484375</v>
      </c>
      <c r="E184" t="n">
        <v>46458.1171875</v>
      </c>
      <c r="F184" t="n">
        <v>33071628362</v>
      </c>
    </row>
    <row r="185">
      <c r="A185" t="inlineStr">
        <is>
          <t>2022-01-04</t>
        </is>
      </c>
      <c r="B185" t="n">
        <v>46458.8515625</v>
      </c>
      <c r="C185" t="n">
        <v>47406.546875</v>
      </c>
      <c r="D185" t="n">
        <v>45752.46484375</v>
      </c>
      <c r="E185" t="n">
        <v>45897.57421875</v>
      </c>
      <c r="F185" t="n">
        <v>42494677905</v>
      </c>
    </row>
    <row r="186">
      <c r="A186" t="inlineStr">
        <is>
          <t>2022-01-05</t>
        </is>
      </c>
      <c r="B186" t="n">
        <v>45899.359375</v>
      </c>
      <c r="C186" t="n">
        <v>46929.046875</v>
      </c>
      <c r="D186" t="n">
        <v>42798.22265625</v>
      </c>
      <c r="E186" t="n">
        <v>43569.00390625</v>
      </c>
      <c r="F186" t="n">
        <v>36851084859</v>
      </c>
    </row>
    <row r="187">
      <c r="A187" t="inlineStr">
        <is>
          <t>2022-01-06</t>
        </is>
      </c>
      <c r="B187" t="n">
        <v>43565.51171875</v>
      </c>
      <c r="C187" t="n">
        <v>43748.71875</v>
      </c>
      <c r="D187" t="n">
        <v>42645.5390625</v>
      </c>
      <c r="E187" t="n">
        <v>43160.9296875</v>
      </c>
      <c r="F187" t="n">
        <v>30208048289</v>
      </c>
    </row>
    <row r="188">
      <c r="A188" t="inlineStr">
        <is>
          <t>2022-01-07</t>
        </is>
      </c>
      <c r="B188" t="n">
        <v>43153.5703125</v>
      </c>
      <c r="C188" t="n">
        <v>43153.5703125</v>
      </c>
      <c r="D188" t="n">
        <v>41077.4453125</v>
      </c>
      <c r="E188" t="n">
        <v>41557.90234375</v>
      </c>
      <c r="F188" t="n">
        <v>84196607520</v>
      </c>
    </row>
    <row r="189">
      <c r="A189" t="inlineStr">
        <is>
          <t>2022-01-08</t>
        </is>
      </c>
      <c r="B189" t="n">
        <v>41561.46484375</v>
      </c>
      <c r="C189" t="n">
        <v>42228.94140625</v>
      </c>
      <c r="D189" t="n">
        <v>40672.27734375</v>
      </c>
      <c r="E189" t="n">
        <v>41733.94140625</v>
      </c>
      <c r="F189" t="n">
        <v>28066355845</v>
      </c>
    </row>
    <row r="190">
      <c r="A190" t="inlineStr">
        <is>
          <t>2022-01-09</t>
        </is>
      </c>
      <c r="B190" t="n">
        <v>41734.7265625</v>
      </c>
      <c r="C190" t="n">
        <v>42663.94921875</v>
      </c>
      <c r="D190" t="n">
        <v>41338.16015625</v>
      </c>
      <c r="E190" t="n">
        <v>41911.6015625</v>
      </c>
      <c r="F190" t="n">
        <v>21294384372</v>
      </c>
    </row>
    <row r="191">
      <c r="A191" t="inlineStr">
        <is>
          <t>2022-01-10</t>
        </is>
      </c>
      <c r="B191" t="n">
        <v>41910.23046875</v>
      </c>
      <c r="C191" t="n">
        <v>42199.484375</v>
      </c>
      <c r="D191" t="n">
        <v>39796.5703125</v>
      </c>
      <c r="E191" t="n">
        <v>41821.26171875</v>
      </c>
      <c r="F191" t="n">
        <v>32104232331</v>
      </c>
    </row>
    <row r="192">
      <c r="A192" t="inlineStr">
        <is>
          <t>2022-01-11</t>
        </is>
      </c>
      <c r="B192" t="n">
        <v>41819.5078125</v>
      </c>
      <c r="C192" t="n">
        <v>43001.15625</v>
      </c>
      <c r="D192" t="n">
        <v>41407.75390625</v>
      </c>
      <c r="E192" t="n">
        <v>42735.85546875</v>
      </c>
      <c r="F192" t="n">
        <v>26327648900</v>
      </c>
    </row>
    <row r="193">
      <c r="A193" t="inlineStr">
        <is>
          <t>2022-01-12</t>
        </is>
      </c>
      <c r="B193" t="n">
        <v>42742.1796875</v>
      </c>
      <c r="C193" t="n">
        <v>44135.3671875</v>
      </c>
      <c r="D193" t="n">
        <v>42528.98828125</v>
      </c>
      <c r="E193" t="n">
        <v>43949.1015625</v>
      </c>
      <c r="F193" t="n">
        <v>33499938689</v>
      </c>
    </row>
    <row r="194">
      <c r="A194" t="inlineStr">
        <is>
          <t>2022-01-13</t>
        </is>
      </c>
      <c r="B194" t="n">
        <v>43946.7421875</v>
      </c>
      <c r="C194" t="n">
        <v>44278.421875</v>
      </c>
      <c r="D194" t="n">
        <v>42447.04296875</v>
      </c>
      <c r="E194" t="n">
        <v>42591.5703125</v>
      </c>
      <c r="F194" t="n">
        <v>47691135082</v>
      </c>
    </row>
    <row r="195">
      <c r="A195" t="inlineStr">
        <is>
          <t>2022-01-14</t>
        </is>
      </c>
      <c r="B195" t="n">
        <v>42598.87109375</v>
      </c>
      <c r="C195" t="n">
        <v>43346.6875</v>
      </c>
      <c r="D195" t="n">
        <v>41982.6171875</v>
      </c>
      <c r="E195" t="n">
        <v>43099.69921875</v>
      </c>
      <c r="F195" t="n">
        <v>23577403399</v>
      </c>
    </row>
    <row r="196">
      <c r="A196" t="inlineStr">
        <is>
          <t>2022-01-15</t>
        </is>
      </c>
      <c r="B196" t="n">
        <v>43101.8984375</v>
      </c>
      <c r="C196" t="n">
        <v>43724.671875</v>
      </c>
      <c r="D196" t="n">
        <v>42669.03515625</v>
      </c>
      <c r="E196" t="n">
        <v>43177.3984375</v>
      </c>
      <c r="F196" t="n">
        <v>18371348298</v>
      </c>
    </row>
    <row r="197">
      <c r="A197" t="inlineStr">
        <is>
          <t>2022-01-16</t>
        </is>
      </c>
      <c r="B197" t="n">
        <v>43172.0390625</v>
      </c>
      <c r="C197" t="n">
        <v>43436.80859375</v>
      </c>
      <c r="D197" t="n">
        <v>42691.0234375</v>
      </c>
      <c r="E197" t="n">
        <v>43113.87890625</v>
      </c>
      <c r="F197" t="n">
        <v>17902097845</v>
      </c>
    </row>
    <row r="198">
      <c r="A198" t="inlineStr">
        <is>
          <t>2022-01-17</t>
        </is>
      </c>
      <c r="B198" t="n">
        <v>43118.12109375</v>
      </c>
      <c r="C198" t="n">
        <v>43179.390625</v>
      </c>
      <c r="D198" t="n">
        <v>41680.3203125</v>
      </c>
      <c r="E198" t="n">
        <v>42250.55078125</v>
      </c>
      <c r="F198" t="n">
        <v>21690904261</v>
      </c>
    </row>
    <row r="199">
      <c r="A199" t="inlineStr">
        <is>
          <t>2022-01-18</t>
        </is>
      </c>
      <c r="B199" t="n">
        <v>42250.07421875</v>
      </c>
      <c r="C199" t="n">
        <v>42534.40234375</v>
      </c>
      <c r="D199" t="n">
        <v>41392.21484375</v>
      </c>
      <c r="E199" t="n">
        <v>42375.6328125</v>
      </c>
      <c r="F199" t="n">
        <v>22417209227</v>
      </c>
    </row>
    <row r="200">
      <c r="A200" t="inlineStr">
        <is>
          <t>2022-01-19</t>
        </is>
      </c>
      <c r="B200" t="n">
        <v>42374.0390625</v>
      </c>
      <c r="C200" t="n">
        <v>42478.3046875</v>
      </c>
      <c r="D200" t="n">
        <v>41242.9140625</v>
      </c>
      <c r="E200" t="n">
        <v>41744.328125</v>
      </c>
      <c r="F200" t="n">
        <v>23091543258</v>
      </c>
    </row>
    <row r="201">
      <c r="A201" t="inlineStr">
        <is>
          <t>2022-01-20</t>
        </is>
      </c>
      <c r="B201" t="n">
        <v>41744.02734375</v>
      </c>
      <c r="C201" t="n">
        <v>43413.0234375</v>
      </c>
      <c r="D201" t="n">
        <v>40672.82421875</v>
      </c>
      <c r="E201" t="n">
        <v>40680.41796875</v>
      </c>
      <c r="F201" t="n">
        <v>20382033940</v>
      </c>
    </row>
    <row r="202">
      <c r="A202" t="inlineStr">
        <is>
          <t>2022-01-21</t>
        </is>
      </c>
      <c r="B202" t="n">
        <v>40699.60546875</v>
      </c>
      <c r="C202" t="n">
        <v>41060.52734375</v>
      </c>
      <c r="D202" t="n">
        <v>35791.42578125</v>
      </c>
      <c r="E202" t="n">
        <v>36457.31640625</v>
      </c>
      <c r="F202" t="n">
        <v>43011992031</v>
      </c>
    </row>
    <row r="203">
      <c r="A203" t="inlineStr">
        <is>
          <t>2022-01-22</t>
        </is>
      </c>
      <c r="B203" t="n">
        <v>36471.58984375</v>
      </c>
      <c r="C203" t="n">
        <v>36688.8125</v>
      </c>
      <c r="D203" t="n">
        <v>34349.25</v>
      </c>
      <c r="E203" t="n">
        <v>35030.25</v>
      </c>
      <c r="F203" t="n">
        <v>39714385405</v>
      </c>
    </row>
    <row r="204">
      <c r="A204" t="inlineStr">
        <is>
          <t>2022-01-23</t>
        </is>
      </c>
      <c r="B204" t="n">
        <v>35047.359375</v>
      </c>
      <c r="C204" t="n">
        <v>36433.3125</v>
      </c>
      <c r="D204" t="n">
        <v>34784.96875</v>
      </c>
      <c r="E204" t="n">
        <v>36276.8046875</v>
      </c>
      <c r="F204" t="n">
        <v>26017975951</v>
      </c>
    </row>
    <row r="205">
      <c r="A205" t="inlineStr">
        <is>
          <t>2022-01-24</t>
        </is>
      </c>
      <c r="B205" t="n">
        <v>36275.734375</v>
      </c>
      <c r="C205" t="n">
        <v>37247.51953125</v>
      </c>
      <c r="D205" t="n">
        <v>33184.05859375</v>
      </c>
      <c r="E205" t="n">
        <v>36654.328125</v>
      </c>
      <c r="F205" t="n">
        <v>41856658597</v>
      </c>
    </row>
    <row r="206">
      <c r="A206" t="inlineStr">
        <is>
          <t>2022-01-25</t>
        </is>
      </c>
      <c r="B206" t="n">
        <v>36654.8046875</v>
      </c>
      <c r="C206" t="n">
        <v>37444.5703125</v>
      </c>
      <c r="D206" t="n">
        <v>35779.4296875</v>
      </c>
      <c r="E206" t="n">
        <v>36954.00390625</v>
      </c>
      <c r="F206" t="n">
        <v>26428189594</v>
      </c>
    </row>
    <row r="207">
      <c r="A207" t="inlineStr">
        <is>
          <t>2022-01-26</t>
        </is>
      </c>
      <c r="B207" t="n">
        <v>36950.515625</v>
      </c>
      <c r="C207" t="n">
        <v>38825.41015625</v>
      </c>
      <c r="D207" t="n">
        <v>36374.90625</v>
      </c>
      <c r="E207" t="n">
        <v>36852.12109375</v>
      </c>
      <c r="F207" t="n">
        <v>31324598034</v>
      </c>
    </row>
    <row r="208">
      <c r="A208" t="inlineStr">
        <is>
          <t>2022-01-27</t>
        </is>
      </c>
      <c r="B208" t="n">
        <v>36841.87890625</v>
      </c>
      <c r="C208" t="n">
        <v>37148.32421875</v>
      </c>
      <c r="D208" t="n">
        <v>35629.28125</v>
      </c>
      <c r="E208" t="n">
        <v>37138.234375</v>
      </c>
      <c r="F208" t="n">
        <v>25041426629</v>
      </c>
    </row>
    <row r="209">
      <c r="A209" t="inlineStr">
        <is>
          <t>2022-01-28</t>
        </is>
      </c>
      <c r="B209" t="n">
        <v>37128.4453125</v>
      </c>
      <c r="C209" t="n">
        <v>37952.87890625</v>
      </c>
      <c r="D209" t="n">
        <v>36211.109375</v>
      </c>
      <c r="E209" t="n">
        <v>37784.33203125</v>
      </c>
      <c r="F209" t="n">
        <v>22238830523</v>
      </c>
    </row>
    <row r="210">
      <c r="A210" t="inlineStr">
        <is>
          <t>2022-01-29</t>
        </is>
      </c>
      <c r="B210" t="n">
        <v>37780.71484375</v>
      </c>
      <c r="C210" t="n">
        <v>38576.26171875</v>
      </c>
      <c r="D210" t="n">
        <v>37406.47265625</v>
      </c>
      <c r="E210" t="n">
        <v>38138.1796875</v>
      </c>
      <c r="F210" t="n">
        <v>17194183075</v>
      </c>
    </row>
    <row r="211">
      <c r="A211" t="inlineStr">
        <is>
          <t>2022-01-30</t>
        </is>
      </c>
      <c r="B211" t="n">
        <v>38151.91796875</v>
      </c>
      <c r="C211" t="n">
        <v>38266.33984375</v>
      </c>
      <c r="D211" t="n">
        <v>37437.7109375</v>
      </c>
      <c r="E211" t="n">
        <v>37917.6015625</v>
      </c>
      <c r="F211" t="n">
        <v>14643548444</v>
      </c>
    </row>
    <row r="212">
      <c r="A212" t="inlineStr">
        <is>
          <t>2022-01-31</t>
        </is>
      </c>
      <c r="B212" t="n">
        <v>37920.28125</v>
      </c>
      <c r="C212" t="n">
        <v>38647.26171875</v>
      </c>
      <c r="D212" t="n">
        <v>36733.57421875</v>
      </c>
      <c r="E212" t="n">
        <v>38483.125</v>
      </c>
      <c r="F212" t="n">
        <v>20734730465</v>
      </c>
    </row>
    <row r="213">
      <c r="A213" t="inlineStr">
        <is>
          <t>2022-02-01</t>
        </is>
      </c>
      <c r="B213" t="n">
        <v>38481.765625</v>
      </c>
      <c r="C213" t="n">
        <v>39115.1328125</v>
      </c>
      <c r="D213" t="n">
        <v>38113.6640625</v>
      </c>
      <c r="E213" t="n">
        <v>38743.2734375</v>
      </c>
      <c r="F213" t="n">
        <v>20288500328</v>
      </c>
    </row>
    <row r="214">
      <c r="A214" t="inlineStr">
        <is>
          <t>2022-02-02</t>
        </is>
      </c>
      <c r="B214" t="n">
        <v>38743.71484375</v>
      </c>
      <c r="C214" t="n">
        <v>38834.6171875</v>
      </c>
      <c r="D214" t="n">
        <v>36832.73046875</v>
      </c>
      <c r="E214" t="n">
        <v>36952.984375</v>
      </c>
      <c r="F214" t="n">
        <v>19155189416</v>
      </c>
    </row>
    <row r="215">
      <c r="A215" t="inlineStr">
        <is>
          <t>2022-02-03</t>
        </is>
      </c>
      <c r="B215" t="n">
        <v>36944.8046875</v>
      </c>
      <c r="C215" t="n">
        <v>37154.6015625</v>
      </c>
      <c r="D215" t="n">
        <v>36375.5390625</v>
      </c>
      <c r="E215" t="n">
        <v>37154.6015625</v>
      </c>
      <c r="F215" t="n">
        <v>18591534769</v>
      </c>
    </row>
    <row r="216">
      <c r="A216" t="inlineStr">
        <is>
          <t>2022-02-04</t>
        </is>
      </c>
      <c r="B216" t="n">
        <v>37149.265625</v>
      </c>
      <c r="C216" t="n">
        <v>41527.78515625</v>
      </c>
      <c r="D216" t="n">
        <v>37093.62890625</v>
      </c>
      <c r="E216" t="n">
        <v>41500.875</v>
      </c>
      <c r="F216" t="n">
        <v>29412210792</v>
      </c>
    </row>
    <row r="217">
      <c r="A217" t="inlineStr">
        <is>
          <t>2022-02-05</t>
        </is>
      </c>
      <c r="B217" t="n">
        <v>41501.48046875</v>
      </c>
      <c r="C217" t="n">
        <v>41847.1640625</v>
      </c>
      <c r="D217" t="n">
        <v>41038.09765625</v>
      </c>
      <c r="E217" t="n">
        <v>41441.1640625</v>
      </c>
      <c r="F217" t="n">
        <v>19652846215</v>
      </c>
    </row>
    <row r="218">
      <c r="A218" t="inlineStr">
        <is>
          <t>2022-02-06</t>
        </is>
      </c>
      <c r="B218" t="n">
        <v>41441.12109375</v>
      </c>
      <c r="C218" t="n">
        <v>42500.78515625</v>
      </c>
      <c r="D218" t="n">
        <v>41244.90625</v>
      </c>
      <c r="E218" t="n">
        <v>42412.43359375</v>
      </c>
      <c r="F218" t="n">
        <v>16142097334</v>
      </c>
    </row>
    <row r="219">
      <c r="A219" t="inlineStr">
        <is>
          <t>2022-02-07</t>
        </is>
      </c>
      <c r="B219" t="n">
        <v>42406.78125</v>
      </c>
      <c r="C219" t="n">
        <v>44401.86328125</v>
      </c>
      <c r="D219" t="n">
        <v>41748.15625</v>
      </c>
      <c r="E219" t="n">
        <v>43840.28515625</v>
      </c>
      <c r="F219" t="n">
        <v>28641855926</v>
      </c>
    </row>
    <row r="220">
      <c r="A220" t="inlineStr">
        <is>
          <t>2022-02-08</t>
        </is>
      </c>
      <c r="B220" t="n">
        <v>43854.65234375</v>
      </c>
      <c r="C220" t="n">
        <v>45293.8671875</v>
      </c>
      <c r="D220" t="n">
        <v>42807.8359375</v>
      </c>
      <c r="E220" t="n">
        <v>44118.4453125</v>
      </c>
      <c r="F220" t="n">
        <v>33079398868</v>
      </c>
    </row>
    <row r="221">
      <c r="A221" t="inlineStr">
        <is>
          <t>2022-02-09</t>
        </is>
      </c>
      <c r="B221" t="n">
        <v>44096.703125</v>
      </c>
      <c r="C221" t="n">
        <v>44727.80078125</v>
      </c>
      <c r="D221" t="n">
        <v>43232.96875</v>
      </c>
      <c r="E221" t="n">
        <v>44338.796875</v>
      </c>
      <c r="F221" t="n">
        <v>23245887300</v>
      </c>
    </row>
    <row r="222">
      <c r="A222" t="inlineStr">
        <is>
          <t>2022-02-10</t>
        </is>
      </c>
      <c r="B222" t="n">
        <v>44347.80078125</v>
      </c>
      <c r="C222" t="n">
        <v>45661.171875</v>
      </c>
      <c r="D222" t="n">
        <v>43402.80859375</v>
      </c>
      <c r="E222" t="n">
        <v>43565.11328125</v>
      </c>
      <c r="F222" t="n">
        <v>32142048537</v>
      </c>
    </row>
    <row r="223">
      <c r="A223" t="inlineStr">
        <is>
          <t>2022-02-11</t>
        </is>
      </c>
      <c r="B223" t="n">
        <v>43571.12890625</v>
      </c>
      <c r="C223" t="n">
        <v>43810.83203125</v>
      </c>
      <c r="D223" t="n">
        <v>42114.5390625</v>
      </c>
      <c r="E223" t="n">
        <v>42407.9375</v>
      </c>
      <c r="F223" t="n">
        <v>26954925781</v>
      </c>
    </row>
    <row r="224">
      <c r="A224" t="inlineStr">
        <is>
          <t>2022-02-12</t>
        </is>
      </c>
      <c r="B224" t="n">
        <v>42412.30078125</v>
      </c>
      <c r="C224" t="n">
        <v>42992.55078125</v>
      </c>
      <c r="D224" t="n">
        <v>41852.57421875</v>
      </c>
      <c r="E224" t="n">
        <v>42244.46875</v>
      </c>
      <c r="F224" t="n">
        <v>18152390304</v>
      </c>
    </row>
    <row r="225">
      <c r="A225" t="inlineStr">
        <is>
          <t>2022-02-13</t>
        </is>
      </c>
      <c r="B225" t="n">
        <v>42236.56640625</v>
      </c>
      <c r="C225" t="n">
        <v>42693.0546875</v>
      </c>
      <c r="D225" t="n">
        <v>41950.94140625</v>
      </c>
      <c r="E225" t="n">
        <v>42197.515625</v>
      </c>
      <c r="F225" t="n">
        <v>14741589015</v>
      </c>
    </row>
    <row r="226">
      <c r="A226" t="inlineStr">
        <is>
          <t>2022-02-14</t>
        </is>
      </c>
      <c r="B226" t="n">
        <v>42157.3984375</v>
      </c>
      <c r="C226" t="n">
        <v>42775.77734375</v>
      </c>
      <c r="D226" t="n">
        <v>41681.95703125</v>
      </c>
      <c r="E226" t="n">
        <v>42586.91796875</v>
      </c>
      <c r="F226" t="n">
        <v>20827783012</v>
      </c>
    </row>
    <row r="227">
      <c r="A227" t="inlineStr">
        <is>
          <t>2022-02-15</t>
        </is>
      </c>
      <c r="B227" t="n">
        <v>42586.46484375</v>
      </c>
      <c r="C227" t="n">
        <v>44667.21875</v>
      </c>
      <c r="D227" t="n">
        <v>42491.03515625</v>
      </c>
      <c r="E227" t="n">
        <v>44575.203125</v>
      </c>
      <c r="F227" t="n">
        <v>22721659051</v>
      </c>
    </row>
    <row r="228">
      <c r="A228" t="inlineStr">
        <is>
          <t>2022-02-16</t>
        </is>
      </c>
      <c r="B228" t="n">
        <v>44578.27734375</v>
      </c>
      <c r="C228" t="n">
        <v>44578.27734375</v>
      </c>
      <c r="D228" t="n">
        <v>43456.69140625</v>
      </c>
      <c r="E228" t="n">
        <v>43961.859375</v>
      </c>
      <c r="F228" t="n">
        <v>19792547657</v>
      </c>
    </row>
    <row r="229">
      <c r="A229" t="inlineStr">
        <is>
          <t>2022-02-17</t>
        </is>
      </c>
      <c r="B229" t="n">
        <v>43937.0703125</v>
      </c>
      <c r="C229" t="n">
        <v>44132.97265625</v>
      </c>
      <c r="D229" t="n">
        <v>40249.37109375</v>
      </c>
      <c r="E229" t="n">
        <v>40538.01171875</v>
      </c>
      <c r="F229" t="n">
        <v>26246662813</v>
      </c>
    </row>
    <row r="230">
      <c r="A230" t="inlineStr">
        <is>
          <t>2022-02-18</t>
        </is>
      </c>
      <c r="B230" t="n">
        <v>40552.1328125</v>
      </c>
      <c r="C230" t="n">
        <v>40929.15234375</v>
      </c>
      <c r="D230" t="n">
        <v>39637.6171875</v>
      </c>
      <c r="E230" t="n">
        <v>40030.9765625</v>
      </c>
      <c r="F230" t="n">
        <v>23310007704</v>
      </c>
    </row>
    <row r="231">
      <c r="A231" t="inlineStr">
        <is>
          <t>2022-02-19</t>
        </is>
      </c>
      <c r="B231" t="n">
        <v>40026.0234375</v>
      </c>
      <c r="C231" t="n">
        <v>40418.87890625</v>
      </c>
      <c r="D231" t="n">
        <v>39713.05859375</v>
      </c>
      <c r="E231" t="n">
        <v>40122.15625</v>
      </c>
      <c r="F231" t="n">
        <v>13736557863</v>
      </c>
    </row>
    <row r="232">
      <c r="A232" t="inlineStr">
        <is>
          <t>2022-02-20</t>
        </is>
      </c>
      <c r="B232" t="n">
        <v>40118.1015625</v>
      </c>
      <c r="C232" t="n">
        <v>40119.890625</v>
      </c>
      <c r="D232" t="n">
        <v>38112.8125</v>
      </c>
      <c r="E232" t="n">
        <v>38431.37890625</v>
      </c>
      <c r="F232" t="n">
        <v>18340576452</v>
      </c>
    </row>
    <row r="233">
      <c r="A233" t="inlineStr">
        <is>
          <t>2022-02-21</t>
        </is>
      </c>
      <c r="B233" t="n">
        <v>38423.2109375</v>
      </c>
      <c r="C233" t="n">
        <v>39394.4375</v>
      </c>
      <c r="D233" t="n">
        <v>36950.4765625</v>
      </c>
      <c r="E233" t="n">
        <v>37075.28125</v>
      </c>
      <c r="F233" t="n">
        <v>29280402798</v>
      </c>
    </row>
    <row r="234">
      <c r="A234" t="inlineStr">
        <is>
          <t>2022-02-22</t>
        </is>
      </c>
      <c r="B234" t="n">
        <v>37068.76953125</v>
      </c>
      <c r="C234" t="n">
        <v>38359.85546875</v>
      </c>
      <c r="D234" t="n">
        <v>36488.93359375</v>
      </c>
      <c r="E234" t="n">
        <v>38286.02734375</v>
      </c>
      <c r="F234" t="n">
        <v>25493150450</v>
      </c>
    </row>
    <row r="235">
      <c r="A235" t="inlineStr">
        <is>
          <t>2022-02-23</t>
        </is>
      </c>
      <c r="B235" t="n">
        <v>38285.28125</v>
      </c>
      <c r="C235" t="n">
        <v>39122.39453125</v>
      </c>
      <c r="D235" t="n">
        <v>37201.81640625</v>
      </c>
      <c r="E235" t="n">
        <v>37296.5703125</v>
      </c>
      <c r="F235" t="n">
        <v>21849073843</v>
      </c>
    </row>
    <row r="236">
      <c r="A236" t="inlineStr">
        <is>
          <t>2022-02-24</t>
        </is>
      </c>
      <c r="B236" t="n">
        <v>37278.56640625</v>
      </c>
      <c r="C236" t="n">
        <v>38968.83984375</v>
      </c>
      <c r="D236" t="n">
        <v>34459.21875</v>
      </c>
      <c r="E236" t="n">
        <v>38332.609375</v>
      </c>
      <c r="F236" t="n">
        <v>46383802093</v>
      </c>
    </row>
    <row r="237">
      <c r="A237" t="inlineStr">
        <is>
          <t>2022-02-25</t>
        </is>
      </c>
      <c r="B237" t="n">
        <v>38333.74609375</v>
      </c>
      <c r="C237" t="n">
        <v>39630.32421875</v>
      </c>
      <c r="D237" t="n">
        <v>38111.34375</v>
      </c>
      <c r="E237" t="n">
        <v>39214.21875</v>
      </c>
      <c r="F237" t="n">
        <v>26545599159</v>
      </c>
    </row>
    <row r="238">
      <c r="A238" t="inlineStr">
        <is>
          <t>2022-02-26</t>
        </is>
      </c>
      <c r="B238" t="n">
        <v>39213.08203125</v>
      </c>
      <c r="C238" t="n">
        <v>40005.34765625</v>
      </c>
      <c r="D238" t="n">
        <v>38702.53515625</v>
      </c>
      <c r="E238" t="n">
        <v>39105.1484375</v>
      </c>
      <c r="F238" t="n">
        <v>17467554129</v>
      </c>
    </row>
    <row r="239">
      <c r="A239" t="inlineStr">
        <is>
          <t>2022-02-27</t>
        </is>
      </c>
      <c r="B239" t="n">
        <v>39098.69921875</v>
      </c>
      <c r="C239" t="n">
        <v>39778.94140625</v>
      </c>
      <c r="D239" t="n">
        <v>37268.9765625</v>
      </c>
      <c r="E239" t="n">
        <v>37709.78515625</v>
      </c>
      <c r="F239" t="n">
        <v>23450127612</v>
      </c>
    </row>
    <row r="240">
      <c r="A240" t="inlineStr">
        <is>
          <t>2022-02-28</t>
        </is>
      </c>
      <c r="B240" t="n">
        <v>37706</v>
      </c>
      <c r="C240" t="n">
        <v>43760.45703125</v>
      </c>
      <c r="D240" t="n">
        <v>37518.21484375</v>
      </c>
      <c r="E240" t="n">
        <v>43193.234375</v>
      </c>
      <c r="F240" t="n">
        <v>35690014104</v>
      </c>
    </row>
    <row r="241">
      <c r="A241" t="inlineStr">
        <is>
          <t>2022-03-01</t>
        </is>
      </c>
      <c r="B241" t="n">
        <v>43194.50390625</v>
      </c>
      <c r="C241" t="n">
        <v>44793.6015625</v>
      </c>
      <c r="D241" t="n">
        <v>42952.5859375</v>
      </c>
      <c r="E241" t="n">
        <v>44354.63671875</v>
      </c>
      <c r="F241" t="n">
        <v>32479047645</v>
      </c>
    </row>
    <row r="242">
      <c r="A242" t="inlineStr">
        <is>
          <t>2022-03-02</t>
        </is>
      </c>
      <c r="B242" t="n">
        <v>44357.6171875</v>
      </c>
      <c r="C242" t="n">
        <v>45077.578125</v>
      </c>
      <c r="D242" t="n">
        <v>43432.8515625</v>
      </c>
      <c r="E242" t="n">
        <v>43924.1171875</v>
      </c>
      <c r="F242" t="n">
        <v>29183112630</v>
      </c>
    </row>
    <row r="243">
      <c r="A243" t="inlineStr">
        <is>
          <t>2022-03-03</t>
        </is>
      </c>
      <c r="B243" t="n">
        <v>43925.1953125</v>
      </c>
      <c r="C243" t="n">
        <v>44021.578125</v>
      </c>
      <c r="D243" t="n">
        <v>41914.75</v>
      </c>
      <c r="E243" t="n">
        <v>42451.7890625</v>
      </c>
      <c r="F243" t="n">
        <v>24967782593</v>
      </c>
    </row>
    <row r="244">
      <c r="A244" t="inlineStr">
        <is>
          <t>2022-03-04</t>
        </is>
      </c>
      <c r="B244" t="n">
        <v>42458.140625</v>
      </c>
      <c r="C244" t="n">
        <v>42479.61328125</v>
      </c>
      <c r="D244" t="n">
        <v>38805.84765625</v>
      </c>
      <c r="E244" t="n">
        <v>39137.60546875</v>
      </c>
      <c r="F244" t="n">
        <v>28516271427</v>
      </c>
    </row>
    <row r="245">
      <c r="A245" t="inlineStr">
        <is>
          <t>2022-03-05</t>
        </is>
      </c>
      <c r="B245" t="n">
        <v>39148.44921875</v>
      </c>
      <c r="C245" t="n">
        <v>39566.3359375</v>
      </c>
      <c r="D245" t="n">
        <v>38777.03515625</v>
      </c>
      <c r="E245" t="n">
        <v>39400.5859375</v>
      </c>
      <c r="F245" t="n">
        <v>16975917450</v>
      </c>
    </row>
    <row r="246">
      <c r="A246" t="inlineStr">
        <is>
          <t>2022-03-06</t>
        </is>
      </c>
      <c r="B246" t="n">
        <v>39404.19921875</v>
      </c>
      <c r="C246" t="n">
        <v>39640.17578125</v>
      </c>
      <c r="D246" t="n">
        <v>38211.6484375</v>
      </c>
      <c r="E246" t="n">
        <v>38419.984375</v>
      </c>
      <c r="F246" t="n">
        <v>19745229902</v>
      </c>
    </row>
    <row r="247">
      <c r="A247" t="inlineStr">
        <is>
          <t>2022-03-07</t>
        </is>
      </c>
      <c r="B247" t="n">
        <v>38429.3046875</v>
      </c>
      <c r="C247" t="n">
        <v>39430.2265625</v>
      </c>
      <c r="D247" t="n">
        <v>37260.203125</v>
      </c>
      <c r="E247" t="n">
        <v>38062.0390625</v>
      </c>
      <c r="F247" t="n">
        <v>28546143503</v>
      </c>
    </row>
    <row r="248">
      <c r="A248" t="inlineStr">
        <is>
          <t>2022-03-08</t>
        </is>
      </c>
      <c r="B248" t="n">
        <v>38059.90234375</v>
      </c>
      <c r="C248" t="n">
        <v>39304.44140625</v>
      </c>
      <c r="D248" t="n">
        <v>37957.38671875</v>
      </c>
      <c r="E248" t="n">
        <v>38737.26953125</v>
      </c>
      <c r="F248" t="n">
        <v>25776583476</v>
      </c>
    </row>
    <row r="249">
      <c r="A249" t="inlineStr">
        <is>
          <t>2022-03-09</t>
        </is>
      </c>
      <c r="B249" t="n">
        <v>38742.81640625</v>
      </c>
      <c r="C249" t="n">
        <v>42465.671875</v>
      </c>
      <c r="D249" t="n">
        <v>38706.09375</v>
      </c>
      <c r="E249" t="n">
        <v>41982.92578125</v>
      </c>
      <c r="F249" t="n">
        <v>32284121034</v>
      </c>
    </row>
    <row r="250">
      <c r="A250" t="inlineStr">
        <is>
          <t>2022-03-10</t>
        </is>
      </c>
      <c r="B250" t="n">
        <v>41974.0703125</v>
      </c>
      <c r="C250" t="n">
        <v>42004.7265625</v>
      </c>
      <c r="D250" t="n">
        <v>38832.94140625</v>
      </c>
      <c r="E250" t="n">
        <v>39437.4609375</v>
      </c>
      <c r="F250" t="n">
        <v>31078064711</v>
      </c>
    </row>
    <row r="251">
      <c r="A251" t="inlineStr">
        <is>
          <t>2022-03-11</t>
        </is>
      </c>
      <c r="B251" t="n">
        <v>39439.96875</v>
      </c>
      <c r="C251" t="n">
        <v>40081.6796875</v>
      </c>
      <c r="D251" t="n">
        <v>38347.43359375</v>
      </c>
      <c r="E251" t="n">
        <v>38794.97265625</v>
      </c>
      <c r="F251" t="n">
        <v>26364890465</v>
      </c>
    </row>
    <row r="252">
      <c r="A252" t="inlineStr">
        <is>
          <t>2022-03-12</t>
        </is>
      </c>
      <c r="B252" t="n">
        <v>38794.46484375</v>
      </c>
      <c r="C252" t="n">
        <v>39308.59765625</v>
      </c>
      <c r="D252" t="n">
        <v>38772.53515625</v>
      </c>
      <c r="E252" t="n">
        <v>38904.01171875</v>
      </c>
      <c r="F252" t="n">
        <v>14616450657</v>
      </c>
    </row>
    <row r="253">
      <c r="A253" t="inlineStr">
        <is>
          <t>2022-03-13</t>
        </is>
      </c>
      <c r="B253" t="n">
        <v>38884.7265625</v>
      </c>
      <c r="C253" t="n">
        <v>39209.3515625</v>
      </c>
      <c r="D253" t="n">
        <v>37728.14453125</v>
      </c>
      <c r="E253" t="n">
        <v>37849.6640625</v>
      </c>
      <c r="F253" t="n">
        <v>17300745310</v>
      </c>
    </row>
    <row r="254">
      <c r="A254" t="inlineStr">
        <is>
          <t>2022-03-14</t>
        </is>
      </c>
      <c r="B254" t="n">
        <v>37846.31640625</v>
      </c>
      <c r="C254" t="n">
        <v>39742.5</v>
      </c>
      <c r="D254" t="n">
        <v>37680.734375</v>
      </c>
      <c r="E254" t="n">
        <v>39666.75390625</v>
      </c>
      <c r="F254" t="n">
        <v>24322159070</v>
      </c>
    </row>
    <row r="255">
      <c r="A255" t="inlineStr">
        <is>
          <t>2022-03-15</t>
        </is>
      </c>
      <c r="B255" t="n">
        <v>39664.25</v>
      </c>
      <c r="C255" t="n">
        <v>39794.62890625</v>
      </c>
      <c r="D255" t="n">
        <v>38310.2109375</v>
      </c>
      <c r="E255" t="n">
        <v>39338.78515625</v>
      </c>
      <c r="F255" t="n">
        <v>23934000868</v>
      </c>
    </row>
    <row r="256">
      <c r="A256" t="inlineStr">
        <is>
          <t>2022-03-16</t>
        </is>
      </c>
      <c r="B256" t="n">
        <v>39335.5703125</v>
      </c>
      <c r="C256" t="n">
        <v>41465.453125</v>
      </c>
      <c r="D256" t="n">
        <v>39022.34765625</v>
      </c>
      <c r="E256" t="n">
        <v>41143.9296875</v>
      </c>
      <c r="F256" t="n">
        <v>39616916192</v>
      </c>
    </row>
    <row r="257">
      <c r="A257" t="inlineStr">
        <is>
          <t>2022-03-17</t>
        </is>
      </c>
      <c r="B257" t="n">
        <v>41140.84375</v>
      </c>
      <c r="C257" t="n">
        <v>41287.53515625</v>
      </c>
      <c r="D257" t="n">
        <v>40662.87109375</v>
      </c>
      <c r="E257" t="n">
        <v>40951.37890625</v>
      </c>
      <c r="F257" t="n">
        <v>22009601093</v>
      </c>
    </row>
    <row r="258">
      <c r="A258" t="inlineStr">
        <is>
          <t>2022-03-18</t>
        </is>
      </c>
      <c r="B258" t="n">
        <v>40944.83984375</v>
      </c>
      <c r="C258" t="n">
        <v>42195.74609375</v>
      </c>
      <c r="D258" t="n">
        <v>40302.3984375</v>
      </c>
      <c r="E258" t="n">
        <v>41801.15625</v>
      </c>
      <c r="F258" t="n">
        <v>34421564942</v>
      </c>
    </row>
    <row r="259">
      <c r="A259" t="inlineStr">
        <is>
          <t>2022-03-19</t>
        </is>
      </c>
      <c r="B259" t="n">
        <v>41794.6484375</v>
      </c>
      <c r="C259" t="n">
        <v>42316.5546875</v>
      </c>
      <c r="D259" t="n">
        <v>41602.66796875</v>
      </c>
      <c r="E259" t="n">
        <v>42190.65234375</v>
      </c>
      <c r="F259" t="n">
        <v>19664853187</v>
      </c>
    </row>
    <row r="260">
      <c r="A260" t="inlineStr">
        <is>
          <t>2022-03-20</t>
        </is>
      </c>
      <c r="B260" t="n">
        <v>42191.40625</v>
      </c>
      <c r="C260" t="n">
        <v>42241.1640625</v>
      </c>
      <c r="D260" t="n">
        <v>41004.7578125</v>
      </c>
      <c r="E260" t="n">
        <v>41247.82421875</v>
      </c>
      <c r="F260" t="n">
        <v>20127946682</v>
      </c>
    </row>
    <row r="261">
      <c r="A261" t="inlineStr">
        <is>
          <t>2022-03-21</t>
        </is>
      </c>
      <c r="B261" t="n">
        <v>41246.1328125</v>
      </c>
      <c r="C261" t="n">
        <v>41454.41015625</v>
      </c>
      <c r="D261" t="n">
        <v>40668.04296875</v>
      </c>
      <c r="E261" t="n">
        <v>41077.99609375</v>
      </c>
      <c r="F261" t="n">
        <v>24615543271</v>
      </c>
    </row>
    <row r="262">
      <c r="A262" t="inlineStr">
        <is>
          <t>2022-03-22</t>
        </is>
      </c>
      <c r="B262" t="n">
        <v>41074.10546875</v>
      </c>
      <c r="C262" t="n">
        <v>43124.70703125</v>
      </c>
      <c r="D262" t="n">
        <v>40948.28125</v>
      </c>
      <c r="E262" t="n">
        <v>42358.80859375</v>
      </c>
      <c r="F262" t="n">
        <v>32004652376</v>
      </c>
    </row>
    <row r="263">
      <c r="A263" t="inlineStr">
        <is>
          <t>2022-03-23</t>
        </is>
      </c>
      <c r="B263" t="n">
        <v>42364.37890625</v>
      </c>
      <c r="C263" t="n">
        <v>42893.5078125</v>
      </c>
      <c r="D263" t="n">
        <v>41877.5078125</v>
      </c>
      <c r="E263" t="n">
        <v>42892.95703125</v>
      </c>
      <c r="F263" t="n">
        <v>25242943069</v>
      </c>
    </row>
    <row r="264">
      <c r="A264" t="inlineStr">
        <is>
          <t>2022-03-24</t>
        </is>
      </c>
      <c r="B264" t="n">
        <v>42886.65234375</v>
      </c>
      <c r="C264" t="n">
        <v>44131.85546875</v>
      </c>
      <c r="D264" t="n">
        <v>42726.1640625</v>
      </c>
      <c r="E264" t="n">
        <v>43960.93359375</v>
      </c>
      <c r="F264" t="n">
        <v>31042992291</v>
      </c>
    </row>
    <row r="265">
      <c r="A265" t="inlineStr">
        <is>
          <t>2022-03-25</t>
        </is>
      </c>
      <c r="B265" t="n">
        <v>43964.546875</v>
      </c>
      <c r="C265" t="n">
        <v>44999.4921875</v>
      </c>
      <c r="D265" t="n">
        <v>43706.28515625</v>
      </c>
      <c r="E265" t="n">
        <v>44348.73046875</v>
      </c>
      <c r="F265" t="n">
        <v>30574413034</v>
      </c>
    </row>
    <row r="266">
      <c r="A266" t="inlineStr">
        <is>
          <t>2022-03-26</t>
        </is>
      </c>
      <c r="B266" t="n">
        <v>44349.859375</v>
      </c>
      <c r="C266" t="n">
        <v>44735.99609375</v>
      </c>
      <c r="D266" t="n">
        <v>44166.2734375</v>
      </c>
      <c r="E266" t="n">
        <v>44500.828125</v>
      </c>
      <c r="F266" t="n">
        <v>16950455995</v>
      </c>
    </row>
    <row r="267">
      <c r="A267" t="inlineStr">
        <is>
          <t>2022-03-27</t>
        </is>
      </c>
      <c r="B267" t="n">
        <v>44505.35546875</v>
      </c>
      <c r="C267" t="n">
        <v>46827.546875</v>
      </c>
      <c r="D267" t="n">
        <v>44437.29296875</v>
      </c>
      <c r="E267" t="n">
        <v>46820.4921875</v>
      </c>
      <c r="F267" t="n">
        <v>28160889722</v>
      </c>
    </row>
    <row r="268">
      <c r="A268" t="inlineStr">
        <is>
          <t>2022-03-28</t>
        </is>
      </c>
      <c r="B268" t="n">
        <v>46821.8515625</v>
      </c>
      <c r="C268" t="n">
        <v>48086.8359375</v>
      </c>
      <c r="D268" t="n">
        <v>46690.203125</v>
      </c>
      <c r="E268" t="n">
        <v>47128.00390625</v>
      </c>
      <c r="F268" t="n">
        <v>36362175703</v>
      </c>
    </row>
    <row r="269">
      <c r="A269" t="inlineStr">
        <is>
          <t>2022-03-29</t>
        </is>
      </c>
      <c r="B269" t="n">
        <v>47100.4375</v>
      </c>
      <c r="C269" t="n">
        <v>48022.2890625</v>
      </c>
      <c r="D269" t="n">
        <v>47100.4375</v>
      </c>
      <c r="E269" t="n">
        <v>47465.73046875</v>
      </c>
      <c r="F269" t="n">
        <v>31397059069</v>
      </c>
    </row>
    <row r="270">
      <c r="A270" t="inlineStr">
        <is>
          <t>2022-03-30</t>
        </is>
      </c>
      <c r="B270" t="n">
        <v>47456.8984375</v>
      </c>
      <c r="C270" t="n">
        <v>47655.1484375</v>
      </c>
      <c r="D270" t="n">
        <v>46746.2109375</v>
      </c>
      <c r="E270" t="n">
        <v>47062.6640625</v>
      </c>
      <c r="F270" t="n">
        <v>29333883962</v>
      </c>
    </row>
    <row r="271">
      <c r="A271" t="inlineStr">
        <is>
          <t>2022-03-31</t>
        </is>
      </c>
      <c r="B271" t="n">
        <v>47062.1484375</v>
      </c>
      <c r="C271" t="n">
        <v>47512.02734375</v>
      </c>
      <c r="D271" t="n">
        <v>45390.5390625</v>
      </c>
      <c r="E271" t="n">
        <v>45538.67578125</v>
      </c>
      <c r="F271" t="n">
        <v>33327427106</v>
      </c>
    </row>
    <row r="272">
      <c r="A272" t="inlineStr">
        <is>
          <t>2022-04-01</t>
        </is>
      </c>
      <c r="B272" t="n">
        <v>45554.1640625</v>
      </c>
      <c r="C272" t="n">
        <v>46616.2421875</v>
      </c>
      <c r="D272" t="n">
        <v>44403.140625</v>
      </c>
      <c r="E272" t="n">
        <v>46281.64453125</v>
      </c>
      <c r="F272" t="n">
        <v>38162644287</v>
      </c>
    </row>
    <row r="273">
      <c r="A273" t="inlineStr">
        <is>
          <t>2022-04-02</t>
        </is>
      </c>
      <c r="B273" t="n">
        <v>46285.5</v>
      </c>
      <c r="C273" t="n">
        <v>47028.28125</v>
      </c>
      <c r="D273" t="n">
        <v>45782.51171875</v>
      </c>
      <c r="E273" t="n">
        <v>45868.94921875</v>
      </c>
      <c r="F273" t="n">
        <v>29336594194</v>
      </c>
    </row>
    <row r="274">
      <c r="A274" t="inlineStr">
        <is>
          <t>2022-04-03</t>
        </is>
      </c>
      <c r="B274" t="n">
        <v>45859.12890625</v>
      </c>
      <c r="C274" t="n">
        <v>47313.4765625</v>
      </c>
      <c r="D274" t="n">
        <v>45634.10546875</v>
      </c>
      <c r="E274" t="n">
        <v>46453.56640625</v>
      </c>
      <c r="F274" t="n">
        <v>25414397610</v>
      </c>
    </row>
    <row r="275">
      <c r="A275" t="inlineStr">
        <is>
          <t>2022-04-04</t>
        </is>
      </c>
      <c r="B275" t="n">
        <v>46445.2734375</v>
      </c>
      <c r="C275" t="n">
        <v>46791.08984375</v>
      </c>
      <c r="D275" t="n">
        <v>45235.81640625</v>
      </c>
      <c r="E275" t="n">
        <v>46622.67578125</v>
      </c>
      <c r="F275" t="n">
        <v>32499785455</v>
      </c>
    </row>
    <row r="276">
      <c r="A276" t="inlineStr">
        <is>
          <t>2022-04-05</t>
        </is>
      </c>
      <c r="B276" t="n">
        <v>46624.5078125</v>
      </c>
      <c r="C276" t="n">
        <v>47106.140625</v>
      </c>
      <c r="D276" t="n">
        <v>45544.80859375</v>
      </c>
      <c r="E276" t="n">
        <v>45555.9921875</v>
      </c>
      <c r="F276" t="n">
        <v>29640604055</v>
      </c>
    </row>
    <row r="277">
      <c r="A277" t="inlineStr">
        <is>
          <t>2022-04-06</t>
        </is>
      </c>
      <c r="B277" t="n">
        <v>45544.35546875</v>
      </c>
      <c r="C277" t="n">
        <v>45544.35546875</v>
      </c>
      <c r="D277" t="n">
        <v>43193.953125</v>
      </c>
      <c r="E277" t="n">
        <v>43206.73828125</v>
      </c>
      <c r="F277" t="n">
        <v>39393395788</v>
      </c>
    </row>
    <row r="278">
      <c r="A278" t="inlineStr">
        <is>
          <t>2022-04-07</t>
        </is>
      </c>
      <c r="B278" t="n">
        <v>43207.5</v>
      </c>
      <c r="C278" t="n">
        <v>43860.69921875</v>
      </c>
      <c r="D278" t="n">
        <v>42899.90625</v>
      </c>
      <c r="E278" t="n">
        <v>43503.84765625</v>
      </c>
      <c r="F278" t="n">
        <v>26101973106</v>
      </c>
    </row>
    <row r="279">
      <c r="A279" t="inlineStr">
        <is>
          <t>2022-04-08</t>
        </is>
      </c>
      <c r="B279" t="n">
        <v>43505.13671875</v>
      </c>
      <c r="C279" t="n">
        <v>43903.01953125</v>
      </c>
      <c r="D279" t="n">
        <v>42183.2890625</v>
      </c>
      <c r="E279" t="n">
        <v>42287.6640625</v>
      </c>
      <c r="F279" t="n">
        <v>27215995394</v>
      </c>
    </row>
    <row r="280">
      <c r="A280" t="inlineStr">
        <is>
          <t>2022-04-09</t>
        </is>
      </c>
      <c r="B280" t="n">
        <v>42282.078125</v>
      </c>
      <c r="C280" t="n">
        <v>42786.81640625</v>
      </c>
      <c r="D280" t="n">
        <v>42183.25390625</v>
      </c>
      <c r="E280" t="n">
        <v>42782.13671875</v>
      </c>
      <c r="F280" t="n">
        <v>16050772496</v>
      </c>
    </row>
    <row r="281">
      <c r="A281" t="inlineStr">
        <is>
          <t>2022-04-10</t>
        </is>
      </c>
      <c r="B281" t="n">
        <v>42781.08984375</v>
      </c>
      <c r="C281" t="n">
        <v>43376.37890625</v>
      </c>
      <c r="D281" t="n">
        <v>42021.20703125</v>
      </c>
      <c r="E281" t="n">
        <v>42207.671875</v>
      </c>
      <c r="F281" t="n">
        <v>17654475582</v>
      </c>
    </row>
    <row r="282">
      <c r="A282" t="inlineStr">
        <is>
          <t>2022-04-11</t>
        </is>
      </c>
      <c r="B282" t="n">
        <v>42201.0390625</v>
      </c>
      <c r="C282" t="n">
        <v>42424.58984375</v>
      </c>
      <c r="D282" t="n">
        <v>39373.05859375</v>
      </c>
      <c r="E282" t="n">
        <v>39521.90234375</v>
      </c>
      <c r="F282" t="n">
        <v>33949912166</v>
      </c>
    </row>
    <row r="283">
      <c r="A283" t="inlineStr">
        <is>
          <t>2022-04-12</t>
        </is>
      </c>
      <c r="B283" t="n">
        <v>39533.71484375</v>
      </c>
      <c r="C283" t="n">
        <v>40617.5859375</v>
      </c>
      <c r="D283" t="n">
        <v>39388.328125</v>
      </c>
      <c r="E283" t="n">
        <v>40127.18359375</v>
      </c>
      <c r="F283" t="n">
        <v>30991500854</v>
      </c>
    </row>
    <row r="284">
      <c r="A284" t="inlineStr">
        <is>
          <t>2022-04-13</t>
        </is>
      </c>
      <c r="B284" t="n">
        <v>40123.5703125</v>
      </c>
      <c r="C284" t="n">
        <v>41430.0546875</v>
      </c>
      <c r="D284" t="n">
        <v>39712.74609375</v>
      </c>
      <c r="E284" t="n">
        <v>41166.73046875</v>
      </c>
      <c r="F284" t="n">
        <v>27691105228</v>
      </c>
    </row>
    <row r="285">
      <c r="A285" t="inlineStr">
        <is>
          <t>2022-04-14</t>
        </is>
      </c>
      <c r="B285" t="n">
        <v>41160.21875</v>
      </c>
      <c r="C285" t="n">
        <v>41451.48046875</v>
      </c>
      <c r="D285" t="n">
        <v>39695.74609375</v>
      </c>
      <c r="E285" t="n">
        <v>39935.515625</v>
      </c>
      <c r="F285" t="n">
        <v>24342001973</v>
      </c>
    </row>
    <row r="286">
      <c r="A286" t="inlineStr">
        <is>
          <t>2022-04-15</t>
        </is>
      </c>
      <c r="B286" t="n">
        <v>39939.40234375</v>
      </c>
      <c r="C286" t="n">
        <v>40617.72265625</v>
      </c>
      <c r="D286" t="n">
        <v>39866.83203125</v>
      </c>
      <c r="E286" t="n">
        <v>40553.46484375</v>
      </c>
      <c r="F286" t="n">
        <v>21756855753</v>
      </c>
    </row>
    <row r="287">
      <c r="A287" t="inlineStr">
        <is>
          <t>2022-04-16</t>
        </is>
      </c>
      <c r="B287" t="n">
        <v>40552.31640625</v>
      </c>
      <c r="C287" t="n">
        <v>40633.6796875</v>
      </c>
      <c r="D287" t="n">
        <v>40078.42578125</v>
      </c>
      <c r="E287" t="n">
        <v>40424.484375</v>
      </c>
      <c r="F287" t="n">
        <v>16833150693</v>
      </c>
    </row>
    <row r="288">
      <c r="A288" t="inlineStr">
        <is>
          <t>2022-04-17</t>
        </is>
      </c>
      <c r="B288" t="n">
        <v>40417.77734375</v>
      </c>
      <c r="C288" t="n">
        <v>40570.7265625</v>
      </c>
      <c r="D288" t="n">
        <v>39620.89453125</v>
      </c>
      <c r="E288" t="n">
        <v>39716.953125</v>
      </c>
      <c r="F288" t="n">
        <v>19087633042</v>
      </c>
    </row>
    <row r="289">
      <c r="A289" t="inlineStr">
        <is>
          <t>2022-04-18</t>
        </is>
      </c>
      <c r="B289" t="n">
        <v>39721.203125</v>
      </c>
      <c r="C289" t="n">
        <v>40986.3203125</v>
      </c>
      <c r="D289" t="n">
        <v>38696.19140625</v>
      </c>
      <c r="E289" t="n">
        <v>40826.21484375</v>
      </c>
      <c r="F289" t="n">
        <v>33705182072</v>
      </c>
    </row>
    <row r="290">
      <c r="A290" t="inlineStr">
        <is>
          <t>2022-04-19</t>
        </is>
      </c>
      <c r="B290" t="n">
        <v>40828.17578125</v>
      </c>
      <c r="C290" t="n">
        <v>41672.9609375</v>
      </c>
      <c r="D290" t="n">
        <v>40618.6328125</v>
      </c>
      <c r="E290" t="n">
        <v>41502.75</v>
      </c>
      <c r="F290" t="n">
        <v>25303206547</v>
      </c>
    </row>
    <row r="291">
      <c r="A291" t="inlineStr">
        <is>
          <t>2022-04-20</t>
        </is>
      </c>
      <c r="B291" t="n">
        <v>41501.74609375</v>
      </c>
      <c r="C291" t="n">
        <v>42126.30078125</v>
      </c>
      <c r="D291" t="n">
        <v>40961.09765625</v>
      </c>
      <c r="E291" t="n">
        <v>41374.37890625</v>
      </c>
      <c r="F291" t="n">
        <v>27819532341</v>
      </c>
    </row>
    <row r="292">
      <c r="A292" t="inlineStr">
        <is>
          <t>2022-04-21</t>
        </is>
      </c>
      <c r="B292" t="n">
        <v>41371.515625</v>
      </c>
      <c r="C292" t="n">
        <v>42893.58203125</v>
      </c>
      <c r="D292" t="n">
        <v>40063.828125</v>
      </c>
      <c r="E292" t="n">
        <v>40527.36328125</v>
      </c>
      <c r="F292" t="n">
        <v>35372786395</v>
      </c>
    </row>
    <row r="293">
      <c r="A293" t="inlineStr">
        <is>
          <t>2022-04-22</t>
        </is>
      </c>
      <c r="B293" t="n">
        <v>40525.86328125</v>
      </c>
      <c r="C293" t="n">
        <v>40777.7578125</v>
      </c>
      <c r="D293" t="n">
        <v>39315.41796875</v>
      </c>
      <c r="E293" t="n">
        <v>39740.3203125</v>
      </c>
      <c r="F293" t="n">
        <v>28011716745</v>
      </c>
    </row>
    <row r="294">
      <c r="A294" t="inlineStr">
        <is>
          <t>2022-04-23</t>
        </is>
      </c>
      <c r="B294" t="n">
        <v>39738.72265625</v>
      </c>
      <c r="C294" t="n">
        <v>39935.859375</v>
      </c>
      <c r="D294" t="n">
        <v>39352.203125</v>
      </c>
      <c r="E294" t="n">
        <v>39486.73046875</v>
      </c>
      <c r="F294" t="n">
        <v>16138021249</v>
      </c>
    </row>
    <row r="295">
      <c r="A295" t="inlineStr">
        <is>
          <t>2022-04-24</t>
        </is>
      </c>
      <c r="B295" t="n">
        <v>39478.375</v>
      </c>
      <c r="C295" t="n">
        <v>39845.92578125</v>
      </c>
      <c r="D295" t="n">
        <v>39233.5390625</v>
      </c>
      <c r="E295" t="n">
        <v>39469.29296875</v>
      </c>
      <c r="F295" t="n">
        <v>17964398167</v>
      </c>
    </row>
    <row r="296">
      <c r="A296" t="inlineStr">
        <is>
          <t>2022-04-25</t>
        </is>
      </c>
      <c r="B296" t="n">
        <v>39472.60546875</v>
      </c>
      <c r="C296" t="n">
        <v>40491.75390625</v>
      </c>
      <c r="D296" t="n">
        <v>38338.37890625</v>
      </c>
      <c r="E296" t="n">
        <v>40458.30859375</v>
      </c>
      <c r="F296" t="n">
        <v>35445730570</v>
      </c>
    </row>
    <row r="297">
      <c r="A297" t="inlineStr">
        <is>
          <t>2022-04-26</t>
        </is>
      </c>
      <c r="B297" t="n">
        <v>40448.421875</v>
      </c>
      <c r="C297" t="n">
        <v>40713.890625</v>
      </c>
      <c r="D297" t="n">
        <v>37884.984375</v>
      </c>
      <c r="E297" t="n">
        <v>38117.4609375</v>
      </c>
      <c r="F297" t="n">
        <v>34569088416</v>
      </c>
    </row>
    <row r="298">
      <c r="A298" t="inlineStr">
        <is>
          <t>2022-04-27</t>
        </is>
      </c>
      <c r="B298" t="n">
        <v>38120.30078125</v>
      </c>
      <c r="C298" t="n">
        <v>39397.91796875</v>
      </c>
      <c r="D298" t="n">
        <v>37997.3125</v>
      </c>
      <c r="E298" t="n">
        <v>39241.12109375</v>
      </c>
      <c r="F298" t="n">
        <v>30981015184</v>
      </c>
    </row>
    <row r="299">
      <c r="A299" t="inlineStr">
        <is>
          <t>2022-04-28</t>
        </is>
      </c>
      <c r="B299" t="n">
        <v>39241.4296875</v>
      </c>
      <c r="C299" t="n">
        <v>40269.46484375</v>
      </c>
      <c r="D299" t="n">
        <v>38941.421875</v>
      </c>
      <c r="E299" t="n">
        <v>39773.828125</v>
      </c>
      <c r="F299" t="n">
        <v>33903704907</v>
      </c>
    </row>
    <row r="300">
      <c r="A300" t="inlineStr">
        <is>
          <t>2022-04-29</t>
        </is>
      </c>
      <c r="B300" t="n">
        <v>39768.6171875</v>
      </c>
      <c r="C300" t="n">
        <v>39887.26953125</v>
      </c>
      <c r="D300" t="n">
        <v>38235.53515625</v>
      </c>
      <c r="E300" t="n">
        <v>38609.82421875</v>
      </c>
      <c r="F300" t="n">
        <v>30882994649</v>
      </c>
    </row>
    <row r="301">
      <c r="A301" t="inlineStr">
        <is>
          <t>2022-04-30</t>
        </is>
      </c>
      <c r="B301" t="n">
        <v>38605.859375</v>
      </c>
      <c r="C301" t="n">
        <v>38771.2109375</v>
      </c>
      <c r="D301" t="n">
        <v>37697.94140625</v>
      </c>
      <c r="E301" t="n">
        <v>37714.875</v>
      </c>
      <c r="F301" t="n">
        <v>23895713731</v>
      </c>
    </row>
    <row r="302">
      <c r="A302" t="inlineStr">
        <is>
          <t>2022-05-01</t>
        </is>
      </c>
      <c r="B302" t="n">
        <v>37713.265625</v>
      </c>
      <c r="C302" t="n">
        <v>38627.859375</v>
      </c>
      <c r="D302" t="n">
        <v>37585.7890625</v>
      </c>
      <c r="E302" t="n">
        <v>38469.09375</v>
      </c>
      <c r="F302" t="n">
        <v>27002760110</v>
      </c>
    </row>
    <row r="303">
      <c r="A303" t="inlineStr">
        <is>
          <t>2022-05-02</t>
        </is>
      </c>
      <c r="B303" t="n">
        <v>38472.1875</v>
      </c>
      <c r="C303" t="n">
        <v>39074.97265625</v>
      </c>
      <c r="D303" t="n">
        <v>38156.5625</v>
      </c>
      <c r="E303" t="n">
        <v>38529.328125</v>
      </c>
      <c r="F303" t="n">
        <v>32922642426</v>
      </c>
    </row>
    <row r="304">
      <c r="A304" t="inlineStr">
        <is>
          <t>2022-05-03</t>
        </is>
      </c>
      <c r="B304" t="n">
        <v>38528.109375</v>
      </c>
      <c r="C304" t="n">
        <v>38629.99609375</v>
      </c>
      <c r="D304" t="n">
        <v>37585.62109375</v>
      </c>
      <c r="E304" t="n">
        <v>37750.453125</v>
      </c>
      <c r="F304" t="n">
        <v>27326943244</v>
      </c>
    </row>
    <row r="305">
      <c r="A305" t="inlineStr">
        <is>
          <t>2022-05-04</t>
        </is>
      </c>
      <c r="B305" t="n">
        <v>37748.01171875</v>
      </c>
      <c r="C305" t="n">
        <v>39902.94921875</v>
      </c>
      <c r="D305" t="n">
        <v>37732.05859375</v>
      </c>
      <c r="E305" t="n">
        <v>39698.37109375</v>
      </c>
      <c r="F305" t="n">
        <v>36754404490</v>
      </c>
    </row>
    <row r="306">
      <c r="A306" t="inlineStr">
        <is>
          <t>2022-05-05</t>
        </is>
      </c>
      <c r="B306" t="n">
        <v>39695.74609375</v>
      </c>
      <c r="C306" t="n">
        <v>39789.28125</v>
      </c>
      <c r="D306" t="n">
        <v>35856.515625</v>
      </c>
      <c r="E306" t="n">
        <v>36575.140625</v>
      </c>
      <c r="F306" t="n">
        <v>43106256317</v>
      </c>
    </row>
    <row r="307">
      <c r="A307" t="inlineStr">
        <is>
          <t>2022-05-06</t>
        </is>
      </c>
      <c r="B307" t="n">
        <v>36573.18359375</v>
      </c>
      <c r="C307" t="n">
        <v>36624.359375</v>
      </c>
      <c r="D307" t="n">
        <v>35482.1328125</v>
      </c>
      <c r="E307" t="n">
        <v>36040.921875</v>
      </c>
      <c r="F307" t="n">
        <v>37795577489</v>
      </c>
    </row>
    <row r="308">
      <c r="A308" t="inlineStr">
        <is>
          <t>2022-05-07</t>
        </is>
      </c>
      <c r="B308" t="n">
        <v>36042.50390625</v>
      </c>
      <c r="C308" t="n">
        <v>36129.92578125</v>
      </c>
      <c r="D308" t="n">
        <v>34940.82421875</v>
      </c>
      <c r="E308" t="n">
        <v>35501.953125</v>
      </c>
      <c r="F308" t="n">
        <v>24375896406</v>
      </c>
    </row>
    <row r="309">
      <c r="A309" t="inlineStr">
        <is>
          <t>2022-05-08</t>
        </is>
      </c>
      <c r="B309" t="n">
        <v>35502.94140625</v>
      </c>
      <c r="C309" t="n">
        <v>35502.94140625</v>
      </c>
      <c r="D309" t="n">
        <v>33878.96484375</v>
      </c>
      <c r="E309" t="n">
        <v>34059.265625</v>
      </c>
      <c r="F309" t="n">
        <v>36763041910</v>
      </c>
    </row>
    <row r="310">
      <c r="A310" t="inlineStr">
        <is>
          <t>2022-05-09</t>
        </is>
      </c>
      <c r="B310" t="n">
        <v>34060.015625</v>
      </c>
      <c r="C310" t="n">
        <v>34222.07421875</v>
      </c>
      <c r="D310" t="n">
        <v>30296.953125</v>
      </c>
      <c r="E310" t="n">
        <v>30296.953125</v>
      </c>
      <c r="F310" t="n">
        <v>63355494961</v>
      </c>
    </row>
    <row r="311">
      <c r="A311" t="inlineStr">
        <is>
          <t>2022-05-10</t>
        </is>
      </c>
      <c r="B311" t="n">
        <v>30273.654296875</v>
      </c>
      <c r="C311" t="n">
        <v>32596.30859375</v>
      </c>
      <c r="D311" t="n">
        <v>29944.802734375</v>
      </c>
      <c r="E311" t="n">
        <v>31022.90625</v>
      </c>
      <c r="F311" t="n">
        <v>59811038817</v>
      </c>
    </row>
    <row r="312">
      <c r="A312" t="inlineStr">
        <is>
          <t>2022-05-11</t>
        </is>
      </c>
      <c r="B312" t="n">
        <v>31016.18359375</v>
      </c>
      <c r="C312" t="n">
        <v>32013.40234375</v>
      </c>
      <c r="D312" t="n">
        <v>28170.4140625</v>
      </c>
      <c r="E312" t="n">
        <v>28936.35546875</v>
      </c>
      <c r="F312" t="n">
        <v>70388855818</v>
      </c>
    </row>
    <row r="313">
      <c r="A313" t="inlineStr">
        <is>
          <t>2022-05-12</t>
        </is>
      </c>
      <c r="B313" t="n">
        <v>28936.734375</v>
      </c>
      <c r="C313" t="n">
        <v>30032.439453125</v>
      </c>
      <c r="D313" t="n">
        <v>26350.490234375</v>
      </c>
      <c r="E313" t="n">
        <v>29047.751953125</v>
      </c>
      <c r="F313" t="n">
        <v>66989173272</v>
      </c>
    </row>
    <row r="314">
      <c r="A314" t="inlineStr">
        <is>
          <t>2022-05-13</t>
        </is>
      </c>
      <c r="B314" t="n">
        <v>29030.91015625</v>
      </c>
      <c r="C314" t="n">
        <v>30924.802734375</v>
      </c>
      <c r="D314" t="n">
        <v>28782.330078125</v>
      </c>
      <c r="E314" t="n">
        <v>29283.103515625</v>
      </c>
      <c r="F314" t="n">
        <v>42841124537</v>
      </c>
    </row>
    <row r="315">
      <c r="A315" t="inlineStr">
        <is>
          <t>2022-05-14</t>
        </is>
      </c>
      <c r="B315" t="n">
        <v>29285.642578125</v>
      </c>
      <c r="C315" t="n">
        <v>30192.802734375</v>
      </c>
      <c r="D315" t="n">
        <v>28702.91015625</v>
      </c>
      <c r="E315" t="n">
        <v>30101.265625</v>
      </c>
      <c r="F315" t="n">
        <v>28579868620</v>
      </c>
    </row>
    <row r="316">
      <c r="A316" t="inlineStr">
        <is>
          <t>2022-05-15</t>
        </is>
      </c>
      <c r="B316" t="n">
        <v>30098.5859375</v>
      </c>
      <c r="C316" t="n">
        <v>31308.19140625</v>
      </c>
      <c r="D316" t="n">
        <v>29527.740234375</v>
      </c>
      <c r="E316" t="n">
        <v>31305.11328125</v>
      </c>
      <c r="F316" t="n">
        <v>25835372065</v>
      </c>
    </row>
    <row r="317">
      <c r="A317" t="inlineStr">
        <is>
          <t>2022-05-16</t>
        </is>
      </c>
      <c r="B317" t="n">
        <v>31304.375</v>
      </c>
      <c r="C317" t="n">
        <v>31305.341796875</v>
      </c>
      <c r="D317" t="n">
        <v>29251.884765625</v>
      </c>
      <c r="E317" t="n">
        <v>29862.91796875</v>
      </c>
      <c r="F317" t="n">
        <v>32613897286</v>
      </c>
    </row>
    <row r="318">
      <c r="A318" t="inlineStr">
        <is>
          <t>2022-05-17</t>
        </is>
      </c>
      <c r="B318" t="n">
        <v>29862.408203125</v>
      </c>
      <c r="C318" t="n">
        <v>30694.490234375</v>
      </c>
      <c r="D318" t="n">
        <v>29570.302734375</v>
      </c>
      <c r="E318" t="n">
        <v>30425.857421875</v>
      </c>
      <c r="F318" t="n">
        <v>29101473475</v>
      </c>
    </row>
    <row r="319">
      <c r="A319" t="inlineStr">
        <is>
          <t>2022-05-18</t>
        </is>
      </c>
      <c r="B319" t="n">
        <v>30424.478515625</v>
      </c>
      <c r="C319" t="n">
        <v>30618.716796875</v>
      </c>
      <c r="D319" t="n">
        <v>28720.271484375</v>
      </c>
      <c r="E319" t="n">
        <v>28720.271484375</v>
      </c>
      <c r="F319" t="n">
        <v>31285268319</v>
      </c>
    </row>
    <row r="320">
      <c r="A320" t="inlineStr">
        <is>
          <t>2022-05-19</t>
        </is>
      </c>
      <c r="B320" t="n">
        <v>28720.359375</v>
      </c>
      <c r="C320" t="n">
        <v>30430.751953125</v>
      </c>
      <c r="D320" t="n">
        <v>28708.955078125</v>
      </c>
      <c r="E320" t="n">
        <v>30314.333984375</v>
      </c>
      <c r="F320" t="n">
        <v>33773447707</v>
      </c>
    </row>
    <row r="321">
      <c r="A321" t="inlineStr">
        <is>
          <t>2022-05-20</t>
        </is>
      </c>
      <c r="B321" t="n">
        <v>30311.119140625</v>
      </c>
      <c r="C321" t="n">
        <v>30664.9765625</v>
      </c>
      <c r="D321" t="n">
        <v>28793.60546875</v>
      </c>
      <c r="E321" t="n">
        <v>29200.740234375</v>
      </c>
      <c r="F321" t="n">
        <v>30749382605</v>
      </c>
    </row>
    <row r="322">
      <c r="A322" t="inlineStr">
        <is>
          <t>2022-05-21</t>
        </is>
      </c>
      <c r="B322" t="n">
        <v>29199.859375</v>
      </c>
      <c r="C322" t="n">
        <v>29588.869140625</v>
      </c>
      <c r="D322" t="n">
        <v>29027.39453125</v>
      </c>
      <c r="E322" t="n">
        <v>29432.2265625</v>
      </c>
      <c r="F322" t="n">
        <v>17274840442</v>
      </c>
    </row>
    <row r="323">
      <c r="A323" t="inlineStr">
        <is>
          <t>2022-05-22</t>
        </is>
      </c>
      <c r="B323" t="n">
        <v>29432.47265625</v>
      </c>
      <c r="C323" t="n">
        <v>30425.861328125</v>
      </c>
      <c r="D323" t="n">
        <v>29275.18359375</v>
      </c>
      <c r="E323" t="n">
        <v>30323.72265625</v>
      </c>
      <c r="F323" t="n">
        <v>21631532270</v>
      </c>
    </row>
    <row r="324">
      <c r="A324" t="inlineStr">
        <is>
          <t>2022-05-23</t>
        </is>
      </c>
      <c r="B324" t="n">
        <v>30309.396484375</v>
      </c>
      <c r="C324" t="n">
        <v>30590.5859375</v>
      </c>
      <c r="D324" t="n">
        <v>28975.560546875</v>
      </c>
      <c r="E324" t="n">
        <v>29098.91015625</v>
      </c>
      <c r="F324" t="n">
        <v>31483454557</v>
      </c>
    </row>
    <row r="325">
      <c r="A325" t="inlineStr">
        <is>
          <t>2022-05-24</t>
        </is>
      </c>
      <c r="B325" t="n">
        <v>29101.125</v>
      </c>
      <c r="C325" t="n">
        <v>29774.35546875</v>
      </c>
      <c r="D325" t="n">
        <v>28786.58984375</v>
      </c>
      <c r="E325" t="n">
        <v>29655.5859375</v>
      </c>
      <c r="F325" t="n">
        <v>26616506245</v>
      </c>
    </row>
    <row r="326">
      <c r="A326" t="inlineStr">
        <is>
          <t>2022-05-25</t>
        </is>
      </c>
      <c r="B326" t="n">
        <v>29653.134765625</v>
      </c>
      <c r="C326" t="n">
        <v>30157.78515625</v>
      </c>
      <c r="D326" t="n">
        <v>29384.94921875</v>
      </c>
      <c r="E326" t="n">
        <v>29562.361328125</v>
      </c>
      <c r="F326" t="n">
        <v>27525063551</v>
      </c>
    </row>
    <row r="327">
      <c r="A327" t="inlineStr">
        <is>
          <t>2022-05-26</t>
        </is>
      </c>
      <c r="B327" t="n">
        <v>29564.77734375</v>
      </c>
      <c r="C327" t="n">
        <v>29834.16015625</v>
      </c>
      <c r="D327" t="n">
        <v>28261.90625</v>
      </c>
      <c r="E327" t="n">
        <v>29267.224609375</v>
      </c>
      <c r="F327" t="n">
        <v>36774325352</v>
      </c>
    </row>
    <row r="328">
      <c r="A328" t="inlineStr">
        <is>
          <t>2022-05-27</t>
        </is>
      </c>
      <c r="B328" t="n">
        <v>29251.140625</v>
      </c>
      <c r="C328" t="n">
        <v>29346.943359375</v>
      </c>
      <c r="D328" t="n">
        <v>28326.61328125</v>
      </c>
      <c r="E328" t="n">
        <v>28627.57421875</v>
      </c>
      <c r="F328" t="n">
        <v>36582005748</v>
      </c>
    </row>
    <row r="329">
      <c r="A329" t="inlineStr">
        <is>
          <t>2022-05-28</t>
        </is>
      </c>
      <c r="B329" t="n">
        <v>28622.625</v>
      </c>
      <c r="C329" t="n">
        <v>28814.900390625</v>
      </c>
      <c r="D329" t="n">
        <v>28554.56640625</v>
      </c>
      <c r="E329" t="n">
        <v>28814.900390625</v>
      </c>
      <c r="F329" t="n">
        <v>35519577634</v>
      </c>
    </row>
    <row r="330">
      <c r="A330" t="inlineStr">
        <is>
          <t>2022-05-29</t>
        </is>
      </c>
      <c r="B330" t="n">
        <v>29019.8671875</v>
      </c>
      <c r="C330" t="n">
        <v>29498.009765625</v>
      </c>
      <c r="D330" t="n">
        <v>28841.107421875</v>
      </c>
      <c r="E330" t="n">
        <v>29445.95703125</v>
      </c>
      <c r="F330" t="n">
        <v>18093886409</v>
      </c>
    </row>
    <row r="331">
      <c r="A331" t="inlineStr">
        <is>
          <t>2022-05-30</t>
        </is>
      </c>
      <c r="B331" t="n">
        <v>29443.365234375</v>
      </c>
      <c r="C331" t="n">
        <v>31949.630859375</v>
      </c>
      <c r="D331" t="n">
        <v>29303.572265625</v>
      </c>
      <c r="E331" t="n">
        <v>31726.390625</v>
      </c>
      <c r="F331" t="n">
        <v>39277993274</v>
      </c>
    </row>
    <row r="332">
      <c r="A332" t="inlineStr">
        <is>
          <t>2022-05-31</t>
        </is>
      </c>
      <c r="B332" t="n">
        <v>31723.865234375</v>
      </c>
      <c r="C332" t="n">
        <v>32249.86328125</v>
      </c>
      <c r="D332" t="n">
        <v>31286.154296875</v>
      </c>
      <c r="E332" t="n">
        <v>31792.310546875</v>
      </c>
      <c r="F332" t="n">
        <v>33538210634</v>
      </c>
    </row>
    <row r="333">
      <c r="A333" t="inlineStr">
        <is>
          <t>2022-06-01</t>
        </is>
      </c>
      <c r="B333" t="n">
        <v>31792.5546875</v>
      </c>
      <c r="C333" t="n">
        <v>31957.28515625</v>
      </c>
      <c r="D333" t="n">
        <v>29501.587890625</v>
      </c>
      <c r="E333" t="n">
        <v>29799.080078125</v>
      </c>
      <c r="F333" t="n">
        <v>41135817341</v>
      </c>
    </row>
    <row r="334">
      <c r="A334" t="inlineStr">
        <is>
          <t>2022-06-02</t>
        </is>
      </c>
      <c r="B334" t="n">
        <v>29794.890625</v>
      </c>
      <c r="C334" t="n">
        <v>30604.734375</v>
      </c>
      <c r="D334" t="n">
        <v>29652.705078125</v>
      </c>
      <c r="E334" t="n">
        <v>30467.48828125</v>
      </c>
      <c r="F334" t="n">
        <v>29083562061</v>
      </c>
    </row>
    <row r="335">
      <c r="A335" t="inlineStr">
        <is>
          <t>2022-06-03</t>
        </is>
      </c>
      <c r="B335" t="n">
        <v>30467.806640625</v>
      </c>
      <c r="C335" t="n">
        <v>30633.03515625</v>
      </c>
      <c r="D335" t="n">
        <v>29375.689453125</v>
      </c>
      <c r="E335" t="n">
        <v>29704.390625</v>
      </c>
      <c r="F335" t="n">
        <v>26175547452</v>
      </c>
    </row>
    <row r="336">
      <c r="A336" t="inlineStr">
        <is>
          <t>2022-06-04</t>
        </is>
      </c>
      <c r="B336" t="n">
        <v>29706.138671875</v>
      </c>
      <c r="C336" t="n">
        <v>29930.564453125</v>
      </c>
      <c r="D336" t="n">
        <v>29500.005859375</v>
      </c>
      <c r="E336" t="n">
        <v>29832.9140625</v>
      </c>
      <c r="F336" t="n">
        <v>16588370958</v>
      </c>
    </row>
    <row r="337">
      <c r="A337" t="inlineStr">
        <is>
          <t>2022-06-05</t>
        </is>
      </c>
      <c r="B337" t="n">
        <v>29835.1171875</v>
      </c>
      <c r="C337" t="n">
        <v>30117.744140625</v>
      </c>
      <c r="D337" t="n">
        <v>29574.44921875</v>
      </c>
      <c r="E337" t="n">
        <v>29906.662109375</v>
      </c>
      <c r="F337" t="n">
        <v>17264085441</v>
      </c>
    </row>
    <row r="338">
      <c r="A338" t="inlineStr">
        <is>
          <t>2022-06-06</t>
        </is>
      </c>
      <c r="B338" t="n">
        <v>29910.283203125</v>
      </c>
      <c r="C338" t="n">
        <v>31693.291015625</v>
      </c>
      <c r="D338" t="n">
        <v>29894.1875</v>
      </c>
      <c r="E338" t="n">
        <v>31370.671875</v>
      </c>
      <c r="F338" t="n">
        <v>31947336829</v>
      </c>
    </row>
    <row r="339">
      <c r="A339" t="inlineStr">
        <is>
          <t>2022-06-07</t>
        </is>
      </c>
      <c r="B339" t="n">
        <v>31371.7421875</v>
      </c>
      <c r="C339" t="n">
        <v>31489.68359375</v>
      </c>
      <c r="D339" t="n">
        <v>29311.68359375</v>
      </c>
      <c r="E339" t="n">
        <v>31155.478515625</v>
      </c>
      <c r="F339" t="n">
        <v>40770974039</v>
      </c>
    </row>
    <row r="340">
      <c r="A340" t="inlineStr">
        <is>
          <t>2022-06-08</t>
        </is>
      </c>
      <c r="B340" t="n">
        <v>31151.48046875</v>
      </c>
      <c r="C340" t="n">
        <v>31253.69140625</v>
      </c>
      <c r="D340" t="n">
        <v>29944.404296875</v>
      </c>
      <c r="E340" t="n">
        <v>30214.35546875</v>
      </c>
      <c r="F340" t="n">
        <v>30242059107</v>
      </c>
    </row>
    <row r="341">
      <c r="A341" t="inlineStr">
        <is>
          <t>2022-06-09</t>
        </is>
      </c>
      <c r="B341" t="n">
        <v>30215.279296875</v>
      </c>
      <c r="C341" t="n">
        <v>30609.310546875</v>
      </c>
      <c r="D341" t="n">
        <v>30020.265625</v>
      </c>
      <c r="E341" t="n">
        <v>30111.998046875</v>
      </c>
      <c r="F341" t="n">
        <v>21692004719</v>
      </c>
    </row>
    <row r="342">
      <c r="A342" t="inlineStr">
        <is>
          <t>2022-06-10</t>
        </is>
      </c>
      <c r="B342" t="n">
        <v>30110.330078125</v>
      </c>
      <c r="C342" t="n">
        <v>30245.80859375</v>
      </c>
      <c r="D342" t="n">
        <v>28978.146484375</v>
      </c>
      <c r="E342" t="n">
        <v>29083.8046875</v>
      </c>
      <c r="F342" t="n">
        <v>29867476527</v>
      </c>
    </row>
    <row r="343">
      <c r="A343" t="inlineStr">
        <is>
          <t>2022-06-11</t>
        </is>
      </c>
      <c r="B343" t="n">
        <v>29084.666015625</v>
      </c>
      <c r="C343" t="n">
        <v>29401.916015625</v>
      </c>
      <c r="D343" t="n">
        <v>28236.212890625</v>
      </c>
      <c r="E343" t="n">
        <v>28360.810546875</v>
      </c>
      <c r="F343" t="n">
        <v>27246574439</v>
      </c>
    </row>
    <row r="344">
      <c r="A344" t="inlineStr">
        <is>
          <t>2022-06-12</t>
        </is>
      </c>
      <c r="B344" t="n">
        <v>28373.513671875</v>
      </c>
      <c r="C344" t="n">
        <v>28502.685546875</v>
      </c>
      <c r="D344" t="n">
        <v>26762.6484375</v>
      </c>
      <c r="E344" t="n">
        <v>26762.6484375</v>
      </c>
      <c r="F344" t="n">
        <v>34163220274</v>
      </c>
    </row>
    <row r="345">
      <c r="A345" t="inlineStr">
        <is>
          <t>2022-06-13</t>
        </is>
      </c>
      <c r="B345" t="n">
        <v>26737.578125</v>
      </c>
      <c r="C345" t="n">
        <v>26795.58984375</v>
      </c>
      <c r="D345" t="n">
        <v>22141.2578125</v>
      </c>
      <c r="E345" t="n">
        <v>22487.388671875</v>
      </c>
      <c r="F345" t="n">
        <v>68204556440</v>
      </c>
    </row>
    <row r="346">
      <c r="A346" t="inlineStr">
        <is>
          <t>2022-06-14</t>
        </is>
      </c>
      <c r="B346" t="n">
        <v>22487.986328125</v>
      </c>
      <c r="C346" t="n">
        <v>23018.951171875</v>
      </c>
      <c r="D346" t="n">
        <v>20950.818359375</v>
      </c>
      <c r="E346" t="n">
        <v>22206.79296875</v>
      </c>
      <c r="F346" t="n">
        <v>50913575242</v>
      </c>
    </row>
    <row r="347">
      <c r="A347" t="inlineStr">
        <is>
          <t>2022-06-15</t>
        </is>
      </c>
      <c r="B347" t="n">
        <v>22196.73046875</v>
      </c>
      <c r="C347" t="n">
        <v>22642.671875</v>
      </c>
      <c r="D347" t="n">
        <v>20178.376953125</v>
      </c>
      <c r="E347" t="n">
        <v>22572.83984375</v>
      </c>
      <c r="F347" t="n">
        <v>54912007015</v>
      </c>
    </row>
    <row r="348">
      <c r="A348" t="inlineStr">
        <is>
          <t>2022-06-16</t>
        </is>
      </c>
      <c r="B348" t="n">
        <v>22576.3046875</v>
      </c>
      <c r="C348" t="n">
        <v>22868.921875</v>
      </c>
      <c r="D348" t="n">
        <v>20265.2265625</v>
      </c>
      <c r="E348" t="n">
        <v>20381.650390625</v>
      </c>
      <c r="F348" t="n">
        <v>31183975654</v>
      </c>
    </row>
    <row r="349">
      <c r="A349" t="inlineStr">
        <is>
          <t>2022-06-17</t>
        </is>
      </c>
      <c r="B349" t="n">
        <v>20385.71875</v>
      </c>
      <c r="C349" t="n">
        <v>21243.3125</v>
      </c>
      <c r="D349" t="n">
        <v>20326.51953125</v>
      </c>
      <c r="E349" t="n">
        <v>20471.482421875</v>
      </c>
      <c r="F349" t="n">
        <v>27132421514</v>
      </c>
    </row>
    <row r="350">
      <c r="A350" t="inlineStr">
        <is>
          <t>2022-06-18</t>
        </is>
      </c>
      <c r="B350" t="n">
        <v>20473.42578125</v>
      </c>
      <c r="C350" t="n">
        <v>20736.041015625</v>
      </c>
      <c r="D350" t="n">
        <v>17708.623046875</v>
      </c>
      <c r="E350" t="n">
        <v>19017.642578125</v>
      </c>
      <c r="F350" t="n">
        <v>42009436760</v>
      </c>
    </row>
    <row r="351">
      <c r="A351" t="inlineStr">
        <is>
          <t>2022-06-19</t>
        </is>
      </c>
      <c r="B351" t="n">
        <v>19010.90234375</v>
      </c>
      <c r="C351" t="n">
        <v>20683.822265625</v>
      </c>
      <c r="D351" t="n">
        <v>18067.15234375</v>
      </c>
      <c r="E351" t="n">
        <v>20553.271484375</v>
      </c>
      <c r="F351" t="n">
        <v>35329942625</v>
      </c>
    </row>
    <row r="352">
      <c r="A352" t="inlineStr">
        <is>
          <t>2022-06-20</t>
        </is>
      </c>
      <c r="B352" t="n">
        <v>20553.37109375</v>
      </c>
      <c r="C352" t="n">
        <v>20913.322265625</v>
      </c>
      <c r="D352" t="n">
        <v>19689.169921875</v>
      </c>
      <c r="E352" t="n">
        <v>20599.537109375</v>
      </c>
      <c r="F352" t="n">
        <v>30818458597</v>
      </c>
    </row>
    <row r="353">
      <c r="A353" t="inlineStr">
        <is>
          <t>2022-06-21</t>
        </is>
      </c>
      <c r="B353" t="n">
        <v>20594.294921875</v>
      </c>
      <c r="C353" t="n">
        <v>21620.62890625</v>
      </c>
      <c r="D353" t="n">
        <v>20415.0625</v>
      </c>
      <c r="E353" t="n">
        <v>20710.59765625</v>
      </c>
      <c r="F353" t="n">
        <v>28970212744</v>
      </c>
    </row>
    <row r="354">
      <c r="A354" t="inlineStr">
        <is>
          <t>2022-06-22</t>
        </is>
      </c>
      <c r="B354" t="n">
        <v>20719.4140625</v>
      </c>
      <c r="C354" t="n">
        <v>20835.75</v>
      </c>
      <c r="D354" t="n">
        <v>19848.078125</v>
      </c>
      <c r="E354" t="n">
        <v>19987.029296875</v>
      </c>
      <c r="F354" t="n">
        <v>28574793478</v>
      </c>
    </row>
    <row r="355">
      <c r="A355" t="inlineStr">
        <is>
          <t>2022-06-23</t>
        </is>
      </c>
      <c r="B355" t="n">
        <v>19986.607421875</v>
      </c>
      <c r="C355" t="n">
        <v>21135.76171875</v>
      </c>
      <c r="D355" t="n">
        <v>19950.1171875</v>
      </c>
      <c r="E355" t="n">
        <v>21085.876953125</v>
      </c>
      <c r="F355" t="n">
        <v>26188097173</v>
      </c>
    </row>
    <row r="356">
      <c r="A356" t="inlineStr">
        <is>
          <t>2022-06-24</t>
        </is>
      </c>
      <c r="B356" t="n">
        <v>21084.6484375</v>
      </c>
      <c r="C356" t="n">
        <v>21472.91796875</v>
      </c>
      <c r="D356" t="n">
        <v>20777.51171875</v>
      </c>
      <c r="E356" t="n">
        <v>21231.65625</v>
      </c>
      <c r="F356" t="n">
        <v>24957784918</v>
      </c>
    </row>
    <row r="357">
      <c r="A357" t="inlineStr">
        <is>
          <t>2022-06-25</t>
        </is>
      </c>
      <c r="B357" t="n">
        <v>21233.609375</v>
      </c>
      <c r="C357" t="n">
        <v>21520.9140625</v>
      </c>
      <c r="D357" t="n">
        <v>20964.5859375</v>
      </c>
      <c r="E357" t="n">
        <v>21502.337890625</v>
      </c>
      <c r="F357" t="n">
        <v>18372538715</v>
      </c>
    </row>
    <row r="358">
      <c r="A358" t="inlineStr">
        <is>
          <t>2022-06-26</t>
        </is>
      </c>
      <c r="B358" t="n">
        <v>21496.494140625</v>
      </c>
      <c r="C358" t="n">
        <v>21783.724609375</v>
      </c>
      <c r="D358" t="n">
        <v>21016.26953125</v>
      </c>
      <c r="E358" t="n">
        <v>21027.294921875</v>
      </c>
      <c r="F358" t="n">
        <v>18027170497</v>
      </c>
    </row>
    <row r="359">
      <c r="A359" t="inlineStr">
        <is>
          <t>2022-06-27</t>
        </is>
      </c>
      <c r="B359" t="n">
        <v>21028.23828125</v>
      </c>
      <c r="C359" t="n">
        <v>21478.08984375</v>
      </c>
      <c r="D359" t="n">
        <v>20620.19921875</v>
      </c>
      <c r="E359" t="n">
        <v>20735.478515625</v>
      </c>
      <c r="F359" t="n">
        <v>20965695707</v>
      </c>
    </row>
    <row r="360">
      <c r="A360" t="inlineStr">
        <is>
          <t>2022-06-28</t>
        </is>
      </c>
      <c r="B360" t="n">
        <v>20731.544921875</v>
      </c>
      <c r="C360" t="n">
        <v>21164.423828125</v>
      </c>
      <c r="D360" t="n">
        <v>20228.8125</v>
      </c>
      <c r="E360" t="n">
        <v>20280.634765625</v>
      </c>
      <c r="F360" t="n">
        <v>21381535161</v>
      </c>
    </row>
    <row r="361">
      <c r="A361" t="inlineStr">
        <is>
          <t>2022-06-29</t>
        </is>
      </c>
      <c r="B361" t="n">
        <v>20281.169921875</v>
      </c>
      <c r="C361" t="n">
        <v>20364.15625</v>
      </c>
      <c r="D361" t="n">
        <v>19937.791015625</v>
      </c>
      <c r="E361" t="n">
        <v>20104.0234375</v>
      </c>
      <c r="F361" t="n">
        <v>23552740328</v>
      </c>
    </row>
    <row r="362">
      <c r="A362" t="inlineStr">
        <is>
          <t>2022-06-30</t>
        </is>
      </c>
      <c r="B362" t="n">
        <v>20108.3125</v>
      </c>
      <c r="C362" t="n">
        <v>20141.16015625</v>
      </c>
      <c r="D362" t="n">
        <v>18729.65625</v>
      </c>
      <c r="E362" t="n">
        <v>19784.7265625</v>
      </c>
      <c r="F362" t="n">
        <v>26267239923</v>
      </c>
    </row>
    <row r="363">
      <c r="A363" t="inlineStr">
        <is>
          <t>2022-07-01</t>
        </is>
      </c>
      <c r="B363" t="n">
        <v>19820.470703125</v>
      </c>
      <c r="C363" t="n">
        <v>20632.671875</v>
      </c>
      <c r="D363" t="n">
        <v>19073.708984375</v>
      </c>
      <c r="E363" t="n">
        <v>19269.3671875</v>
      </c>
      <c r="F363" t="n">
        <v>30767551159</v>
      </c>
    </row>
    <row r="364">
      <c r="A364" t="inlineStr">
        <is>
          <t>2022-07-02</t>
        </is>
      </c>
      <c r="B364" t="n">
        <v>19274.8359375</v>
      </c>
      <c r="C364" t="n">
        <v>19371.748046875</v>
      </c>
      <c r="D364" t="n">
        <v>19027.08203125</v>
      </c>
      <c r="E364" t="n">
        <v>19242.255859375</v>
      </c>
      <c r="F364" t="n">
        <v>18100418740</v>
      </c>
    </row>
    <row r="365">
      <c r="A365" t="inlineStr">
        <is>
          <t>2022-07-03</t>
        </is>
      </c>
      <c r="B365" t="n">
        <v>19242.095703125</v>
      </c>
      <c r="C365" t="n">
        <v>19558.26953125</v>
      </c>
      <c r="D365" t="n">
        <v>18966.951171875</v>
      </c>
      <c r="E365" t="n">
        <v>19297.076171875</v>
      </c>
      <c r="F365" t="n">
        <v>16390821947</v>
      </c>
    </row>
    <row r="366">
      <c r="A366" t="inlineStr">
        <is>
          <t>2022-07-04</t>
        </is>
      </c>
      <c r="B366" t="n">
        <v>19297.314453125</v>
      </c>
      <c r="C366" t="n">
        <v>20258.748046875</v>
      </c>
      <c r="D366" t="n">
        <v>19063.06640625</v>
      </c>
      <c r="E366" t="n">
        <v>20231.26171875</v>
      </c>
      <c r="F366" t="n">
        <v>21594638208</v>
      </c>
    </row>
    <row r="367">
      <c r="A367" t="inlineStr">
        <is>
          <t>2022-07-05</t>
        </is>
      </c>
      <c r="B367" t="n">
        <v>20225.353515625</v>
      </c>
      <c r="C367" t="n">
        <v>20635.466796875</v>
      </c>
      <c r="D367" t="n">
        <v>19341.232421875</v>
      </c>
      <c r="E367" t="n">
        <v>20190.115234375</v>
      </c>
      <c r="F367" t="n">
        <v>26715546990</v>
      </c>
    </row>
    <row r="368">
      <c r="A368" t="inlineStr">
        <is>
          <t>2022-07-06</t>
        </is>
      </c>
      <c r="B368" t="n">
        <v>20194.619140625</v>
      </c>
      <c r="C368" t="n">
        <v>20595.529296875</v>
      </c>
      <c r="D368" t="n">
        <v>19823.51171875</v>
      </c>
      <c r="E368" t="n">
        <v>20548.24609375</v>
      </c>
      <c r="F368" t="n">
        <v>24598943708</v>
      </c>
    </row>
    <row r="369">
      <c r="A369" t="inlineStr">
        <is>
          <t>2022-07-07</t>
        </is>
      </c>
      <c r="B369" t="n">
        <v>20547.814453125</v>
      </c>
      <c r="C369" t="n">
        <v>21771.81640625</v>
      </c>
      <c r="D369" t="n">
        <v>20296.103515625</v>
      </c>
      <c r="E369" t="n">
        <v>21637.587890625</v>
      </c>
      <c r="F369" t="n">
        <v>25814972520</v>
      </c>
    </row>
    <row r="370">
      <c r="A370" t="inlineStr">
        <is>
          <t>2022-07-08</t>
        </is>
      </c>
      <c r="B370" t="n">
        <v>21637.154296875</v>
      </c>
      <c r="C370" t="n">
        <v>22314.94140625</v>
      </c>
      <c r="D370" t="n">
        <v>21257.453125</v>
      </c>
      <c r="E370" t="n">
        <v>21731.1171875</v>
      </c>
      <c r="F370" t="n">
        <v>49899834488</v>
      </c>
    </row>
    <row r="371">
      <c r="A371" t="inlineStr">
        <is>
          <t>2022-07-09</t>
        </is>
      </c>
      <c r="B371" t="n">
        <v>21716.828125</v>
      </c>
      <c r="C371" t="n">
        <v>21877.138671875</v>
      </c>
      <c r="D371" t="n">
        <v>21445.95703125</v>
      </c>
      <c r="E371" t="n">
        <v>21592.20703125</v>
      </c>
      <c r="F371" t="n">
        <v>29641127858</v>
      </c>
    </row>
    <row r="372">
      <c r="A372" t="inlineStr">
        <is>
          <t>2022-07-10</t>
        </is>
      </c>
      <c r="B372" t="n">
        <v>21591.080078125</v>
      </c>
      <c r="C372" t="n">
        <v>21591.080078125</v>
      </c>
      <c r="D372" t="n">
        <v>20727.123046875</v>
      </c>
      <c r="E372" t="n">
        <v>20860.44921875</v>
      </c>
      <c r="F372" t="n">
        <v>28688807249</v>
      </c>
    </row>
    <row r="373">
      <c r="A373" t="inlineStr">
        <is>
          <t>2022-07-11</t>
        </is>
      </c>
      <c r="B373" t="n">
        <v>20856.353515625</v>
      </c>
      <c r="C373" t="n">
        <v>20856.353515625</v>
      </c>
      <c r="D373" t="n">
        <v>19924.5390625</v>
      </c>
      <c r="E373" t="n">
        <v>19970.556640625</v>
      </c>
      <c r="F373" t="n">
        <v>24150249025</v>
      </c>
    </row>
    <row r="374">
      <c r="A374" t="inlineStr">
        <is>
          <t>2022-07-12</t>
        </is>
      </c>
      <c r="B374" t="n">
        <v>19970.474609375</v>
      </c>
      <c r="C374" t="n">
        <v>20043.4453125</v>
      </c>
      <c r="D374" t="n">
        <v>19308.53125</v>
      </c>
      <c r="E374" t="n">
        <v>19323.9140625</v>
      </c>
      <c r="F374" t="n">
        <v>25810220018</v>
      </c>
    </row>
    <row r="375">
      <c r="A375" t="inlineStr">
        <is>
          <t>2022-07-13</t>
        </is>
      </c>
      <c r="B375" t="n">
        <v>19325.97265625</v>
      </c>
      <c r="C375" t="n">
        <v>20223.052734375</v>
      </c>
      <c r="D375" t="n">
        <v>18999.953125</v>
      </c>
      <c r="E375" t="n">
        <v>20212.07421875</v>
      </c>
      <c r="F375" t="n">
        <v>33042430345</v>
      </c>
    </row>
    <row r="376">
      <c r="A376" t="inlineStr">
        <is>
          <t>2022-07-14</t>
        </is>
      </c>
      <c r="B376" t="n">
        <v>20211.466796875</v>
      </c>
      <c r="C376" t="n">
        <v>20789.89453125</v>
      </c>
      <c r="D376" t="n">
        <v>19689.2578125</v>
      </c>
      <c r="E376" t="n">
        <v>20569.919921875</v>
      </c>
      <c r="F376" t="n">
        <v>31158743333</v>
      </c>
    </row>
    <row r="377">
      <c r="A377" t="inlineStr">
        <is>
          <t>2022-07-15</t>
        </is>
      </c>
      <c r="B377" t="n">
        <v>20573.15625</v>
      </c>
      <c r="C377" t="n">
        <v>21138.244140625</v>
      </c>
      <c r="D377" t="n">
        <v>20397</v>
      </c>
      <c r="E377" t="n">
        <v>20836.328125</v>
      </c>
      <c r="F377" t="n">
        <v>25905575359</v>
      </c>
    </row>
    <row r="378">
      <c r="A378" t="inlineStr">
        <is>
          <t>2022-07-16</t>
        </is>
      </c>
      <c r="B378" t="n">
        <v>20834.103515625</v>
      </c>
      <c r="C378" t="n">
        <v>21514.404296875</v>
      </c>
      <c r="D378" t="n">
        <v>20518.8984375</v>
      </c>
      <c r="E378" t="n">
        <v>21190.31640625</v>
      </c>
      <c r="F378" t="n">
        <v>24302954056</v>
      </c>
    </row>
    <row r="379">
      <c r="A379" t="inlineStr">
        <is>
          <t>2022-07-17</t>
        </is>
      </c>
      <c r="B379" t="n">
        <v>21195.041015625</v>
      </c>
      <c r="C379" t="n">
        <v>21600.640625</v>
      </c>
      <c r="D379" t="n">
        <v>20778.1796875</v>
      </c>
      <c r="E379" t="n">
        <v>20779.34375</v>
      </c>
      <c r="F379" t="n">
        <v>22927802083</v>
      </c>
    </row>
    <row r="380">
      <c r="A380" t="inlineStr">
        <is>
          <t>2022-07-18</t>
        </is>
      </c>
      <c r="B380" t="n">
        <v>20781.912109375</v>
      </c>
      <c r="C380" t="n">
        <v>22633.033203125</v>
      </c>
      <c r="D380" t="n">
        <v>20781.912109375</v>
      </c>
      <c r="E380" t="n">
        <v>22485.689453125</v>
      </c>
      <c r="F380" t="n">
        <v>39974475562</v>
      </c>
    </row>
    <row r="381">
      <c r="A381" t="inlineStr">
        <is>
          <t>2022-07-19</t>
        </is>
      </c>
      <c r="B381" t="n">
        <v>22467.849609375</v>
      </c>
      <c r="C381" t="n">
        <v>23666.962890625</v>
      </c>
      <c r="D381" t="n">
        <v>21683.40625</v>
      </c>
      <c r="E381" t="n">
        <v>23389.43359375</v>
      </c>
      <c r="F381" t="n">
        <v>48765202697</v>
      </c>
    </row>
    <row r="382">
      <c r="A382" t="inlineStr">
        <is>
          <t>2022-07-20</t>
        </is>
      </c>
      <c r="B382" t="n">
        <v>23393.19140625</v>
      </c>
      <c r="C382" t="n">
        <v>24196.818359375</v>
      </c>
      <c r="D382" t="n">
        <v>23009.94921875</v>
      </c>
      <c r="E382" t="n">
        <v>23231.732421875</v>
      </c>
      <c r="F382" t="n">
        <v>42932549127</v>
      </c>
    </row>
    <row r="383">
      <c r="A383" t="inlineStr">
        <is>
          <t>2022-07-21</t>
        </is>
      </c>
      <c r="B383" t="n">
        <v>23233.201171875</v>
      </c>
      <c r="C383" t="n">
        <v>23388.322265625</v>
      </c>
      <c r="D383" t="n">
        <v>22431.1484375</v>
      </c>
      <c r="E383" t="n">
        <v>23164.62890625</v>
      </c>
      <c r="F383" t="n">
        <v>33631012204</v>
      </c>
    </row>
    <row r="384">
      <c r="A384" t="inlineStr">
        <is>
          <t>2022-07-22</t>
        </is>
      </c>
      <c r="B384" t="n">
        <v>23163.751953125</v>
      </c>
      <c r="C384" t="n">
        <v>23671.927734375</v>
      </c>
      <c r="D384" t="n">
        <v>22603.416015625</v>
      </c>
      <c r="E384" t="n">
        <v>22714.978515625</v>
      </c>
      <c r="F384" t="n">
        <v>31421555646</v>
      </c>
    </row>
    <row r="385">
      <c r="A385" t="inlineStr">
        <is>
          <t>2022-07-23</t>
        </is>
      </c>
      <c r="B385" t="n">
        <v>22706.984375</v>
      </c>
      <c r="C385" t="n">
        <v>22977.2109375</v>
      </c>
      <c r="D385" t="n">
        <v>22002.91015625</v>
      </c>
      <c r="E385" t="n">
        <v>22465.478515625</v>
      </c>
      <c r="F385" t="n">
        <v>24021799169</v>
      </c>
    </row>
    <row r="386">
      <c r="A386" t="inlineStr">
        <is>
          <t>2022-07-24</t>
        </is>
      </c>
      <c r="B386" t="n">
        <v>22465.509765625</v>
      </c>
      <c r="C386" t="n">
        <v>22974.001953125</v>
      </c>
      <c r="D386" t="n">
        <v>22306.83984375</v>
      </c>
      <c r="E386" t="n">
        <v>22609.1640625</v>
      </c>
      <c r="F386" t="n">
        <v>23565495303</v>
      </c>
    </row>
    <row r="387">
      <c r="A387" t="inlineStr">
        <is>
          <t>2022-07-25</t>
        </is>
      </c>
      <c r="B387" t="n">
        <v>22607.15625</v>
      </c>
      <c r="C387" t="n">
        <v>22649.12109375</v>
      </c>
      <c r="D387" t="n">
        <v>21361.642578125</v>
      </c>
      <c r="E387" t="n">
        <v>21361.701171875</v>
      </c>
      <c r="F387" t="n">
        <v>35574561406</v>
      </c>
    </row>
    <row r="388">
      <c r="A388" t="inlineStr">
        <is>
          <t>2022-07-26</t>
        </is>
      </c>
      <c r="B388" t="n">
        <v>21361.12109375</v>
      </c>
      <c r="C388" t="n">
        <v>21361.12109375</v>
      </c>
      <c r="D388" t="n">
        <v>20776.81640625</v>
      </c>
      <c r="E388" t="n">
        <v>21239.75390625</v>
      </c>
      <c r="F388" t="n">
        <v>28624673855</v>
      </c>
    </row>
    <row r="389">
      <c r="A389" t="inlineStr">
        <is>
          <t>2022-07-27</t>
        </is>
      </c>
      <c r="B389" t="n">
        <v>21244.169921875</v>
      </c>
      <c r="C389" t="n">
        <v>22986.529296875</v>
      </c>
      <c r="D389" t="n">
        <v>21070.806640625</v>
      </c>
      <c r="E389" t="n">
        <v>22930.548828125</v>
      </c>
      <c r="F389" t="n">
        <v>31758955233</v>
      </c>
    </row>
    <row r="390">
      <c r="A390" t="inlineStr">
        <is>
          <t>2022-07-28</t>
        </is>
      </c>
      <c r="B390" t="n">
        <v>22933.640625</v>
      </c>
      <c r="C390" t="n">
        <v>24110.470703125</v>
      </c>
      <c r="D390" t="n">
        <v>22722.265625</v>
      </c>
      <c r="E390" t="n">
        <v>23843.88671875</v>
      </c>
      <c r="F390" t="n">
        <v>40212386158</v>
      </c>
    </row>
    <row r="391">
      <c r="A391" t="inlineStr">
        <is>
          <t>2022-07-29</t>
        </is>
      </c>
      <c r="B391" t="n">
        <v>23845.212890625</v>
      </c>
      <c r="C391" t="n">
        <v>24294.787109375</v>
      </c>
      <c r="D391" t="n">
        <v>23481.173828125</v>
      </c>
      <c r="E391" t="n">
        <v>23804.6328125</v>
      </c>
      <c r="F391" t="n">
        <v>35887249746</v>
      </c>
    </row>
    <row r="392">
      <c r="A392" t="inlineStr">
        <is>
          <t>2022-07-30</t>
        </is>
      </c>
      <c r="B392" t="n">
        <v>23796.818359375</v>
      </c>
      <c r="C392" t="n">
        <v>24572.580078125</v>
      </c>
      <c r="D392" t="n">
        <v>23580.5078125</v>
      </c>
      <c r="E392" t="n">
        <v>23656.20703125</v>
      </c>
      <c r="F392" t="n">
        <v>28148218301</v>
      </c>
    </row>
    <row r="393">
      <c r="A393" t="inlineStr">
        <is>
          <t>2022-07-31</t>
        </is>
      </c>
      <c r="B393" t="n">
        <v>23652.0703125</v>
      </c>
      <c r="C393" t="n">
        <v>24121.642578125</v>
      </c>
      <c r="D393" t="n">
        <v>23275.703125</v>
      </c>
      <c r="E393" t="n">
        <v>23336.896484375</v>
      </c>
      <c r="F393" t="n">
        <v>23553591896</v>
      </c>
    </row>
    <row r="394">
      <c r="A394" t="inlineStr">
        <is>
          <t>2022-08-01</t>
        </is>
      </c>
      <c r="B394" t="n">
        <v>23336.71875</v>
      </c>
      <c r="C394" t="n">
        <v>23464.787109375</v>
      </c>
      <c r="D394" t="n">
        <v>22890.796875</v>
      </c>
      <c r="E394" t="n">
        <v>23314.19921875</v>
      </c>
      <c r="F394" t="n">
        <v>25849159141</v>
      </c>
    </row>
    <row r="395">
      <c r="A395" t="inlineStr">
        <is>
          <t>2022-08-02</t>
        </is>
      </c>
      <c r="B395" t="n">
        <v>23308.43359375</v>
      </c>
      <c r="C395" t="n">
        <v>23415.041015625</v>
      </c>
      <c r="D395" t="n">
        <v>22710.083984375</v>
      </c>
      <c r="E395" t="n">
        <v>22978.1171875</v>
      </c>
      <c r="F395" t="n">
        <v>28389250717</v>
      </c>
    </row>
    <row r="396">
      <c r="A396" t="inlineStr">
        <is>
          <t>2022-08-03</t>
        </is>
      </c>
      <c r="B396" t="n">
        <v>22981.302734375</v>
      </c>
      <c r="C396" t="n">
        <v>23578.650390625</v>
      </c>
      <c r="D396" t="n">
        <v>22747.8359375</v>
      </c>
      <c r="E396" t="n">
        <v>22846.5078125</v>
      </c>
      <c r="F396" t="n">
        <v>26288169966</v>
      </c>
    </row>
    <row r="397">
      <c r="A397" t="inlineStr">
        <is>
          <t>2022-08-04</t>
        </is>
      </c>
      <c r="B397" t="n">
        <v>22848.21484375</v>
      </c>
      <c r="C397" t="n">
        <v>23198.009765625</v>
      </c>
      <c r="D397" t="n">
        <v>22485.701171875</v>
      </c>
      <c r="E397" t="n">
        <v>22630.95703125</v>
      </c>
      <c r="F397" t="n">
        <v>25120229769</v>
      </c>
    </row>
    <row r="398">
      <c r="A398" t="inlineStr">
        <is>
          <t>2022-08-05</t>
        </is>
      </c>
      <c r="B398" t="n">
        <v>22626.833984375</v>
      </c>
      <c r="C398" t="n">
        <v>23422.828125</v>
      </c>
      <c r="D398" t="n">
        <v>22612.177734375</v>
      </c>
      <c r="E398" t="n">
        <v>23289.314453125</v>
      </c>
      <c r="F398" t="n">
        <v>28881249043</v>
      </c>
    </row>
    <row r="399">
      <c r="A399" t="inlineStr">
        <is>
          <t>2022-08-06</t>
        </is>
      </c>
      <c r="B399" t="n">
        <v>23291.423828125</v>
      </c>
      <c r="C399" t="n">
        <v>23326.5625</v>
      </c>
      <c r="D399" t="n">
        <v>22961.279296875</v>
      </c>
      <c r="E399" t="n">
        <v>22961.279296875</v>
      </c>
      <c r="F399" t="n">
        <v>15978259885</v>
      </c>
    </row>
    <row r="400">
      <c r="A400" t="inlineStr">
        <is>
          <t>2022-08-07</t>
        </is>
      </c>
      <c r="B400" t="n">
        <v>22963.505859375</v>
      </c>
      <c r="C400" t="n">
        <v>23359.009765625</v>
      </c>
      <c r="D400" t="n">
        <v>22894.556640625</v>
      </c>
      <c r="E400" t="n">
        <v>23175.890625</v>
      </c>
      <c r="F400" t="n">
        <v>15886817043</v>
      </c>
    </row>
    <row r="401">
      <c r="A401" t="inlineStr">
        <is>
          <t>2022-08-08</t>
        </is>
      </c>
      <c r="B401" t="n">
        <v>23179.52734375</v>
      </c>
      <c r="C401" t="n">
        <v>24203.689453125</v>
      </c>
      <c r="D401" t="n">
        <v>23176.546875</v>
      </c>
      <c r="E401" t="n">
        <v>23809.486328125</v>
      </c>
      <c r="F401" t="n">
        <v>28575544847</v>
      </c>
    </row>
    <row r="402">
      <c r="A402" t="inlineStr">
        <is>
          <t>2022-08-09</t>
        </is>
      </c>
      <c r="B402" t="n">
        <v>23811.484375</v>
      </c>
      <c r="C402" t="n">
        <v>23898.615234375</v>
      </c>
      <c r="D402" t="n">
        <v>22982</v>
      </c>
      <c r="E402" t="n">
        <v>23164.318359375</v>
      </c>
      <c r="F402" t="n">
        <v>23555719219</v>
      </c>
    </row>
    <row r="403">
      <c r="A403" t="inlineStr">
        <is>
          <t>2022-08-10</t>
        </is>
      </c>
      <c r="B403" t="n">
        <v>23162.8984375</v>
      </c>
      <c r="C403" t="n">
        <v>24127.4140625</v>
      </c>
      <c r="D403" t="n">
        <v>22771.51953125</v>
      </c>
      <c r="E403" t="n">
        <v>23947.642578125</v>
      </c>
      <c r="F403" t="n">
        <v>32837431722</v>
      </c>
    </row>
    <row r="404">
      <c r="A404" t="inlineStr">
        <is>
          <t>2022-08-11</t>
        </is>
      </c>
      <c r="B404" t="n">
        <v>23948.345703125</v>
      </c>
      <c r="C404" t="n">
        <v>24822.62890625</v>
      </c>
      <c r="D404" t="n">
        <v>23900.99609375</v>
      </c>
      <c r="E404" t="n">
        <v>23957.529296875</v>
      </c>
      <c r="F404" t="n">
        <v>37127036580</v>
      </c>
    </row>
    <row r="405">
      <c r="A405" t="inlineStr">
        <is>
          <t>2022-08-12</t>
        </is>
      </c>
      <c r="B405" t="n">
        <v>23957.203125</v>
      </c>
      <c r="C405" t="n">
        <v>24412.56640625</v>
      </c>
      <c r="D405" t="n">
        <v>23657.265625</v>
      </c>
      <c r="E405" t="n">
        <v>24402.818359375</v>
      </c>
      <c r="F405" t="n">
        <v>27265804688</v>
      </c>
    </row>
    <row r="406">
      <c r="A406" t="inlineStr">
        <is>
          <t>2022-08-13</t>
        </is>
      </c>
      <c r="B406" t="n">
        <v>24402.1875</v>
      </c>
      <c r="C406" t="n">
        <v>24860.05078125</v>
      </c>
      <c r="D406" t="n">
        <v>24346.115234375</v>
      </c>
      <c r="E406" t="n">
        <v>24424.068359375</v>
      </c>
      <c r="F406" t="n">
        <v>22987346289</v>
      </c>
    </row>
    <row r="407">
      <c r="A407" t="inlineStr">
        <is>
          <t>2022-08-14</t>
        </is>
      </c>
      <c r="B407" t="n">
        <v>24429.056640625</v>
      </c>
      <c r="C407" t="n">
        <v>24974.9140625</v>
      </c>
      <c r="D407" t="n">
        <v>24206.259765625</v>
      </c>
      <c r="E407" t="n">
        <v>24319.333984375</v>
      </c>
      <c r="F407" t="n">
        <v>22994133555</v>
      </c>
    </row>
    <row r="408">
      <c r="A408" t="inlineStr">
        <is>
          <t>2022-08-15</t>
        </is>
      </c>
      <c r="B408" t="n">
        <v>24318.31640625</v>
      </c>
      <c r="C408" t="n">
        <v>25135.58984375</v>
      </c>
      <c r="D408" t="n">
        <v>23839.775390625</v>
      </c>
      <c r="E408" t="n">
        <v>24136.97265625</v>
      </c>
      <c r="F408" t="n">
        <v>35123501685</v>
      </c>
    </row>
    <row r="409">
      <c r="A409" t="inlineStr">
        <is>
          <t>2022-08-16</t>
        </is>
      </c>
      <c r="B409" t="n">
        <v>24126.13671875</v>
      </c>
      <c r="C409" t="n">
        <v>24228.416015625</v>
      </c>
      <c r="D409" t="n">
        <v>23733.5</v>
      </c>
      <c r="E409" t="n">
        <v>23883.291015625</v>
      </c>
      <c r="F409" t="n">
        <v>27753685646</v>
      </c>
    </row>
    <row r="410">
      <c r="A410" t="inlineStr">
        <is>
          <t>2022-08-17</t>
        </is>
      </c>
      <c r="B410" t="n">
        <v>23881.31640625</v>
      </c>
      <c r="C410" t="n">
        <v>24407.05859375</v>
      </c>
      <c r="D410" t="n">
        <v>23243.353515625</v>
      </c>
      <c r="E410" t="n">
        <v>23335.998046875</v>
      </c>
      <c r="F410" t="n">
        <v>30931623076</v>
      </c>
    </row>
    <row r="411">
      <c r="A411" t="inlineStr">
        <is>
          <t>2022-08-18</t>
        </is>
      </c>
      <c r="B411" t="n">
        <v>23341.0390625</v>
      </c>
      <c r="C411" t="n">
        <v>23563.83203125</v>
      </c>
      <c r="D411" t="n">
        <v>23177.6015625</v>
      </c>
      <c r="E411" t="n">
        <v>23212.73828125</v>
      </c>
      <c r="F411" t="n">
        <v>23747613147</v>
      </c>
    </row>
    <row r="412">
      <c r="A412" t="inlineStr">
        <is>
          <t>2022-08-19</t>
        </is>
      </c>
      <c r="B412" t="n">
        <v>23213.3125</v>
      </c>
      <c r="C412" t="n">
        <v>23213.3125</v>
      </c>
      <c r="D412" t="n">
        <v>20868.84765625</v>
      </c>
      <c r="E412" t="n">
        <v>20877.552734375</v>
      </c>
      <c r="F412" t="n">
        <v>40509610260</v>
      </c>
    </row>
    <row r="413">
      <c r="A413" t="inlineStr">
        <is>
          <t>2022-08-20</t>
        </is>
      </c>
      <c r="B413" t="n">
        <v>20872.841796875</v>
      </c>
      <c r="C413" t="n">
        <v>21350.806640625</v>
      </c>
      <c r="D413" t="n">
        <v>20856.73046875</v>
      </c>
      <c r="E413" t="n">
        <v>21166.060546875</v>
      </c>
      <c r="F413" t="n">
        <v>27595671000</v>
      </c>
    </row>
    <row r="414">
      <c r="A414" t="inlineStr">
        <is>
          <t>2022-08-21</t>
        </is>
      </c>
      <c r="B414" t="n">
        <v>21160.392578125</v>
      </c>
      <c r="C414" t="n">
        <v>21668.845703125</v>
      </c>
      <c r="D414" t="n">
        <v>21103.197265625</v>
      </c>
      <c r="E414" t="n">
        <v>21534.12109375</v>
      </c>
      <c r="F414" t="n">
        <v>23102307723</v>
      </c>
    </row>
    <row r="415">
      <c r="A415" t="inlineStr">
        <is>
          <t>2022-08-22</t>
        </is>
      </c>
      <c r="B415" t="n">
        <v>21531.462890625</v>
      </c>
      <c r="C415" t="n">
        <v>21531.462890625</v>
      </c>
      <c r="D415" t="n">
        <v>20939.18359375</v>
      </c>
      <c r="E415" t="n">
        <v>21398.908203125</v>
      </c>
      <c r="F415" t="n">
        <v>31666498758</v>
      </c>
    </row>
    <row r="416">
      <c r="A416" t="inlineStr">
        <is>
          <t>2022-08-23</t>
        </is>
      </c>
      <c r="B416" t="n">
        <v>21401.044921875</v>
      </c>
      <c r="C416" t="n">
        <v>21646.203125</v>
      </c>
      <c r="D416" t="n">
        <v>20955.138671875</v>
      </c>
      <c r="E416" t="n">
        <v>21528.087890625</v>
      </c>
      <c r="F416" t="n">
        <v>31878280659</v>
      </c>
    </row>
    <row r="417">
      <c r="A417" t="inlineStr">
        <is>
          <t>2022-08-24</t>
        </is>
      </c>
      <c r="B417" t="n">
        <v>21526.455078125</v>
      </c>
      <c r="C417" t="n">
        <v>21783.076171875</v>
      </c>
      <c r="D417" t="n">
        <v>21195.005859375</v>
      </c>
      <c r="E417" t="n">
        <v>21395.01953125</v>
      </c>
      <c r="F417" t="n">
        <v>31962253368</v>
      </c>
    </row>
    <row r="418">
      <c r="A418" t="inlineStr">
        <is>
          <t>2022-08-25</t>
        </is>
      </c>
      <c r="B418" t="n">
        <v>21395.458984375</v>
      </c>
      <c r="C418" t="n">
        <v>21789.63671875</v>
      </c>
      <c r="D418" t="n">
        <v>21362.44140625</v>
      </c>
      <c r="E418" t="n">
        <v>21600.904296875</v>
      </c>
      <c r="F418" t="n">
        <v>31028679593</v>
      </c>
    </row>
    <row r="419">
      <c r="A419" t="inlineStr">
        <is>
          <t>2022-08-26</t>
        </is>
      </c>
      <c r="B419" t="n">
        <v>21596.0859375</v>
      </c>
      <c r="C419" t="n">
        <v>21804.908203125</v>
      </c>
      <c r="D419" t="n">
        <v>20199.482421875</v>
      </c>
      <c r="E419" t="n">
        <v>20260.01953125</v>
      </c>
      <c r="F419" t="n">
        <v>42326789564</v>
      </c>
    </row>
    <row r="420">
      <c r="A420" t="inlineStr">
        <is>
          <t>2022-08-27</t>
        </is>
      </c>
      <c r="B420" t="n">
        <v>20262.48046875</v>
      </c>
      <c r="C420" t="n">
        <v>20340.775390625</v>
      </c>
      <c r="D420" t="n">
        <v>19890.5234375</v>
      </c>
      <c r="E420" t="n">
        <v>20041.73828125</v>
      </c>
      <c r="F420" t="n">
        <v>30116729776</v>
      </c>
    </row>
    <row r="421">
      <c r="A421" t="inlineStr">
        <is>
          <t>2022-08-28</t>
        </is>
      </c>
      <c r="B421" t="n">
        <v>20041.03515625</v>
      </c>
      <c r="C421" t="n">
        <v>20139.0546875</v>
      </c>
      <c r="D421" t="n">
        <v>19616.814453125</v>
      </c>
      <c r="E421" t="n">
        <v>19616.814453125</v>
      </c>
      <c r="F421" t="n">
        <v>24366810591</v>
      </c>
    </row>
    <row r="422">
      <c r="A422" t="inlineStr">
        <is>
          <t>2022-08-29</t>
        </is>
      </c>
      <c r="B422" t="n">
        <v>19615.154296875</v>
      </c>
      <c r="C422" t="n">
        <v>20357.462890625</v>
      </c>
      <c r="D422" t="n">
        <v>19600.78515625</v>
      </c>
      <c r="E422" t="n">
        <v>20297.994140625</v>
      </c>
      <c r="F422" t="n">
        <v>32637854078</v>
      </c>
    </row>
    <row r="423">
      <c r="A423" t="inlineStr">
        <is>
          <t>2022-08-30</t>
        </is>
      </c>
      <c r="B423" t="n">
        <v>20298.611328125</v>
      </c>
      <c r="C423" t="n">
        <v>20542.64453125</v>
      </c>
      <c r="D423" t="n">
        <v>19617.640625</v>
      </c>
      <c r="E423" t="n">
        <v>19796.80859375</v>
      </c>
      <c r="F423" t="n">
        <v>34483360283</v>
      </c>
    </row>
    <row r="424">
      <c r="A424" t="inlineStr">
        <is>
          <t>2022-08-31</t>
        </is>
      </c>
      <c r="B424" t="n">
        <v>19799.58203125</v>
      </c>
      <c r="C424" t="n">
        <v>20420.990234375</v>
      </c>
      <c r="D424" t="n">
        <v>19799.58203125</v>
      </c>
      <c r="E424" t="n">
        <v>20049.763671875</v>
      </c>
      <c r="F424" t="n">
        <v>33225232872</v>
      </c>
    </row>
    <row r="425">
      <c r="A425" t="inlineStr">
        <is>
          <t>2022-09-01</t>
        </is>
      </c>
      <c r="B425" t="n">
        <v>20050.498046875</v>
      </c>
      <c r="C425" t="n">
        <v>20198.390625</v>
      </c>
      <c r="D425" t="n">
        <v>19653.96875</v>
      </c>
      <c r="E425" t="n">
        <v>20127.140625</v>
      </c>
      <c r="F425" t="n">
        <v>30182031010</v>
      </c>
    </row>
    <row r="426">
      <c r="A426" t="inlineStr">
        <is>
          <t>2022-09-02</t>
        </is>
      </c>
      <c r="B426" t="n">
        <v>20126.072265625</v>
      </c>
      <c r="C426" t="n">
        <v>20401.568359375</v>
      </c>
      <c r="D426" t="n">
        <v>19814.765625</v>
      </c>
      <c r="E426" t="n">
        <v>19969.771484375</v>
      </c>
      <c r="F426" t="n">
        <v>29123998928</v>
      </c>
    </row>
    <row r="427">
      <c r="A427" t="inlineStr">
        <is>
          <t>2022-09-03</t>
        </is>
      </c>
      <c r="B427" t="n">
        <v>19969.71875</v>
      </c>
      <c r="C427" t="n">
        <v>20037.009765625</v>
      </c>
      <c r="D427" t="n">
        <v>19698.35546875</v>
      </c>
      <c r="E427" t="n">
        <v>19832.087890625</v>
      </c>
      <c r="F427" t="n">
        <v>23613051457</v>
      </c>
    </row>
    <row r="428">
      <c r="A428" t="inlineStr">
        <is>
          <t>2022-09-04</t>
        </is>
      </c>
      <c r="B428" t="n">
        <v>19832.470703125</v>
      </c>
      <c r="C428" t="n">
        <v>19999.689453125</v>
      </c>
      <c r="D428" t="n">
        <v>19636.81640625</v>
      </c>
      <c r="E428" t="n">
        <v>19986.712890625</v>
      </c>
      <c r="F428" t="n">
        <v>25245861652</v>
      </c>
    </row>
    <row r="429">
      <c r="A429" t="inlineStr">
        <is>
          <t>2022-09-05</t>
        </is>
      </c>
      <c r="B429" t="n">
        <v>19988.7890625</v>
      </c>
      <c r="C429" t="n">
        <v>20031.16015625</v>
      </c>
      <c r="D429" t="n">
        <v>19673.046875</v>
      </c>
      <c r="E429" t="n">
        <v>19812.37109375</v>
      </c>
      <c r="F429" t="n">
        <v>28813460025</v>
      </c>
    </row>
    <row r="430">
      <c r="A430" t="inlineStr">
        <is>
          <t>2022-09-06</t>
        </is>
      </c>
      <c r="B430" t="n">
        <v>19817.724609375</v>
      </c>
      <c r="C430" t="n">
        <v>20155.26953125</v>
      </c>
      <c r="D430" t="n">
        <v>18800.171875</v>
      </c>
      <c r="E430" t="n">
        <v>18837.66796875</v>
      </c>
      <c r="F430" t="n">
        <v>43403978910</v>
      </c>
    </row>
    <row r="431">
      <c r="A431" t="inlineStr">
        <is>
          <t>2022-09-07</t>
        </is>
      </c>
      <c r="B431" t="n">
        <v>18837.68359375</v>
      </c>
      <c r="C431" t="n">
        <v>19427.171875</v>
      </c>
      <c r="D431" t="n">
        <v>18644.466796875</v>
      </c>
      <c r="E431" t="n">
        <v>19290.32421875</v>
      </c>
      <c r="F431" t="n">
        <v>35239757134</v>
      </c>
    </row>
    <row r="432">
      <c r="A432" t="inlineStr">
        <is>
          <t>2022-09-08</t>
        </is>
      </c>
      <c r="B432" t="n">
        <v>19289.94140625</v>
      </c>
      <c r="C432" t="n">
        <v>19417.3515625</v>
      </c>
      <c r="D432" t="n">
        <v>19076.71484375</v>
      </c>
      <c r="E432" t="n">
        <v>19329.833984375</v>
      </c>
      <c r="F432" t="n">
        <v>32194477850</v>
      </c>
    </row>
    <row r="433">
      <c r="A433" t="inlineStr">
        <is>
          <t>2022-09-09</t>
        </is>
      </c>
      <c r="B433" t="n">
        <v>19328.140625</v>
      </c>
      <c r="C433" t="n">
        <v>21439.41015625</v>
      </c>
      <c r="D433" t="n">
        <v>19310.962890625</v>
      </c>
      <c r="E433" t="n">
        <v>21381.15234375</v>
      </c>
      <c r="F433" t="n">
        <v>48469528171</v>
      </c>
    </row>
    <row r="434">
      <c r="A434" t="inlineStr">
        <is>
          <t>2022-09-10</t>
        </is>
      </c>
      <c r="B434" t="n">
        <v>21376.912109375</v>
      </c>
      <c r="C434" t="n">
        <v>21760.275390625</v>
      </c>
      <c r="D434" t="n">
        <v>21168.72265625</v>
      </c>
      <c r="E434" t="n">
        <v>21680.5390625</v>
      </c>
      <c r="F434" t="n">
        <v>36913738894</v>
      </c>
    </row>
    <row r="435">
      <c r="A435" t="inlineStr">
        <is>
          <t>2022-09-11</t>
        </is>
      </c>
      <c r="B435" t="n">
        <v>21678.54296875</v>
      </c>
      <c r="C435" t="n">
        <v>21770.552734375</v>
      </c>
      <c r="D435" t="n">
        <v>21406.9453125</v>
      </c>
      <c r="E435" t="n">
        <v>21769.255859375</v>
      </c>
      <c r="F435" t="n">
        <v>34493951963</v>
      </c>
    </row>
    <row r="436">
      <c r="A436" t="inlineStr">
        <is>
          <t>2022-09-12</t>
        </is>
      </c>
      <c r="B436" t="n">
        <v>21770.1484375</v>
      </c>
      <c r="C436" t="n">
        <v>22439.181640625</v>
      </c>
      <c r="D436" t="n">
        <v>21603.896484375</v>
      </c>
      <c r="E436" t="n">
        <v>22370.44921875</v>
      </c>
      <c r="F436" t="n">
        <v>50212088965</v>
      </c>
    </row>
    <row r="437">
      <c r="A437" t="inlineStr">
        <is>
          <t>2022-09-13</t>
        </is>
      </c>
      <c r="B437" t="n">
        <v>22371.48046875</v>
      </c>
      <c r="C437" t="n">
        <v>22673.8203125</v>
      </c>
      <c r="D437" t="n">
        <v>20062.669921875</v>
      </c>
      <c r="E437" t="n">
        <v>20296.70703125</v>
      </c>
      <c r="F437" t="n">
        <v>51091116622</v>
      </c>
    </row>
    <row r="438">
      <c r="A438" t="inlineStr">
        <is>
          <t>2022-09-14</t>
        </is>
      </c>
      <c r="B438" t="n">
        <v>20184.5546875</v>
      </c>
      <c r="C438" t="n">
        <v>20467.201171875</v>
      </c>
      <c r="D438" t="n">
        <v>19793.396484375</v>
      </c>
      <c r="E438" t="n">
        <v>20241.08984375</v>
      </c>
      <c r="F438" t="n">
        <v>37872380889</v>
      </c>
    </row>
    <row r="439">
      <c r="A439" t="inlineStr">
        <is>
          <t>2022-09-15</t>
        </is>
      </c>
      <c r="B439" t="n">
        <v>20242.2890625</v>
      </c>
      <c r="C439" t="n">
        <v>20318.166015625</v>
      </c>
      <c r="D439" t="n">
        <v>19636.734375</v>
      </c>
      <c r="E439" t="n">
        <v>19701.2109375</v>
      </c>
      <c r="F439" t="n">
        <v>36389011503</v>
      </c>
    </row>
    <row r="440">
      <c r="A440" t="inlineStr">
        <is>
          <t>2022-09-16</t>
        </is>
      </c>
      <c r="B440" t="n">
        <v>19704.005859375</v>
      </c>
      <c r="C440" t="n">
        <v>19870.62890625</v>
      </c>
      <c r="D440" t="n">
        <v>19400.076171875</v>
      </c>
      <c r="E440" t="n">
        <v>19772.583984375</v>
      </c>
      <c r="F440" t="n">
        <v>30123362273</v>
      </c>
    </row>
    <row r="441">
      <c r="A441" t="inlineStr">
        <is>
          <t>2022-09-17</t>
        </is>
      </c>
      <c r="B441" t="n">
        <v>19777.033203125</v>
      </c>
      <c r="C441" t="n">
        <v>20162.53125</v>
      </c>
      <c r="D441" t="n">
        <v>19777.033203125</v>
      </c>
      <c r="E441" t="n">
        <v>20127.576171875</v>
      </c>
      <c r="F441" t="n">
        <v>24957448100</v>
      </c>
    </row>
    <row r="442">
      <c r="A442" t="inlineStr">
        <is>
          <t>2022-09-18</t>
        </is>
      </c>
      <c r="B442" t="n">
        <v>20127.234375</v>
      </c>
      <c r="C442" t="n">
        <v>20127.234375</v>
      </c>
      <c r="D442" t="n">
        <v>19387.4921875</v>
      </c>
      <c r="E442" t="n">
        <v>19419.505859375</v>
      </c>
      <c r="F442" t="n">
        <v>31254779144</v>
      </c>
    </row>
    <row r="443">
      <c r="A443" t="inlineStr">
        <is>
          <t>2022-09-19</t>
        </is>
      </c>
      <c r="B443" t="n">
        <v>19418.572265625</v>
      </c>
      <c r="C443" t="n">
        <v>19639.48046875</v>
      </c>
      <c r="D443" t="n">
        <v>18390.318359375</v>
      </c>
      <c r="E443" t="n">
        <v>19544.12890625</v>
      </c>
      <c r="F443" t="n">
        <v>40177002624</v>
      </c>
    </row>
    <row r="444">
      <c r="A444" t="inlineStr">
        <is>
          <t>2022-09-20</t>
        </is>
      </c>
      <c r="B444" t="n">
        <v>19545.591796875</v>
      </c>
      <c r="C444" t="n">
        <v>19602.45703125</v>
      </c>
      <c r="D444" t="n">
        <v>18813.455078125</v>
      </c>
      <c r="E444" t="n">
        <v>18890.7890625</v>
      </c>
      <c r="F444" t="n">
        <v>36791346508</v>
      </c>
    </row>
    <row r="445">
      <c r="A445" t="inlineStr">
        <is>
          <t>2022-09-21</t>
        </is>
      </c>
      <c r="B445" t="n">
        <v>18891.283203125</v>
      </c>
      <c r="C445" t="n">
        <v>19674.630859375</v>
      </c>
      <c r="D445" t="n">
        <v>18290.314453125</v>
      </c>
      <c r="E445" t="n">
        <v>18547.400390625</v>
      </c>
      <c r="F445" t="n">
        <v>46363793975</v>
      </c>
    </row>
    <row r="446">
      <c r="A446" t="inlineStr">
        <is>
          <t>2022-09-22</t>
        </is>
      </c>
      <c r="B446" t="n">
        <v>18534.650390625</v>
      </c>
      <c r="C446" t="n">
        <v>19456.91015625</v>
      </c>
      <c r="D446" t="n">
        <v>18415.591796875</v>
      </c>
      <c r="E446" t="n">
        <v>19413.55078125</v>
      </c>
      <c r="F446" t="n">
        <v>41135767926</v>
      </c>
    </row>
    <row r="447">
      <c r="A447" t="inlineStr">
        <is>
          <t>2022-09-23</t>
        </is>
      </c>
      <c r="B447" t="n">
        <v>19412.400390625</v>
      </c>
      <c r="C447" t="n">
        <v>19464.671875</v>
      </c>
      <c r="D447" t="n">
        <v>18617.552734375</v>
      </c>
      <c r="E447" t="n">
        <v>19297.638671875</v>
      </c>
      <c r="F447" t="n">
        <v>38896078052</v>
      </c>
    </row>
    <row r="448">
      <c r="A448" t="inlineStr">
        <is>
          <t>2022-09-24</t>
        </is>
      </c>
      <c r="B448" t="n">
        <v>19296.990234375</v>
      </c>
      <c r="C448" t="n">
        <v>19310.197265625</v>
      </c>
      <c r="D448" t="n">
        <v>18861.974609375</v>
      </c>
      <c r="E448" t="n">
        <v>18937.01171875</v>
      </c>
      <c r="F448" t="n">
        <v>26149643168</v>
      </c>
    </row>
    <row r="449">
      <c r="A449" t="inlineStr">
        <is>
          <t>2022-09-25</t>
        </is>
      </c>
      <c r="B449" t="n">
        <v>18936.310546875</v>
      </c>
      <c r="C449" t="n">
        <v>19134.732421875</v>
      </c>
      <c r="D449" t="n">
        <v>18696.46875</v>
      </c>
      <c r="E449" t="n">
        <v>18802.09765625</v>
      </c>
      <c r="F449" t="n">
        <v>23359966112</v>
      </c>
    </row>
    <row r="450">
      <c r="A450" t="inlineStr">
        <is>
          <t>2022-09-26</t>
        </is>
      </c>
      <c r="B450" t="n">
        <v>18803.900390625</v>
      </c>
      <c r="C450" t="n">
        <v>19274.873046875</v>
      </c>
      <c r="D450" t="n">
        <v>18721.28515625</v>
      </c>
      <c r="E450" t="n">
        <v>19222.671875</v>
      </c>
      <c r="F450" t="n">
        <v>44148798321</v>
      </c>
    </row>
    <row r="451">
      <c r="A451" t="inlineStr">
        <is>
          <t>2022-09-27</t>
        </is>
      </c>
      <c r="B451" t="n">
        <v>19221.83984375</v>
      </c>
      <c r="C451" t="n">
        <v>20338.455078125</v>
      </c>
      <c r="D451" t="n">
        <v>18915.66796875</v>
      </c>
      <c r="E451" t="n">
        <v>19110.546875</v>
      </c>
      <c r="F451" t="n">
        <v>58571439619</v>
      </c>
    </row>
    <row r="452">
      <c r="A452" t="inlineStr">
        <is>
          <t>2022-09-28</t>
        </is>
      </c>
      <c r="B452" t="n">
        <v>19104.62109375</v>
      </c>
      <c r="C452" t="n">
        <v>19688.34375</v>
      </c>
      <c r="D452" t="n">
        <v>18553.296875</v>
      </c>
      <c r="E452" t="n">
        <v>19426.720703125</v>
      </c>
      <c r="F452" t="n">
        <v>53071298734</v>
      </c>
    </row>
    <row r="453">
      <c r="A453" t="inlineStr">
        <is>
          <t>2022-09-29</t>
        </is>
      </c>
      <c r="B453" t="n">
        <v>19427.779296875</v>
      </c>
      <c r="C453" t="n">
        <v>19589.265625</v>
      </c>
      <c r="D453" t="n">
        <v>18924.353515625</v>
      </c>
      <c r="E453" t="n">
        <v>19573.05078125</v>
      </c>
      <c r="F453" t="n">
        <v>41037843771</v>
      </c>
    </row>
    <row r="454">
      <c r="A454" t="inlineStr">
        <is>
          <t>2022-09-30</t>
        </is>
      </c>
      <c r="B454" t="n">
        <v>19573.431640625</v>
      </c>
      <c r="C454" t="n">
        <v>20109.849609375</v>
      </c>
      <c r="D454" t="n">
        <v>19265.662109375</v>
      </c>
      <c r="E454" t="n">
        <v>19431.7890625</v>
      </c>
      <c r="F454" t="n">
        <v>43975248085</v>
      </c>
    </row>
    <row r="455">
      <c r="A455" t="inlineStr">
        <is>
          <t>2022-10-01</t>
        </is>
      </c>
      <c r="B455" t="n">
        <v>19431.10546875</v>
      </c>
      <c r="C455" t="n">
        <v>19471.154296875</v>
      </c>
      <c r="D455" t="n">
        <v>19231.08203125</v>
      </c>
      <c r="E455" t="n">
        <v>19312.095703125</v>
      </c>
      <c r="F455" t="n">
        <v>18719537670</v>
      </c>
    </row>
    <row r="456">
      <c r="A456" t="inlineStr">
        <is>
          <t>2022-10-02</t>
        </is>
      </c>
      <c r="B456" t="n">
        <v>19311.849609375</v>
      </c>
      <c r="C456" t="n">
        <v>19370.30859375</v>
      </c>
      <c r="D456" t="n">
        <v>18970.62109375</v>
      </c>
      <c r="E456" t="n">
        <v>19044.107421875</v>
      </c>
      <c r="F456" t="n">
        <v>20765955327</v>
      </c>
    </row>
    <row r="457">
      <c r="A457" t="inlineStr">
        <is>
          <t>2022-10-03</t>
        </is>
      </c>
      <c r="B457" t="n">
        <v>19044.068359375</v>
      </c>
      <c r="C457" t="n">
        <v>19653.54296875</v>
      </c>
      <c r="D457" t="n">
        <v>19025.2265625</v>
      </c>
      <c r="E457" t="n">
        <v>19623.580078125</v>
      </c>
      <c r="F457" t="n">
        <v>30484729489</v>
      </c>
    </row>
    <row r="458">
      <c r="A458" t="inlineStr">
        <is>
          <t>2022-10-04</t>
        </is>
      </c>
      <c r="B458" t="n">
        <v>19623.583984375</v>
      </c>
      <c r="C458" t="n">
        <v>20380.34375</v>
      </c>
      <c r="D458" t="n">
        <v>19523.83984375</v>
      </c>
      <c r="E458" t="n">
        <v>20336.84375</v>
      </c>
      <c r="F458" t="n">
        <v>35887278685</v>
      </c>
    </row>
    <row r="459">
      <c r="A459" t="inlineStr">
        <is>
          <t>2022-10-05</t>
        </is>
      </c>
      <c r="B459" t="n">
        <v>20335.900390625</v>
      </c>
      <c r="C459" t="n">
        <v>20343.748046875</v>
      </c>
      <c r="D459" t="n">
        <v>19801.80078125</v>
      </c>
      <c r="E459" t="n">
        <v>20160.716796875</v>
      </c>
      <c r="F459" t="n">
        <v>33223790572</v>
      </c>
    </row>
    <row r="460">
      <c r="A460" t="inlineStr">
        <is>
          <t>2022-10-06</t>
        </is>
      </c>
      <c r="B460" t="n">
        <v>20161.0390625</v>
      </c>
      <c r="C460" t="n">
        <v>20408.392578125</v>
      </c>
      <c r="D460" t="n">
        <v>19900.087890625</v>
      </c>
      <c r="E460" t="n">
        <v>19955.443359375</v>
      </c>
      <c r="F460" t="n">
        <v>34711412966</v>
      </c>
    </row>
    <row r="461">
      <c r="A461" t="inlineStr">
        <is>
          <t>2022-10-07</t>
        </is>
      </c>
      <c r="B461" t="n">
        <v>19957.55859375</v>
      </c>
      <c r="C461" t="n">
        <v>20041.0859375</v>
      </c>
      <c r="D461" t="n">
        <v>19395.79296875</v>
      </c>
      <c r="E461" t="n">
        <v>19546.849609375</v>
      </c>
      <c r="F461" t="n">
        <v>29227315390</v>
      </c>
    </row>
    <row r="462">
      <c r="A462" t="inlineStr">
        <is>
          <t>2022-10-08</t>
        </is>
      </c>
      <c r="B462" t="n">
        <v>19546.328125</v>
      </c>
      <c r="C462" t="n">
        <v>19601.6953125</v>
      </c>
      <c r="D462" t="n">
        <v>19299.4140625</v>
      </c>
      <c r="E462" t="n">
        <v>19416.568359375</v>
      </c>
      <c r="F462" t="n">
        <v>16437423167</v>
      </c>
    </row>
    <row r="463">
      <c r="A463" t="inlineStr">
        <is>
          <t>2022-10-09</t>
        </is>
      </c>
      <c r="B463" t="n">
        <v>19417.478515625</v>
      </c>
      <c r="C463" t="n">
        <v>19542.5390625</v>
      </c>
      <c r="D463" t="n">
        <v>19349.259765625</v>
      </c>
      <c r="E463" t="n">
        <v>19446.42578125</v>
      </c>
      <c r="F463" t="n">
        <v>16837262532</v>
      </c>
    </row>
    <row r="464">
      <c r="A464" t="inlineStr">
        <is>
          <t>2022-10-10</t>
        </is>
      </c>
      <c r="B464" t="n">
        <v>19446.416015625</v>
      </c>
      <c r="C464" t="n">
        <v>19515.466796875</v>
      </c>
      <c r="D464" t="n">
        <v>19102.978515625</v>
      </c>
      <c r="E464" t="n">
        <v>19141.484375</v>
      </c>
      <c r="F464" t="n">
        <v>27425022774</v>
      </c>
    </row>
    <row r="465">
      <c r="A465" t="inlineStr">
        <is>
          <t>2022-10-11</t>
        </is>
      </c>
      <c r="B465" t="n">
        <v>19139</v>
      </c>
      <c r="C465" t="n">
        <v>19241.9609375</v>
      </c>
      <c r="D465" t="n">
        <v>18925.603515625</v>
      </c>
      <c r="E465" t="n">
        <v>19051.41796875</v>
      </c>
      <c r="F465" t="n">
        <v>28711532910</v>
      </c>
    </row>
    <row r="466">
      <c r="A466" t="inlineStr">
        <is>
          <t>2022-10-12</t>
        </is>
      </c>
      <c r="B466" t="n">
        <v>19052.646484375</v>
      </c>
      <c r="C466" t="n">
        <v>19203.19921875</v>
      </c>
      <c r="D466" t="n">
        <v>19029.7578125</v>
      </c>
      <c r="E466" t="n">
        <v>19157.4453125</v>
      </c>
      <c r="F466" t="n">
        <v>24950173846</v>
      </c>
    </row>
    <row r="467">
      <c r="A467" t="inlineStr">
        <is>
          <t>2022-10-13</t>
        </is>
      </c>
      <c r="B467" t="n">
        <v>19156.966796875</v>
      </c>
      <c r="C467" t="n">
        <v>19453.328125</v>
      </c>
      <c r="D467" t="n">
        <v>18319.822265625</v>
      </c>
      <c r="E467" t="n">
        <v>19382.904296875</v>
      </c>
      <c r="F467" t="n">
        <v>44219840004</v>
      </c>
    </row>
    <row r="468">
      <c r="A468" t="inlineStr">
        <is>
          <t>2022-10-14</t>
        </is>
      </c>
      <c r="B468" t="n">
        <v>19382.533203125</v>
      </c>
      <c r="C468" t="n">
        <v>19889.146484375</v>
      </c>
      <c r="D468" t="n">
        <v>19115.408203125</v>
      </c>
      <c r="E468" t="n">
        <v>19185.65625</v>
      </c>
      <c r="F468" t="n">
        <v>38452356727</v>
      </c>
    </row>
    <row r="469">
      <c r="A469" t="inlineStr">
        <is>
          <t>2022-10-15</t>
        </is>
      </c>
      <c r="B469" t="n">
        <v>19185.4375</v>
      </c>
      <c r="C469" t="n">
        <v>19212.541015625</v>
      </c>
      <c r="D469" t="n">
        <v>19019.25</v>
      </c>
      <c r="E469" t="n">
        <v>19067.634765625</v>
      </c>
      <c r="F469" t="n">
        <v>16192235532</v>
      </c>
    </row>
    <row r="470">
      <c r="A470" t="inlineStr">
        <is>
          <t>2022-10-16</t>
        </is>
      </c>
      <c r="B470" t="n">
        <v>19068.9140625</v>
      </c>
      <c r="C470" t="n">
        <v>19389.603515625</v>
      </c>
      <c r="D470" t="n">
        <v>19068.9140625</v>
      </c>
      <c r="E470" t="n">
        <v>19268.09375</v>
      </c>
      <c r="F470" t="n">
        <v>17988916650</v>
      </c>
    </row>
    <row r="471">
      <c r="A471" t="inlineStr">
        <is>
          <t>2022-10-17</t>
        </is>
      </c>
      <c r="B471" t="n">
        <v>19268.5625</v>
      </c>
      <c r="C471" t="n">
        <v>19635.802734375</v>
      </c>
      <c r="D471" t="n">
        <v>19173.333984375</v>
      </c>
      <c r="E471" t="n">
        <v>19550.7578125</v>
      </c>
      <c r="F471" t="n">
        <v>27472552998</v>
      </c>
    </row>
    <row r="472">
      <c r="A472" t="inlineStr">
        <is>
          <t>2022-10-18</t>
        </is>
      </c>
      <c r="B472" t="n">
        <v>19550.466796875</v>
      </c>
      <c r="C472" t="n">
        <v>19666.994140625</v>
      </c>
      <c r="D472" t="n">
        <v>19144.76953125</v>
      </c>
      <c r="E472" t="n">
        <v>19334.416015625</v>
      </c>
      <c r="F472" t="n">
        <v>30580012344</v>
      </c>
    </row>
    <row r="473">
      <c r="A473" t="inlineStr">
        <is>
          <t>2022-10-19</t>
        </is>
      </c>
      <c r="B473" t="n">
        <v>19335.02734375</v>
      </c>
      <c r="C473" t="n">
        <v>19348.416015625</v>
      </c>
      <c r="D473" t="n">
        <v>19127.6875</v>
      </c>
      <c r="E473" t="n">
        <v>19139.53515625</v>
      </c>
      <c r="F473" t="n">
        <v>22425387184</v>
      </c>
    </row>
    <row r="474">
      <c r="A474" t="inlineStr">
        <is>
          <t>2022-10-20</t>
        </is>
      </c>
      <c r="B474" t="n">
        <v>19138.0859375</v>
      </c>
      <c r="C474" t="n">
        <v>19315.19921875</v>
      </c>
      <c r="D474" t="n">
        <v>18971.458984375</v>
      </c>
      <c r="E474" t="n">
        <v>19053.740234375</v>
      </c>
      <c r="F474" t="n">
        <v>24493974420</v>
      </c>
    </row>
    <row r="475">
      <c r="A475" t="inlineStr">
        <is>
          <t>2022-10-21</t>
        </is>
      </c>
      <c r="B475" t="n">
        <v>19053.203125</v>
      </c>
      <c r="C475" t="n">
        <v>19237.384765625</v>
      </c>
      <c r="D475" t="n">
        <v>18770.970703125</v>
      </c>
      <c r="E475" t="n">
        <v>19172.46875</v>
      </c>
      <c r="F475" t="n">
        <v>32459287866</v>
      </c>
    </row>
    <row r="476">
      <c r="A476" t="inlineStr">
        <is>
          <t>2022-10-22</t>
        </is>
      </c>
      <c r="B476" t="n">
        <v>19172.380859375</v>
      </c>
      <c r="C476" t="n">
        <v>19248.068359375</v>
      </c>
      <c r="D476" t="n">
        <v>19132.244140625</v>
      </c>
      <c r="E476" t="n">
        <v>19208.189453125</v>
      </c>
      <c r="F476" t="n">
        <v>16104440957</v>
      </c>
    </row>
    <row r="477">
      <c r="A477" t="inlineStr">
        <is>
          <t>2022-10-23</t>
        </is>
      </c>
      <c r="B477" t="n">
        <v>19207.734375</v>
      </c>
      <c r="C477" t="n">
        <v>19646.65234375</v>
      </c>
      <c r="D477" t="n">
        <v>19124.197265625</v>
      </c>
      <c r="E477" t="n">
        <v>19567.0078125</v>
      </c>
      <c r="F477" t="n">
        <v>22128794335</v>
      </c>
    </row>
    <row r="478">
      <c r="A478" t="inlineStr">
        <is>
          <t>2022-10-24</t>
        </is>
      </c>
      <c r="B478" t="n">
        <v>19567.76953125</v>
      </c>
      <c r="C478" t="n">
        <v>19589.125</v>
      </c>
      <c r="D478" t="n">
        <v>19206.32421875</v>
      </c>
      <c r="E478" t="n">
        <v>19345.572265625</v>
      </c>
      <c r="F478" t="n">
        <v>30202235805</v>
      </c>
    </row>
    <row r="479">
      <c r="A479" t="inlineStr">
        <is>
          <t>2022-10-25</t>
        </is>
      </c>
      <c r="B479" t="n">
        <v>19344.96484375</v>
      </c>
      <c r="C479" t="n">
        <v>20348.412109375</v>
      </c>
      <c r="D479" t="n">
        <v>19261.447265625</v>
      </c>
      <c r="E479" t="n">
        <v>20095.857421875</v>
      </c>
      <c r="F479" t="n">
        <v>47761524910</v>
      </c>
    </row>
    <row r="480">
      <c r="A480" t="inlineStr">
        <is>
          <t>2022-10-26</t>
        </is>
      </c>
      <c r="B480" t="n">
        <v>20092.236328125</v>
      </c>
      <c r="C480" t="n">
        <v>20938.134765625</v>
      </c>
      <c r="D480" t="n">
        <v>20076.1171875</v>
      </c>
      <c r="E480" t="n">
        <v>20770.44140625</v>
      </c>
      <c r="F480" t="n">
        <v>58895950537</v>
      </c>
    </row>
    <row r="481">
      <c r="A481" t="inlineStr">
        <is>
          <t>2022-10-27</t>
        </is>
      </c>
      <c r="B481" t="n">
        <v>20772.802734375</v>
      </c>
      <c r="C481" t="n">
        <v>20854.044921875</v>
      </c>
      <c r="D481" t="n">
        <v>20255.373046875</v>
      </c>
      <c r="E481" t="n">
        <v>20285.8359375</v>
      </c>
      <c r="F481" t="n">
        <v>49625110402</v>
      </c>
    </row>
    <row r="482">
      <c r="A482" t="inlineStr">
        <is>
          <t>2022-10-28</t>
        </is>
      </c>
      <c r="B482" t="n">
        <v>20287.95703125</v>
      </c>
      <c r="C482" t="n">
        <v>20724.98046875</v>
      </c>
      <c r="D482" t="n">
        <v>20086.068359375</v>
      </c>
      <c r="E482" t="n">
        <v>20595.3515625</v>
      </c>
      <c r="F482" t="n">
        <v>43994715910</v>
      </c>
    </row>
    <row r="483">
      <c r="A483" t="inlineStr">
        <is>
          <t>2022-10-29</t>
        </is>
      </c>
      <c r="B483" t="n">
        <v>20595.103515625</v>
      </c>
      <c r="C483" t="n">
        <v>20988.39453125</v>
      </c>
      <c r="D483" t="n">
        <v>20566.484375</v>
      </c>
      <c r="E483" t="n">
        <v>20818.4765625</v>
      </c>
      <c r="F483" t="n">
        <v>40369840645</v>
      </c>
    </row>
    <row r="484">
      <c r="A484" t="inlineStr">
        <is>
          <t>2022-10-30</t>
        </is>
      </c>
      <c r="B484" t="n">
        <v>20817.982421875</v>
      </c>
      <c r="C484" t="n">
        <v>20917.005859375</v>
      </c>
      <c r="D484" t="n">
        <v>20547.462890625</v>
      </c>
      <c r="E484" t="n">
        <v>20635.603515625</v>
      </c>
      <c r="F484" t="n">
        <v>31486345556</v>
      </c>
    </row>
    <row r="485">
      <c r="A485" t="inlineStr">
        <is>
          <t>2022-10-31</t>
        </is>
      </c>
      <c r="B485" t="n">
        <v>20633.6953125</v>
      </c>
      <c r="C485" t="n">
        <v>20795.3203125</v>
      </c>
      <c r="D485" t="n">
        <v>20287.458984375</v>
      </c>
      <c r="E485" t="n">
        <v>20495.7734375</v>
      </c>
      <c r="F485" t="n">
        <v>45668466815</v>
      </c>
    </row>
    <row r="486">
      <c r="A486" t="inlineStr">
        <is>
          <t>2022-11-01</t>
        </is>
      </c>
      <c r="B486" t="n">
        <v>20494.8984375</v>
      </c>
      <c r="C486" t="n">
        <v>20647.2890625</v>
      </c>
      <c r="D486" t="n">
        <v>20359.845703125</v>
      </c>
      <c r="E486" t="n">
        <v>20485.2734375</v>
      </c>
      <c r="F486" t="n">
        <v>39819303159</v>
      </c>
    </row>
    <row r="487">
      <c r="A487" t="inlineStr">
        <is>
          <t>2022-11-02</t>
        </is>
      </c>
      <c r="B487" t="n">
        <v>20482.958984375</v>
      </c>
      <c r="C487" t="n">
        <v>20742.810546875</v>
      </c>
      <c r="D487" t="n">
        <v>20087.134765625</v>
      </c>
      <c r="E487" t="n">
        <v>20159.50390625</v>
      </c>
      <c r="F487" t="n">
        <v>55552169483</v>
      </c>
    </row>
    <row r="488">
      <c r="A488" t="inlineStr">
        <is>
          <t>2022-11-03</t>
        </is>
      </c>
      <c r="B488" t="n">
        <v>20162.689453125</v>
      </c>
      <c r="C488" t="n">
        <v>20382.095703125</v>
      </c>
      <c r="D488" t="n">
        <v>20086.240234375</v>
      </c>
      <c r="E488" t="n">
        <v>20209.98828125</v>
      </c>
      <c r="F488" t="n">
        <v>43228750179</v>
      </c>
    </row>
    <row r="489">
      <c r="A489" t="inlineStr">
        <is>
          <t>2022-11-04</t>
        </is>
      </c>
      <c r="B489" t="n">
        <v>20208.76953125</v>
      </c>
      <c r="C489" t="n">
        <v>21209.560546875</v>
      </c>
      <c r="D489" t="n">
        <v>20188.01953125</v>
      </c>
      <c r="E489" t="n">
        <v>21147.23046875</v>
      </c>
      <c r="F489" t="n">
        <v>64072727950</v>
      </c>
    </row>
    <row r="490">
      <c r="A490" t="inlineStr">
        <is>
          <t>2022-11-05</t>
        </is>
      </c>
      <c r="B490" t="n">
        <v>21144.83203125</v>
      </c>
      <c r="C490" t="n">
        <v>21446.88671875</v>
      </c>
      <c r="D490" t="n">
        <v>21097.634765625</v>
      </c>
      <c r="E490" t="n">
        <v>21282.69140625</v>
      </c>
      <c r="F490" t="n">
        <v>37846047609</v>
      </c>
    </row>
    <row r="491">
      <c r="A491" t="inlineStr">
        <is>
          <t>2022-11-06</t>
        </is>
      </c>
      <c r="B491" t="n">
        <v>21285.056640625</v>
      </c>
      <c r="C491" t="n">
        <v>21345.376953125</v>
      </c>
      <c r="D491" t="n">
        <v>20920.19140625</v>
      </c>
      <c r="E491" t="n">
        <v>20926.486328125</v>
      </c>
      <c r="F491" t="n">
        <v>35082693210</v>
      </c>
    </row>
    <row r="492">
      <c r="A492" t="inlineStr">
        <is>
          <t>2022-11-07</t>
        </is>
      </c>
      <c r="B492" t="n">
        <v>20924.62109375</v>
      </c>
      <c r="C492" t="n">
        <v>21053.24609375</v>
      </c>
      <c r="D492" t="n">
        <v>20489.97265625</v>
      </c>
      <c r="E492" t="n">
        <v>20602.81640625</v>
      </c>
      <c r="F492" t="n">
        <v>53510852236</v>
      </c>
    </row>
    <row r="493">
      <c r="A493" t="inlineStr">
        <is>
          <t>2022-11-08</t>
        </is>
      </c>
      <c r="B493" t="n">
        <v>20600.671875</v>
      </c>
      <c r="C493" t="n">
        <v>20664.607421875</v>
      </c>
      <c r="D493" t="n">
        <v>17603.544921875</v>
      </c>
      <c r="E493" t="n">
        <v>18541.271484375</v>
      </c>
      <c r="F493" t="n">
        <v>118992465607</v>
      </c>
    </row>
    <row r="494">
      <c r="A494" t="inlineStr">
        <is>
          <t>2022-11-09</t>
        </is>
      </c>
      <c r="B494" t="n">
        <v>18543.76171875</v>
      </c>
      <c r="C494" t="n">
        <v>18590.458984375</v>
      </c>
      <c r="D494" t="n">
        <v>15682.6923828125</v>
      </c>
      <c r="E494" t="n">
        <v>15880.7802734375</v>
      </c>
      <c r="F494" t="n">
        <v>102905151606</v>
      </c>
    </row>
    <row r="495">
      <c r="A495" t="inlineStr">
        <is>
          <t>2022-11-10</t>
        </is>
      </c>
      <c r="B495" t="n">
        <v>15883.158203125</v>
      </c>
      <c r="C495" t="n">
        <v>18054.3125</v>
      </c>
      <c r="D495" t="n">
        <v>15834.0185546875</v>
      </c>
      <c r="E495" t="n">
        <v>17586.771484375</v>
      </c>
      <c r="F495" t="n">
        <v>83202283721</v>
      </c>
    </row>
    <row r="496">
      <c r="A496" t="inlineStr">
        <is>
          <t>2022-11-11</t>
        </is>
      </c>
      <c r="B496" t="n">
        <v>17583.251953125</v>
      </c>
      <c r="C496" t="n">
        <v>17650.943359375</v>
      </c>
      <c r="D496" t="n">
        <v>16543.482421875</v>
      </c>
      <c r="E496" t="n">
        <v>17034.29296875</v>
      </c>
      <c r="F496" t="n">
        <v>55871616488</v>
      </c>
    </row>
    <row r="497">
      <c r="A497" t="inlineStr">
        <is>
          <t>2022-11-12</t>
        </is>
      </c>
      <c r="B497" t="n">
        <v>17036.875</v>
      </c>
      <c r="C497" t="n">
        <v>17066.67578125</v>
      </c>
      <c r="D497" t="n">
        <v>16651.775390625</v>
      </c>
      <c r="E497" t="n">
        <v>16799.185546875</v>
      </c>
      <c r="F497" t="n">
        <v>29717699419</v>
      </c>
    </row>
    <row r="498">
      <c r="A498" t="inlineStr">
        <is>
          <t>2022-11-13</t>
        </is>
      </c>
      <c r="B498" t="n">
        <v>16799.72265625</v>
      </c>
      <c r="C498" t="n">
        <v>16920.765625</v>
      </c>
      <c r="D498" t="n">
        <v>16320.634765625</v>
      </c>
      <c r="E498" t="n">
        <v>16353.365234375</v>
      </c>
      <c r="F498" t="n">
        <v>27209183682</v>
      </c>
    </row>
    <row r="499">
      <c r="A499" t="inlineStr">
        <is>
          <t>2022-11-14</t>
        </is>
      </c>
      <c r="B499" t="n">
        <v>16352.0283203125</v>
      </c>
      <c r="C499" t="n">
        <v>17109.32421875</v>
      </c>
      <c r="D499" t="n">
        <v>15872.94140625</v>
      </c>
      <c r="E499" t="n">
        <v>16618.19921875</v>
      </c>
      <c r="F499" t="n">
        <v>49630243054</v>
      </c>
    </row>
    <row r="500">
      <c r="A500" t="inlineStr">
        <is>
          <t>2022-11-15</t>
        </is>
      </c>
      <c r="B500" t="n">
        <v>16617.484375</v>
      </c>
      <c r="C500" t="n">
        <v>17051.962890625</v>
      </c>
      <c r="D500" t="n">
        <v>16542.55078125</v>
      </c>
      <c r="E500" t="n">
        <v>16884.61328125</v>
      </c>
      <c r="F500" t="n">
        <v>36599436183</v>
      </c>
    </row>
    <row r="501">
      <c r="A501" t="inlineStr">
        <is>
          <t>2022-11-16</t>
        </is>
      </c>
      <c r="B501" t="n">
        <v>16884.341796875</v>
      </c>
      <c r="C501" t="n">
        <v>16960.294921875</v>
      </c>
      <c r="D501" t="n">
        <v>16430.111328125</v>
      </c>
      <c r="E501" t="n">
        <v>16669.439453125</v>
      </c>
      <c r="F501" t="n">
        <v>33925512989</v>
      </c>
    </row>
    <row r="502">
      <c r="A502" t="inlineStr">
        <is>
          <t>2022-11-17</t>
        </is>
      </c>
      <c r="B502" t="n">
        <v>16670.42578125</v>
      </c>
      <c r="C502" t="n">
        <v>16726.439453125</v>
      </c>
      <c r="D502" t="n">
        <v>16460.68359375</v>
      </c>
      <c r="E502" t="n">
        <v>16687.517578125</v>
      </c>
      <c r="F502" t="n">
        <v>27868914022</v>
      </c>
    </row>
    <row r="503">
      <c r="A503" t="inlineStr">
        <is>
          <t>2022-11-18</t>
        </is>
      </c>
      <c r="B503" t="n">
        <v>16687.912109375</v>
      </c>
      <c r="C503" t="n">
        <v>16947.05859375</v>
      </c>
      <c r="D503" t="n">
        <v>16564.611328125</v>
      </c>
      <c r="E503" t="n">
        <v>16697.77734375</v>
      </c>
      <c r="F503" t="n">
        <v>26862218609</v>
      </c>
    </row>
    <row r="504">
      <c r="A504" t="inlineStr">
        <is>
          <t>2022-11-19</t>
        </is>
      </c>
      <c r="B504" t="n">
        <v>16696.220703125</v>
      </c>
      <c r="C504" t="n">
        <v>16797.876953125</v>
      </c>
      <c r="D504" t="n">
        <v>16570.41015625</v>
      </c>
      <c r="E504" t="n">
        <v>16711.546875</v>
      </c>
      <c r="F504" t="n">
        <v>16106223492</v>
      </c>
    </row>
    <row r="505">
      <c r="A505" t="inlineStr">
        <is>
          <t>2022-11-20</t>
        </is>
      </c>
      <c r="B505" t="n">
        <v>16712.919921875</v>
      </c>
      <c r="C505" t="n">
        <v>16746.779296875</v>
      </c>
      <c r="D505" t="n">
        <v>16248.6923828125</v>
      </c>
      <c r="E505" t="n">
        <v>16291.83203125</v>
      </c>
      <c r="F505" t="n">
        <v>21313378652</v>
      </c>
    </row>
    <row r="506">
      <c r="A506" t="inlineStr">
        <is>
          <t>2022-11-21</t>
        </is>
      </c>
      <c r="B506" t="n">
        <v>16291.2236328125</v>
      </c>
      <c r="C506" t="n">
        <v>16291.2236328125</v>
      </c>
      <c r="D506" t="n">
        <v>15599.046875</v>
      </c>
      <c r="E506" t="n">
        <v>15787.2841796875</v>
      </c>
      <c r="F506" t="n">
        <v>37429485518</v>
      </c>
    </row>
    <row r="507">
      <c r="A507" t="inlineStr">
        <is>
          <t>2022-11-22</t>
        </is>
      </c>
      <c r="B507" t="n">
        <v>15782.30078125</v>
      </c>
      <c r="C507" t="n">
        <v>16253.0478515625</v>
      </c>
      <c r="D507" t="n">
        <v>15656.6064453125</v>
      </c>
      <c r="E507" t="n">
        <v>16189.76953125</v>
      </c>
      <c r="F507" t="n">
        <v>30726828760</v>
      </c>
    </row>
    <row r="508">
      <c r="A508" t="inlineStr">
        <is>
          <t>2022-11-23</t>
        </is>
      </c>
      <c r="B508" t="n">
        <v>16195.5888671875</v>
      </c>
      <c r="C508" t="n">
        <v>16638.193359375</v>
      </c>
      <c r="D508" t="n">
        <v>16170.5029296875</v>
      </c>
      <c r="E508" t="n">
        <v>16610.70703125</v>
      </c>
      <c r="F508" t="n">
        <v>32958875628</v>
      </c>
    </row>
    <row r="509">
      <c r="A509" t="inlineStr">
        <is>
          <t>2022-11-24</t>
        </is>
      </c>
      <c r="B509" t="n">
        <v>16611.63671875</v>
      </c>
      <c r="C509" t="n">
        <v>16771.474609375</v>
      </c>
      <c r="D509" t="n">
        <v>16501.767578125</v>
      </c>
      <c r="E509" t="n">
        <v>16604.46484375</v>
      </c>
      <c r="F509" t="n">
        <v>26129037414</v>
      </c>
    </row>
    <row r="510">
      <c r="A510" t="inlineStr">
        <is>
          <t>2022-11-25</t>
        </is>
      </c>
      <c r="B510" t="n">
        <v>16602.26953125</v>
      </c>
      <c r="C510" t="n">
        <v>16603.31640625</v>
      </c>
      <c r="D510" t="n">
        <v>16388.404296875</v>
      </c>
      <c r="E510" t="n">
        <v>16521.841796875</v>
      </c>
      <c r="F510" t="n">
        <v>18678255976</v>
      </c>
    </row>
    <row r="511">
      <c r="A511" t="inlineStr">
        <is>
          <t>2022-11-26</t>
        </is>
      </c>
      <c r="B511" t="n">
        <v>16521.576171875</v>
      </c>
      <c r="C511" t="n">
        <v>16666.86328125</v>
      </c>
      <c r="D511" t="n">
        <v>16416.228515625</v>
      </c>
      <c r="E511" t="n">
        <v>16464.28125</v>
      </c>
      <c r="F511" t="n">
        <v>18000008764</v>
      </c>
    </row>
    <row r="512">
      <c r="A512" t="inlineStr">
        <is>
          <t>2022-11-27</t>
        </is>
      </c>
      <c r="B512" t="n">
        <v>16463.8828125</v>
      </c>
      <c r="C512" t="n">
        <v>16594.40625</v>
      </c>
      <c r="D512" t="n">
        <v>16437.025390625</v>
      </c>
      <c r="E512" t="n">
        <v>16444.626953125</v>
      </c>
      <c r="F512" t="n">
        <v>20443898509</v>
      </c>
    </row>
    <row r="513">
      <c r="A513" t="inlineStr">
        <is>
          <t>2022-11-28</t>
        </is>
      </c>
      <c r="B513" t="n">
        <v>16440.22265625</v>
      </c>
      <c r="C513" t="n">
        <v>16482.93359375</v>
      </c>
      <c r="D513" t="n">
        <v>16054.5302734375</v>
      </c>
      <c r="E513" t="n">
        <v>16217.322265625</v>
      </c>
      <c r="F513" t="n">
        <v>27743025156</v>
      </c>
    </row>
    <row r="514">
      <c r="A514" t="inlineStr">
        <is>
          <t>2022-11-29</t>
        </is>
      </c>
      <c r="B514" t="n">
        <v>16217.6396484375</v>
      </c>
      <c r="C514" t="n">
        <v>16522.2578125</v>
      </c>
      <c r="D514" t="n">
        <v>16139.396484375</v>
      </c>
      <c r="E514" t="n">
        <v>16444.982421875</v>
      </c>
      <c r="F514" t="n">
        <v>23581685468</v>
      </c>
    </row>
    <row r="515">
      <c r="A515" t="inlineStr">
        <is>
          <t>2022-11-30</t>
        </is>
      </c>
      <c r="B515" t="n">
        <v>16445.4765625</v>
      </c>
      <c r="C515" t="n">
        <v>17190.9375</v>
      </c>
      <c r="D515" t="n">
        <v>16445.4765625</v>
      </c>
      <c r="E515" t="n">
        <v>17168.56640625</v>
      </c>
      <c r="F515" t="n">
        <v>29523576583</v>
      </c>
    </row>
    <row r="516">
      <c r="A516" t="inlineStr">
        <is>
          <t>2022-12-01</t>
        </is>
      </c>
      <c r="B516" t="n">
        <v>17168.001953125</v>
      </c>
      <c r="C516" t="n">
        <v>17197.498046875</v>
      </c>
      <c r="D516" t="n">
        <v>16888.388671875</v>
      </c>
      <c r="E516" t="n">
        <v>16967.1328125</v>
      </c>
      <c r="F516" t="n">
        <v>22895392882</v>
      </c>
    </row>
    <row r="517">
      <c r="A517" t="inlineStr">
        <is>
          <t>2022-12-02</t>
        </is>
      </c>
      <c r="B517" t="n">
        <v>16968.68359375</v>
      </c>
      <c r="C517" t="n">
        <v>17088.66015625</v>
      </c>
      <c r="D517" t="n">
        <v>16877.880859375</v>
      </c>
      <c r="E517" t="n">
        <v>17088.66015625</v>
      </c>
      <c r="F517" t="n">
        <v>19539705127</v>
      </c>
    </row>
    <row r="518">
      <c r="A518" t="inlineStr">
        <is>
          <t>2022-12-03</t>
        </is>
      </c>
      <c r="B518" t="n">
        <v>17090.09765625</v>
      </c>
      <c r="C518" t="n">
        <v>17116.041015625</v>
      </c>
      <c r="D518" t="n">
        <v>16888.140625</v>
      </c>
      <c r="E518" t="n">
        <v>16908.236328125</v>
      </c>
      <c r="F518" t="n">
        <v>16217776704</v>
      </c>
    </row>
    <row r="519">
      <c r="A519" t="inlineStr">
        <is>
          <t>2022-12-04</t>
        </is>
      </c>
      <c r="B519" t="n">
        <v>16908.169921875</v>
      </c>
      <c r="C519" t="n">
        <v>17157.767578125</v>
      </c>
      <c r="D519" t="n">
        <v>16903.439453125</v>
      </c>
      <c r="E519" t="n">
        <v>17130.486328125</v>
      </c>
      <c r="F519" t="n">
        <v>16824520830</v>
      </c>
    </row>
    <row r="520">
      <c r="A520" t="inlineStr">
        <is>
          <t>2022-12-05</t>
        </is>
      </c>
      <c r="B520" t="n">
        <v>17128.89453125</v>
      </c>
      <c r="C520" t="n">
        <v>17378.15234375</v>
      </c>
      <c r="D520" t="n">
        <v>16922.431640625</v>
      </c>
      <c r="E520" t="n">
        <v>16974.826171875</v>
      </c>
      <c r="F520" t="n">
        <v>22209086834</v>
      </c>
    </row>
    <row r="521">
      <c r="A521" t="inlineStr">
        <is>
          <t>2022-12-06</t>
        </is>
      </c>
      <c r="B521" t="n">
        <v>16975.23828125</v>
      </c>
      <c r="C521" t="n">
        <v>17091.86328125</v>
      </c>
      <c r="D521" t="n">
        <v>16939.921875</v>
      </c>
      <c r="E521" t="n">
        <v>17089.50390625</v>
      </c>
      <c r="F521" t="n">
        <v>19889922369</v>
      </c>
    </row>
    <row r="522">
      <c r="A522" t="inlineStr">
        <is>
          <t>2022-12-07</t>
        </is>
      </c>
      <c r="B522" t="n">
        <v>17089.505859375</v>
      </c>
      <c r="C522" t="n">
        <v>17109.376953125</v>
      </c>
      <c r="D522" t="n">
        <v>16750.55859375</v>
      </c>
      <c r="E522" t="n">
        <v>16848.126953125</v>
      </c>
      <c r="F522" t="n">
        <v>19675404389</v>
      </c>
    </row>
    <row r="523">
      <c r="A523" t="inlineStr">
        <is>
          <t>2022-12-08</t>
        </is>
      </c>
      <c r="B523" t="n">
        <v>16847.349609375</v>
      </c>
      <c r="C523" t="n">
        <v>17267.916015625</v>
      </c>
      <c r="D523" t="n">
        <v>16788.783203125</v>
      </c>
      <c r="E523" t="n">
        <v>17233.474609375</v>
      </c>
      <c r="F523" t="n">
        <v>20496603770</v>
      </c>
    </row>
    <row r="524">
      <c r="A524" t="inlineStr">
        <is>
          <t>2022-12-09</t>
        </is>
      </c>
      <c r="B524" t="n">
        <v>17232.1484375</v>
      </c>
      <c r="C524" t="n">
        <v>17280.546875</v>
      </c>
      <c r="D524" t="n">
        <v>17100.8359375</v>
      </c>
      <c r="E524" t="n">
        <v>17133.15234375</v>
      </c>
      <c r="F524" t="n">
        <v>20328426366</v>
      </c>
    </row>
    <row r="525">
      <c r="A525" t="inlineStr">
        <is>
          <t>2022-12-10</t>
        </is>
      </c>
      <c r="B525" t="n">
        <v>17134.220703125</v>
      </c>
      <c r="C525" t="n">
        <v>17216.826171875</v>
      </c>
      <c r="D525" t="n">
        <v>17120.68359375</v>
      </c>
      <c r="E525" t="n">
        <v>17128.724609375</v>
      </c>
      <c r="F525" t="n">
        <v>12706781969</v>
      </c>
    </row>
    <row r="526">
      <c r="A526" t="inlineStr">
        <is>
          <t>2022-12-11</t>
        </is>
      </c>
      <c r="B526" t="n">
        <v>17129.7109375</v>
      </c>
      <c r="C526" t="n">
        <v>17245.634765625</v>
      </c>
      <c r="D526" t="n">
        <v>17091.8203125</v>
      </c>
      <c r="E526" t="n">
        <v>17104.193359375</v>
      </c>
      <c r="F526" t="n">
        <v>14122486832</v>
      </c>
    </row>
    <row r="527">
      <c r="A527" t="inlineStr">
        <is>
          <t>2022-12-12</t>
        </is>
      </c>
      <c r="B527" t="n">
        <v>17102.5</v>
      </c>
      <c r="C527" t="n">
        <v>17212.564453125</v>
      </c>
      <c r="D527" t="n">
        <v>16899.39453125</v>
      </c>
      <c r="E527" t="n">
        <v>17206.4375</v>
      </c>
      <c r="F527" t="n">
        <v>19617581341</v>
      </c>
    </row>
    <row r="528">
      <c r="A528" t="inlineStr">
        <is>
          <t>2022-12-13</t>
        </is>
      </c>
      <c r="B528" t="n">
        <v>17206.44140625</v>
      </c>
      <c r="C528" t="n">
        <v>17930.0859375</v>
      </c>
      <c r="D528" t="n">
        <v>17111.763671875</v>
      </c>
      <c r="E528" t="n">
        <v>17781.318359375</v>
      </c>
      <c r="F528" t="n">
        <v>26634741631</v>
      </c>
    </row>
    <row r="529">
      <c r="A529" t="inlineStr">
        <is>
          <t>2022-12-14</t>
        </is>
      </c>
      <c r="B529" t="n">
        <v>17782.06640625</v>
      </c>
      <c r="C529" t="n">
        <v>18318.53125</v>
      </c>
      <c r="D529" t="n">
        <v>17739.513671875</v>
      </c>
      <c r="E529" t="n">
        <v>17815.650390625</v>
      </c>
      <c r="F529" t="n">
        <v>25534481470</v>
      </c>
    </row>
    <row r="530">
      <c r="A530" t="inlineStr">
        <is>
          <t>2022-12-15</t>
        </is>
      </c>
      <c r="B530" t="n">
        <v>17813.64453125</v>
      </c>
      <c r="C530" t="n">
        <v>17846.744140625</v>
      </c>
      <c r="D530" t="n">
        <v>17322.58984375</v>
      </c>
      <c r="E530" t="n">
        <v>17364.865234375</v>
      </c>
      <c r="F530" t="n">
        <v>20964448341</v>
      </c>
    </row>
    <row r="531">
      <c r="A531" t="inlineStr">
        <is>
          <t>2022-12-16</t>
        </is>
      </c>
      <c r="B531" t="n">
        <v>17364.546875</v>
      </c>
      <c r="C531" t="n">
        <v>17505.525390625</v>
      </c>
      <c r="D531" t="n">
        <v>16584.701171875</v>
      </c>
      <c r="E531" t="n">
        <v>16647.484375</v>
      </c>
      <c r="F531" t="n">
        <v>24031608960</v>
      </c>
    </row>
    <row r="532">
      <c r="A532" t="inlineStr">
        <is>
          <t>2022-12-17</t>
        </is>
      </c>
      <c r="B532" t="n">
        <v>16646.982421875</v>
      </c>
      <c r="C532" t="n">
        <v>16800.58984375</v>
      </c>
      <c r="D532" t="n">
        <v>16614.029296875</v>
      </c>
      <c r="E532" t="n">
        <v>16795.091796875</v>
      </c>
      <c r="F532" t="n">
        <v>14463581825</v>
      </c>
    </row>
    <row r="533">
      <c r="A533" t="inlineStr">
        <is>
          <t>2022-12-18</t>
        </is>
      </c>
      <c r="B533" t="n">
        <v>16795.609375</v>
      </c>
      <c r="C533" t="n">
        <v>16815.38671875</v>
      </c>
      <c r="D533" t="n">
        <v>16697.8203125</v>
      </c>
      <c r="E533" t="n">
        <v>16757.9765625</v>
      </c>
      <c r="F533" t="n">
        <v>10924354698</v>
      </c>
    </row>
    <row r="534">
      <c r="A534" t="inlineStr">
        <is>
          <t>2022-12-19</t>
        </is>
      </c>
      <c r="B534" t="n">
        <v>16759.041015625</v>
      </c>
      <c r="C534" t="n">
        <v>16807.52734375</v>
      </c>
      <c r="D534" t="n">
        <v>16398.13671875</v>
      </c>
      <c r="E534" t="n">
        <v>16439.6796875</v>
      </c>
      <c r="F534" t="n">
        <v>17221074814</v>
      </c>
    </row>
    <row r="535">
      <c r="A535" t="inlineStr">
        <is>
          <t>2022-12-20</t>
        </is>
      </c>
      <c r="B535" t="n">
        <v>16441.787109375</v>
      </c>
      <c r="C535" t="n">
        <v>17012.984375</v>
      </c>
      <c r="D535" t="n">
        <v>16427.8671875</v>
      </c>
      <c r="E535" t="n">
        <v>16906.3046875</v>
      </c>
      <c r="F535" t="n">
        <v>22722096615</v>
      </c>
    </row>
    <row r="536">
      <c r="A536" t="inlineStr">
        <is>
          <t>2022-12-21</t>
        </is>
      </c>
      <c r="B536" t="n">
        <v>16904.52734375</v>
      </c>
      <c r="C536" t="n">
        <v>16916.80078125</v>
      </c>
      <c r="D536" t="n">
        <v>16755.912109375</v>
      </c>
      <c r="E536" t="n">
        <v>16817.53515625</v>
      </c>
      <c r="F536" t="n">
        <v>14882945045</v>
      </c>
    </row>
    <row r="537">
      <c r="A537" t="inlineStr">
        <is>
          <t>2022-12-22</t>
        </is>
      </c>
      <c r="B537" t="n">
        <v>16818.380859375</v>
      </c>
      <c r="C537" t="n">
        <v>16866.673828125</v>
      </c>
      <c r="D537" t="n">
        <v>16592.408203125</v>
      </c>
      <c r="E537" t="n">
        <v>16830.341796875</v>
      </c>
      <c r="F537" t="n">
        <v>16441573050</v>
      </c>
    </row>
    <row r="538">
      <c r="A538" t="inlineStr">
        <is>
          <t>2022-12-23</t>
        </is>
      </c>
      <c r="B538" t="n">
        <v>16829.64453125</v>
      </c>
      <c r="C538" t="n">
        <v>16905.21875</v>
      </c>
      <c r="D538" t="n">
        <v>16794.458984375</v>
      </c>
      <c r="E538" t="n">
        <v>16796.953125</v>
      </c>
      <c r="F538" t="n">
        <v>15329265213</v>
      </c>
    </row>
    <row r="539">
      <c r="A539" t="inlineStr">
        <is>
          <t>2022-12-24</t>
        </is>
      </c>
      <c r="B539" t="n">
        <v>16796.9765625</v>
      </c>
      <c r="C539" t="n">
        <v>16864.703125</v>
      </c>
      <c r="D539" t="n">
        <v>16793.52734375</v>
      </c>
      <c r="E539" t="n">
        <v>16847.755859375</v>
      </c>
      <c r="F539" t="n">
        <v>9744636213</v>
      </c>
    </row>
    <row r="540">
      <c r="A540" t="inlineStr">
        <is>
          <t>2022-12-25</t>
        </is>
      </c>
      <c r="B540" t="n">
        <v>16847.505859375</v>
      </c>
      <c r="C540" t="n">
        <v>16860.5546875</v>
      </c>
      <c r="D540" t="n">
        <v>16755.25390625</v>
      </c>
      <c r="E540" t="n">
        <v>16841.986328125</v>
      </c>
      <c r="F540" t="n">
        <v>11656379938</v>
      </c>
    </row>
    <row r="541">
      <c r="A541" t="inlineStr">
        <is>
          <t>2022-12-26</t>
        </is>
      </c>
      <c r="B541" t="n">
        <v>16842.25</v>
      </c>
      <c r="C541" t="n">
        <v>16920.123046875</v>
      </c>
      <c r="D541" t="n">
        <v>16812.369140625</v>
      </c>
      <c r="E541" t="n">
        <v>16919.8046875</v>
      </c>
      <c r="F541" t="n">
        <v>11886957804</v>
      </c>
    </row>
    <row r="542">
      <c r="A542" t="inlineStr">
        <is>
          <t>2022-12-27</t>
        </is>
      </c>
      <c r="B542" t="n">
        <v>16919.291015625</v>
      </c>
      <c r="C542" t="n">
        <v>16959.845703125</v>
      </c>
      <c r="D542" t="n">
        <v>16642.072265625</v>
      </c>
      <c r="E542" t="n">
        <v>16717.173828125</v>
      </c>
      <c r="F542" t="n">
        <v>15748580239</v>
      </c>
    </row>
    <row r="543">
      <c r="A543" t="inlineStr">
        <is>
          <t>2022-12-28</t>
        </is>
      </c>
      <c r="B543" t="n">
        <v>16716.400390625</v>
      </c>
      <c r="C543" t="n">
        <v>16768.169921875</v>
      </c>
      <c r="D543" t="n">
        <v>16497.556640625</v>
      </c>
      <c r="E543" t="n">
        <v>16552.572265625</v>
      </c>
      <c r="F543" t="n">
        <v>17005713920</v>
      </c>
    </row>
    <row r="544">
      <c r="A544" t="inlineStr">
        <is>
          <t>2022-12-29</t>
        </is>
      </c>
      <c r="B544" t="n">
        <v>16552.322265625</v>
      </c>
      <c r="C544" t="n">
        <v>16651.755859375</v>
      </c>
      <c r="D544" t="n">
        <v>16508.68359375</v>
      </c>
      <c r="E544" t="n">
        <v>16642.341796875</v>
      </c>
      <c r="F544" t="n">
        <v>14472237479</v>
      </c>
    </row>
    <row r="545">
      <c r="A545" t="inlineStr">
        <is>
          <t>2022-12-30</t>
        </is>
      </c>
      <c r="B545" t="n">
        <v>16641.330078125</v>
      </c>
      <c r="C545" t="n">
        <v>16643.427734375</v>
      </c>
      <c r="D545" t="n">
        <v>16408.474609375</v>
      </c>
      <c r="E545" t="n">
        <v>16602.5859375</v>
      </c>
      <c r="F545" t="n">
        <v>15929162910</v>
      </c>
    </row>
    <row r="546">
      <c r="A546" t="inlineStr">
        <is>
          <t>2022-12-31</t>
        </is>
      </c>
      <c r="B546" t="n">
        <v>16603.673828125</v>
      </c>
      <c r="C546" t="n">
        <v>16628.986328125</v>
      </c>
      <c r="D546" t="n">
        <v>16517.51953125</v>
      </c>
      <c r="E546" t="n">
        <v>16547.49609375</v>
      </c>
      <c r="F546" t="n">
        <v>11239186456</v>
      </c>
    </row>
    <row r="547">
      <c r="A547" t="inlineStr">
        <is>
          <t>2023-01-01</t>
        </is>
      </c>
      <c r="B547" t="n">
        <v>16547.9140625</v>
      </c>
      <c r="C547" t="n">
        <v>16630.439453125</v>
      </c>
      <c r="D547" t="n">
        <v>16521.234375</v>
      </c>
      <c r="E547" t="n">
        <v>16625.080078125</v>
      </c>
      <c r="F547" t="n">
        <v>9244361700</v>
      </c>
    </row>
    <row r="548">
      <c r="A548" t="inlineStr">
        <is>
          <t>2023-01-02</t>
        </is>
      </c>
      <c r="B548" t="n">
        <v>16625.509765625</v>
      </c>
      <c r="C548" t="n">
        <v>16759.34375</v>
      </c>
      <c r="D548" t="n">
        <v>16572.228515625</v>
      </c>
      <c r="E548" t="n">
        <v>16688.470703125</v>
      </c>
      <c r="F548" t="n">
        <v>12097775227</v>
      </c>
    </row>
    <row r="549">
      <c r="A549" t="inlineStr">
        <is>
          <t>2023-01-03</t>
        </is>
      </c>
      <c r="B549" t="n">
        <v>16688.84765625</v>
      </c>
      <c r="C549" t="n">
        <v>16760.447265625</v>
      </c>
      <c r="D549" t="n">
        <v>16622.37109375</v>
      </c>
      <c r="E549" t="n">
        <v>16679.857421875</v>
      </c>
      <c r="F549" t="n">
        <v>13903079207</v>
      </c>
    </row>
    <row r="550">
      <c r="A550" t="inlineStr">
        <is>
          <t>2023-01-04</t>
        </is>
      </c>
      <c r="B550" t="n">
        <v>16680.205078125</v>
      </c>
      <c r="C550" t="n">
        <v>16964.5859375</v>
      </c>
      <c r="D550" t="n">
        <v>16667.763671875</v>
      </c>
      <c r="E550" t="n">
        <v>16863.23828125</v>
      </c>
      <c r="F550" t="n">
        <v>18421743322</v>
      </c>
    </row>
    <row r="551">
      <c r="A551" t="inlineStr">
        <is>
          <t>2023-01-05</t>
        </is>
      </c>
      <c r="B551" t="n">
        <v>16863.47265625</v>
      </c>
      <c r="C551" t="n">
        <v>16884.021484375</v>
      </c>
      <c r="D551" t="n">
        <v>16790.283203125</v>
      </c>
      <c r="E551" t="n">
        <v>16836.736328125</v>
      </c>
      <c r="F551" t="n">
        <v>13692758566</v>
      </c>
    </row>
    <row r="552">
      <c r="A552" t="inlineStr">
        <is>
          <t>2023-01-06</t>
        </is>
      </c>
      <c r="B552" t="n">
        <v>16836.47265625</v>
      </c>
      <c r="C552" t="n">
        <v>16991.994140625</v>
      </c>
      <c r="D552" t="n">
        <v>16716.421875</v>
      </c>
      <c r="E552" t="n">
        <v>16951.96875</v>
      </c>
      <c r="F552" t="n">
        <v>14413662913</v>
      </c>
    </row>
    <row r="553">
      <c r="A553" t="inlineStr">
        <is>
          <t>2023-01-07</t>
        </is>
      </c>
      <c r="B553" t="n">
        <v>16952.1171875</v>
      </c>
      <c r="C553" t="n">
        <v>16975.017578125</v>
      </c>
      <c r="D553" t="n">
        <v>16914.19140625</v>
      </c>
      <c r="E553" t="n">
        <v>16955.078125</v>
      </c>
      <c r="F553" t="n">
        <v>7714767174</v>
      </c>
    </row>
    <row r="554">
      <c r="A554" t="inlineStr">
        <is>
          <t>2023-01-08</t>
        </is>
      </c>
      <c r="B554" t="n">
        <v>16954.146484375</v>
      </c>
      <c r="C554" t="n">
        <v>17091.14453125</v>
      </c>
      <c r="D554" t="n">
        <v>16924.05078125</v>
      </c>
      <c r="E554" t="n">
        <v>17091.14453125</v>
      </c>
      <c r="F554" t="n">
        <v>9768827914</v>
      </c>
    </row>
    <row r="555">
      <c r="A555" t="inlineStr">
        <is>
          <t>2023-01-09</t>
        </is>
      </c>
      <c r="B555" t="n">
        <v>17093.9921875</v>
      </c>
      <c r="C555" t="n">
        <v>17389.95703125</v>
      </c>
      <c r="D555" t="n">
        <v>17093.9921875</v>
      </c>
      <c r="E555" t="n">
        <v>17196.5546875</v>
      </c>
      <c r="F555" t="n">
        <v>18624736866</v>
      </c>
    </row>
    <row r="556">
      <c r="A556" t="inlineStr">
        <is>
          <t>2023-01-10</t>
        </is>
      </c>
      <c r="B556" t="n">
        <v>17192.94921875</v>
      </c>
      <c r="C556" t="n">
        <v>17484.720703125</v>
      </c>
      <c r="D556" t="n">
        <v>17162.990234375</v>
      </c>
      <c r="E556" t="n">
        <v>17446.29296875</v>
      </c>
      <c r="F556" t="n">
        <v>15808338949</v>
      </c>
    </row>
    <row r="557">
      <c r="A557" t="inlineStr">
        <is>
          <t>2023-01-11</t>
        </is>
      </c>
      <c r="B557" t="n">
        <v>17446.359375</v>
      </c>
      <c r="C557" t="n">
        <v>17934.896484375</v>
      </c>
      <c r="D557" t="n">
        <v>17337.994140625</v>
      </c>
      <c r="E557" t="n">
        <v>17934.896484375</v>
      </c>
      <c r="F557" t="n">
        <v>18372283782</v>
      </c>
    </row>
    <row r="558">
      <c r="A558" t="inlineStr">
        <is>
          <t>2023-01-12</t>
        </is>
      </c>
      <c r="B558" t="n">
        <v>18117.59375</v>
      </c>
      <c r="C558" t="n">
        <v>19030.087890625</v>
      </c>
      <c r="D558" t="n">
        <v>17995.203125</v>
      </c>
      <c r="E558" t="n">
        <v>18869.587890625</v>
      </c>
      <c r="F558" t="n">
        <v>34971338710</v>
      </c>
    </row>
    <row r="559">
      <c r="A559" t="inlineStr">
        <is>
          <t>2023-01-13</t>
        </is>
      </c>
      <c r="B559" t="n">
        <v>18868.90625</v>
      </c>
      <c r="C559" t="n">
        <v>19964.322265625</v>
      </c>
      <c r="D559" t="n">
        <v>18753.1640625</v>
      </c>
      <c r="E559" t="n">
        <v>19909.57421875</v>
      </c>
      <c r="F559" t="n">
        <v>29225029694</v>
      </c>
    </row>
    <row r="560">
      <c r="A560" t="inlineStr">
        <is>
          <t>2023-01-14</t>
        </is>
      </c>
      <c r="B560" t="n">
        <v>19910.537109375</v>
      </c>
      <c r="C560" t="n">
        <v>21075.142578125</v>
      </c>
      <c r="D560" t="n">
        <v>19907.828125</v>
      </c>
      <c r="E560" t="n">
        <v>20976.298828125</v>
      </c>
      <c r="F560" t="n">
        <v>38967784639</v>
      </c>
    </row>
    <row r="561">
      <c r="A561" t="inlineStr">
        <is>
          <t>2023-01-15</t>
        </is>
      </c>
      <c r="B561" t="n">
        <v>20977.484375</v>
      </c>
      <c r="C561" t="n">
        <v>20993.748046875</v>
      </c>
      <c r="D561" t="n">
        <v>20606.986328125</v>
      </c>
      <c r="E561" t="n">
        <v>20880.798828125</v>
      </c>
      <c r="F561" t="n">
        <v>19298407543</v>
      </c>
    </row>
    <row r="562">
      <c r="A562" t="inlineStr">
        <is>
          <t>2023-01-16</t>
        </is>
      </c>
      <c r="B562" t="n">
        <v>20882.224609375</v>
      </c>
      <c r="C562" t="n">
        <v>21360.875</v>
      </c>
      <c r="D562" t="n">
        <v>20715.74609375</v>
      </c>
      <c r="E562" t="n">
        <v>21169.6328125</v>
      </c>
      <c r="F562" t="n">
        <v>26792494050</v>
      </c>
    </row>
    <row r="563">
      <c r="A563" t="inlineStr">
        <is>
          <t>2023-01-17</t>
        </is>
      </c>
      <c r="B563" t="n">
        <v>21175.833984375</v>
      </c>
      <c r="C563" t="n">
        <v>21438.66015625</v>
      </c>
      <c r="D563" t="n">
        <v>20978.533203125</v>
      </c>
      <c r="E563" t="n">
        <v>21161.51953125</v>
      </c>
      <c r="F563" t="n">
        <v>24999983362</v>
      </c>
    </row>
    <row r="564">
      <c r="A564" t="inlineStr">
        <is>
          <t>2023-01-18</t>
        </is>
      </c>
      <c r="B564" t="n">
        <v>21161.05078125</v>
      </c>
      <c r="C564" t="n">
        <v>21564.501953125</v>
      </c>
      <c r="D564" t="n">
        <v>20541.544921875</v>
      </c>
      <c r="E564" t="n">
        <v>20688.78125</v>
      </c>
      <c r="F564" t="n">
        <v>30005625418</v>
      </c>
    </row>
    <row r="565">
      <c r="A565" t="inlineStr">
        <is>
          <t>2023-01-19</t>
        </is>
      </c>
      <c r="B565" t="n">
        <v>20686.74609375</v>
      </c>
      <c r="C565" t="n">
        <v>21163.01171875</v>
      </c>
      <c r="D565" t="n">
        <v>20685.380859375</v>
      </c>
      <c r="E565" t="n">
        <v>21086.79296875</v>
      </c>
      <c r="F565" t="n">
        <v>21152848261</v>
      </c>
    </row>
    <row r="566">
      <c r="A566" t="inlineStr">
        <is>
          <t>2023-01-20</t>
        </is>
      </c>
      <c r="B566" t="n">
        <v>21085.373046875</v>
      </c>
      <c r="C566" t="n">
        <v>22692.357421875</v>
      </c>
      <c r="D566" t="n">
        <v>20919.126953125</v>
      </c>
      <c r="E566" t="n">
        <v>22676.552734375</v>
      </c>
      <c r="F566" t="n">
        <v>28799154319</v>
      </c>
    </row>
    <row r="567">
      <c r="A567" t="inlineStr">
        <is>
          <t>2023-01-21</t>
        </is>
      </c>
      <c r="B567" t="n">
        <v>22677.427734375</v>
      </c>
      <c r="C567" t="n">
        <v>23282.34765625</v>
      </c>
      <c r="D567" t="n">
        <v>22511.833984375</v>
      </c>
      <c r="E567" t="n">
        <v>22777.625</v>
      </c>
      <c r="F567" t="n">
        <v>32442278429</v>
      </c>
    </row>
    <row r="568">
      <c r="A568" t="inlineStr">
        <is>
          <t>2023-01-22</t>
        </is>
      </c>
      <c r="B568" t="n">
        <v>22777.986328125</v>
      </c>
      <c r="C568" t="n">
        <v>23056.73046875</v>
      </c>
      <c r="D568" t="n">
        <v>22387.900390625</v>
      </c>
      <c r="E568" t="n">
        <v>22720.416015625</v>
      </c>
      <c r="F568" t="n">
        <v>24746386230</v>
      </c>
    </row>
    <row r="569">
      <c r="A569" t="inlineStr">
        <is>
          <t>2023-01-23</t>
        </is>
      </c>
      <c r="B569" t="n">
        <v>22721.087890625</v>
      </c>
      <c r="C569" t="n">
        <v>23126.486328125</v>
      </c>
      <c r="D569" t="n">
        <v>22654.3046875</v>
      </c>
      <c r="E569" t="n">
        <v>22934.431640625</v>
      </c>
      <c r="F569" t="n">
        <v>26518700512</v>
      </c>
    </row>
    <row r="570">
      <c r="A570" t="inlineStr">
        <is>
          <t>2023-01-24</t>
        </is>
      </c>
      <c r="B570" t="n">
        <v>22929.626953125</v>
      </c>
      <c r="C570" t="n">
        <v>23134.01171875</v>
      </c>
      <c r="D570" t="n">
        <v>22549.744140625</v>
      </c>
      <c r="E570" t="n">
        <v>22636.46875</v>
      </c>
      <c r="F570" t="n">
        <v>26405069715</v>
      </c>
    </row>
    <row r="571">
      <c r="A571" t="inlineStr">
        <is>
          <t>2023-01-25</t>
        </is>
      </c>
      <c r="B571" t="n">
        <v>22639.267578125</v>
      </c>
      <c r="C571" t="n">
        <v>23722.099609375</v>
      </c>
      <c r="D571" t="n">
        <v>22406.076171875</v>
      </c>
      <c r="E571" t="n">
        <v>23117.859375</v>
      </c>
      <c r="F571" t="n">
        <v>30685366709</v>
      </c>
    </row>
    <row r="572">
      <c r="A572" t="inlineStr">
        <is>
          <t>2023-01-26</t>
        </is>
      </c>
      <c r="B572" t="n">
        <v>23108.955078125</v>
      </c>
      <c r="C572" t="n">
        <v>23237.078125</v>
      </c>
      <c r="D572" t="n">
        <v>22911.373046875</v>
      </c>
      <c r="E572" t="n">
        <v>23032.77734375</v>
      </c>
      <c r="F572" t="n">
        <v>26357839322</v>
      </c>
    </row>
    <row r="573">
      <c r="A573" t="inlineStr">
        <is>
          <t>2023-01-27</t>
        </is>
      </c>
      <c r="B573" t="n">
        <v>23030.716796875</v>
      </c>
      <c r="C573" t="n">
        <v>23417.720703125</v>
      </c>
      <c r="D573" t="n">
        <v>22654.59375</v>
      </c>
      <c r="E573" t="n">
        <v>23078.728515625</v>
      </c>
      <c r="F573" t="n">
        <v>25383335641</v>
      </c>
    </row>
    <row r="574">
      <c r="A574" t="inlineStr">
        <is>
          <t>2023-01-28</t>
        </is>
      </c>
      <c r="B574" t="n">
        <v>23079.96484375</v>
      </c>
      <c r="C574" t="n">
        <v>23165.896484375</v>
      </c>
      <c r="D574" t="n">
        <v>22908.845703125</v>
      </c>
      <c r="E574" t="n">
        <v>23031.08984375</v>
      </c>
      <c r="F574" t="n">
        <v>14712928379</v>
      </c>
    </row>
    <row r="575">
      <c r="A575" t="inlineStr">
        <is>
          <t>2023-01-29</t>
        </is>
      </c>
      <c r="B575" t="n">
        <v>23031.44921875</v>
      </c>
      <c r="C575" t="n">
        <v>23919.890625</v>
      </c>
      <c r="D575" t="n">
        <v>22985.0703125</v>
      </c>
      <c r="E575" t="n">
        <v>23774.56640625</v>
      </c>
      <c r="F575" t="n">
        <v>27423687259</v>
      </c>
    </row>
    <row r="576">
      <c r="A576" t="inlineStr">
        <is>
          <t>2023-01-30</t>
        </is>
      </c>
      <c r="B576" t="n">
        <v>23774.6484375</v>
      </c>
      <c r="C576" t="n">
        <v>23789.34765625</v>
      </c>
      <c r="D576" t="n">
        <v>22657.58203125</v>
      </c>
      <c r="E576" t="n">
        <v>22840.138671875</v>
      </c>
      <c r="F576" t="n">
        <v>27205595568</v>
      </c>
    </row>
    <row r="577">
      <c r="A577" t="inlineStr">
        <is>
          <t>2023-01-31</t>
        </is>
      </c>
      <c r="B577" t="n">
        <v>22840.796875</v>
      </c>
      <c r="C577" t="n">
        <v>23225.021484375</v>
      </c>
      <c r="D577" t="n">
        <v>22765.568359375</v>
      </c>
      <c r="E577" t="n">
        <v>23139.283203125</v>
      </c>
      <c r="F577" t="n">
        <v>22837828665</v>
      </c>
    </row>
    <row r="578">
      <c r="A578" t="inlineStr">
        <is>
          <t>2023-02-01</t>
        </is>
      </c>
      <c r="B578" t="n">
        <v>23137.8359375</v>
      </c>
      <c r="C578" t="n">
        <v>23764.5390625</v>
      </c>
      <c r="D578" t="n">
        <v>22877.75</v>
      </c>
      <c r="E578" t="n">
        <v>23723.76953125</v>
      </c>
      <c r="F578" t="n">
        <v>26683255504</v>
      </c>
    </row>
    <row r="579">
      <c r="A579" t="inlineStr">
        <is>
          <t>2023-02-02</t>
        </is>
      </c>
      <c r="B579" t="n">
        <v>23720.82421875</v>
      </c>
      <c r="C579" t="n">
        <v>24167.2109375</v>
      </c>
      <c r="D579" t="n">
        <v>23468.595703125</v>
      </c>
      <c r="E579" t="n">
        <v>23471.87109375</v>
      </c>
      <c r="F579" t="n">
        <v>32066936882</v>
      </c>
    </row>
    <row r="580">
      <c r="A580" t="inlineStr">
        <is>
          <t>2023-02-03</t>
        </is>
      </c>
      <c r="B580" t="n">
        <v>23469.412109375</v>
      </c>
      <c r="C580" t="n">
        <v>23678.103515625</v>
      </c>
      <c r="D580" t="n">
        <v>23279.955078125</v>
      </c>
      <c r="E580" t="n">
        <v>23449.322265625</v>
      </c>
      <c r="F580" t="n">
        <v>27083066007</v>
      </c>
    </row>
    <row r="581">
      <c r="A581" t="inlineStr">
        <is>
          <t>2023-02-04</t>
        </is>
      </c>
      <c r="B581" t="n">
        <v>23446.3203125</v>
      </c>
      <c r="C581" t="n">
        <v>23556.94921875</v>
      </c>
      <c r="D581" t="n">
        <v>23291.794921875</v>
      </c>
      <c r="E581" t="n">
        <v>23331.84765625</v>
      </c>
      <c r="F581" t="n">
        <v>15639298538</v>
      </c>
    </row>
    <row r="582">
      <c r="A582" t="inlineStr">
        <is>
          <t>2023-02-05</t>
        </is>
      </c>
      <c r="B582" t="n">
        <v>23332.248046875</v>
      </c>
      <c r="C582" t="n">
        <v>23423.435546875</v>
      </c>
      <c r="D582" t="n">
        <v>22841.759765625</v>
      </c>
      <c r="E582" t="n">
        <v>22955.666015625</v>
      </c>
      <c r="F582" t="n">
        <v>19564262605</v>
      </c>
    </row>
    <row r="583">
      <c r="A583" t="inlineStr">
        <is>
          <t>2023-02-06</t>
        </is>
      </c>
      <c r="B583" t="n">
        <v>22954.021484375</v>
      </c>
      <c r="C583" t="n">
        <v>23119.279296875</v>
      </c>
      <c r="D583" t="n">
        <v>22692.025390625</v>
      </c>
      <c r="E583" t="n">
        <v>22760.109375</v>
      </c>
      <c r="F583" t="n">
        <v>23825006542</v>
      </c>
    </row>
    <row r="584">
      <c r="A584" t="inlineStr">
        <is>
          <t>2023-02-07</t>
        </is>
      </c>
      <c r="B584" t="n">
        <v>22757.267578125</v>
      </c>
      <c r="C584" t="n">
        <v>23310.974609375</v>
      </c>
      <c r="D584" t="n">
        <v>22756.2578125</v>
      </c>
      <c r="E584" t="n">
        <v>23264.291015625</v>
      </c>
      <c r="F584" t="n">
        <v>27187964471</v>
      </c>
    </row>
    <row r="585">
      <c r="A585" t="inlineStr">
        <is>
          <t>2023-02-08</t>
        </is>
      </c>
      <c r="B585" t="n">
        <v>23263.416015625</v>
      </c>
      <c r="C585" t="n">
        <v>23367.958984375</v>
      </c>
      <c r="D585" t="n">
        <v>22731.09765625</v>
      </c>
      <c r="E585" t="n">
        <v>22939.3984375</v>
      </c>
      <c r="F585" t="n">
        <v>25371367758</v>
      </c>
    </row>
    <row r="586">
      <c r="A586" t="inlineStr">
        <is>
          <t>2023-02-09</t>
        </is>
      </c>
      <c r="B586" t="n">
        <v>22946.56640625</v>
      </c>
      <c r="C586" t="n">
        <v>22996.4375</v>
      </c>
      <c r="D586" t="n">
        <v>21773.974609375</v>
      </c>
      <c r="E586" t="n">
        <v>21819.0390625</v>
      </c>
      <c r="F586" t="n">
        <v>32572572185</v>
      </c>
    </row>
    <row r="587">
      <c r="A587" t="inlineStr">
        <is>
          <t>2023-02-10</t>
        </is>
      </c>
      <c r="B587" t="n">
        <v>21819.005859375</v>
      </c>
      <c r="C587" t="n">
        <v>21941.185546875</v>
      </c>
      <c r="D587" t="n">
        <v>21539.392578125</v>
      </c>
      <c r="E587" t="n">
        <v>21651.18359375</v>
      </c>
      <c r="F587" t="n">
        <v>27078406594</v>
      </c>
    </row>
    <row r="588">
      <c r="A588" t="inlineStr">
        <is>
          <t>2023-02-11</t>
        </is>
      </c>
      <c r="B588" t="n">
        <v>21651.841796875</v>
      </c>
      <c r="C588" t="n">
        <v>21891.41015625</v>
      </c>
      <c r="D588" t="n">
        <v>21618.44921875</v>
      </c>
      <c r="E588" t="n">
        <v>21870.875</v>
      </c>
      <c r="F588" t="n">
        <v>16356226232</v>
      </c>
    </row>
    <row r="589">
      <c r="A589" t="inlineStr">
        <is>
          <t>2023-02-12</t>
        </is>
      </c>
      <c r="B589" t="n">
        <v>21870.90234375</v>
      </c>
      <c r="C589" t="n">
        <v>22060.994140625</v>
      </c>
      <c r="D589" t="n">
        <v>21682.828125</v>
      </c>
      <c r="E589" t="n">
        <v>21788.203125</v>
      </c>
      <c r="F589" t="n">
        <v>17821046406</v>
      </c>
    </row>
    <row r="590">
      <c r="A590" t="inlineStr">
        <is>
          <t>2023-02-13</t>
        </is>
      </c>
      <c r="B590" t="n">
        <v>21787</v>
      </c>
      <c r="C590" t="n">
        <v>21898.4140625</v>
      </c>
      <c r="D590" t="n">
        <v>21460.087890625</v>
      </c>
      <c r="E590" t="n">
        <v>21808.1015625</v>
      </c>
      <c r="F590" t="n">
        <v>23918742607</v>
      </c>
    </row>
    <row r="591">
      <c r="A591" t="inlineStr">
        <is>
          <t>2023-02-14</t>
        </is>
      </c>
      <c r="B591" t="n">
        <v>21801.822265625</v>
      </c>
      <c r="C591" t="n">
        <v>22293.140625</v>
      </c>
      <c r="D591" t="n">
        <v>21632.39453125</v>
      </c>
      <c r="E591" t="n">
        <v>22220.8046875</v>
      </c>
      <c r="F591" t="n">
        <v>26792596581</v>
      </c>
    </row>
    <row r="592">
      <c r="A592" t="inlineStr">
        <is>
          <t>2023-02-15</t>
        </is>
      </c>
      <c r="B592" t="n">
        <v>22220.5859375</v>
      </c>
      <c r="C592" t="n">
        <v>24307.841796875</v>
      </c>
      <c r="D592" t="n">
        <v>22082.76953125</v>
      </c>
      <c r="E592" t="n">
        <v>24307.841796875</v>
      </c>
      <c r="F592" t="n">
        <v>32483312909</v>
      </c>
    </row>
    <row r="593">
      <c r="A593" t="inlineStr">
        <is>
          <t>2023-02-16</t>
        </is>
      </c>
      <c r="B593" t="n">
        <v>24307.349609375</v>
      </c>
      <c r="C593" t="n">
        <v>25134.1171875</v>
      </c>
      <c r="D593" t="n">
        <v>23602.5234375</v>
      </c>
      <c r="E593" t="n">
        <v>23623.474609375</v>
      </c>
      <c r="F593" t="n">
        <v>39316664596</v>
      </c>
    </row>
    <row r="594">
      <c r="A594" t="inlineStr">
        <is>
          <t>2023-02-17</t>
        </is>
      </c>
      <c r="B594" t="n">
        <v>23621.283203125</v>
      </c>
      <c r="C594" t="n">
        <v>24924.041015625</v>
      </c>
      <c r="D594" t="n">
        <v>23460.755859375</v>
      </c>
      <c r="E594" t="n">
        <v>24565.6015625</v>
      </c>
      <c r="F594" t="n">
        <v>41358451255</v>
      </c>
    </row>
    <row r="595">
      <c r="A595" t="inlineStr">
        <is>
          <t>2023-02-18</t>
        </is>
      </c>
      <c r="B595" t="n">
        <v>24565.296875</v>
      </c>
      <c r="C595" t="n">
        <v>24798.8359375</v>
      </c>
      <c r="D595" t="n">
        <v>24468.373046875</v>
      </c>
      <c r="E595" t="n">
        <v>24641.27734375</v>
      </c>
      <c r="F595" t="n">
        <v>19625427158</v>
      </c>
    </row>
    <row r="596">
      <c r="A596" t="inlineStr">
        <is>
          <t>2023-02-19</t>
        </is>
      </c>
      <c r="B596" t="n">
        <v>24640.02734375</v>
      </c>
      <c r="C596" t="n">
        <v>25093.0546875</v>
      </c>
      <c r="D596" t="n">
        <v>24327.642578125</v>
      </c>
      <c r="E596" t="n">
        <v>24327.642578125</v>
      </c>
      <c r="F596" t="n">
        <v>25555105670</v>
      </c>
    </row>
    <row r="597">
      <c r="A597" t="inlineStr">
        <is>
          <t>2023-02-20</t>
        </is>
      </c>
      <c r="B597" t="n">
        <v>24336.623046875</v>
      </c>
      <c r="C597" t="n">
        <v>25020.458984375</v>
      </c>
      <c r="D597" t="n">
        <v>23927.91015625</v>
      </c>
      <c r="E597" t="n">
        <v>24829.1484375</v>
      </c>
      <c r="F597" t="n">
        <v>28987376573</v>
      </c>
    </row>
    <row r="598">
      <c r="A598" t="inlineStr">
        <is>
          <t>2023-02-21</t>
        </is>
      </c>
      <c r="B598" t="n">
        <v>24833.048828125</v>
      </c>
      <c r="C598" t="n">
        <v>25126.8515625</v>
      </c>
      <c r="D598" t="n">
        <v>24200.36328125</v>
      </c>
      <c r="E598" t="n">
        <v>24436.353515625</v>
      </c>
      <c r="F598" t="n">
        <v>31252098714</v>
      </c>
    </row>
    <row r="599">
      <c r="A599" t="inlineStr">
        <is>
          <t>2023-02-22</t>
        </is>
      </c>
      <c r="B599" t="n">
        <v>24437.41796875</v>
      </c>
      <c r="C599" t="n">
        <v>24472.33984375</v>
      </c>
      <c r="D599" t="n">
        <v>23644.318359375</v>
      </c>
      <c r="E599" t="n">
        <v>24188.84375</v>
      </c>
      <c r="F599" t="n">
        <v>30199996781</v>
      </c>
    </row>
    <row r="600">
      <c r="A600" t="inlineStr">
        <is>
          <t>2023-02-23</t>
        </is>
      </c>
      <c r="B600" t="n">
        <v>24190.71875</v>
      </c>
      <c r="C600" t="n">
        <v>24572.08984375</v>
      </c>
      <c r="D600" t="n">
        <v>23693.919921875</v>
      </c>
      <c r="E600" t="n">
        <v>23947.4921875</v>
      </c>
      <c r="F600" t="n">
        <v>30476264066</v>
      </c>
    </row>
    <row r="601">
      <c r="A601" t="inlineStr">
        <is>
          <t>2023-02-24</t>
        </is>
      </c>
      <c r="B601" t="n">
        <v>23946.0078125</v>
      </c>
      <c r="C601" t="n">
        <v>24103.705078125</v>
      </c>
      <c r="D601" t="n">
        <v>23007.072265625</v>
      </c>
      <c r="E601" t="n">
        <v>23198.126953125</v>
      </c>
      <c r="F601" t="n">
        <v>26811744928</v>
      </c>
    </row>
    <row r="602">
      <c r="A602" t="inlineStr">
        <is>
          <t>2023-02-25</t>
        </is>
      </c>
      <c r="B602" t="n">
        <v>23200.125</v>
      </c>
      <c r="C602" t="n">
        <v>23210.2109375</v>
      </c>
      <c r="D602" t="n">
        <v>22861.55859375</v>
      </c>
      <c r="E602" t="n">
        <v>23175.375</v>
      </c>
      <c r="F602" t="n">
        <v>16100721565</v>
      </c>
    </row>
    <row r="603">
      <c r="A603" t="inlineStr">
        <is>
          <t>2023-02-26</t>
        </is>
      </c>
      <c r="B603" t="n">
        <v>23174.150390625</v>
      </c>
      <c r="C603" t="n">
        <v>23654.3671875</v>
      </c>
      <c r="D603" t="n">
        <v>23084.220703125</v>
      </c>
      <c r="E603" t="n">
        <v>23561.212890625</v>
      </c>
      <c r="F603" t="n">
        <v>16644534842</v>
      </c>
    </row>
    <row r="604">
      <c r="A604" t="inlineStr">
        <is>
          <t>2023-02-27</t>
        </is>
      </c>
      <c r="B604" t="n">
        <v>23561.451171875</v>
      </c>
      <c r="C604" t="n">
        <v>23857.890625</v>
      </c>
      <c r="D604" t="n">
        <v>23205.87890625</v>
      </c>
      <c r="E604" t="n">
        <v>23522.87109375</v>
      </c>
      <c r="F604" t="n">
        <v>22660763494</v>
      </c>
    </row>
    <row r="605">
      <c r="A605" t="inlineStr">
        <is>
          <t>2023-02-28</t>
        </is>
      </c>
      <c r="B605" t="n">
        <v>23521.837890625</v>
      </c>
      <c r="C605" t="n">
        <v>23585.384765625</v>
      </c>
      <c r="D605" t="n">
        <v>23077.650390625</v>
      </c>
      <c r="E605" t="n">
        <v>23147.353515625</v>
      </c>
      <c r="F605" t="n">
        <v>20535363434</v>
      </c>
    </row>
    <row r="606">
      <c r="A606" t="inlineStr">
        <is>
          <t>2023-03-01</t>
        </is>
      </c>
      <c r="B606" t="n">
        <v>23150.9296875</v>
      </c>
      <c r="C606" t="n">
        <v>23880.6328125</v>
      </c>
      <c r="D606" t="n">
        <v>23088.626953125</v>
      </c>
      <c r="E606" t="n">
        <v>23646.55078125</v>
      </c>
      <c r="F606" t="n">
        <v>24662841200</v>
      </c>
    </row>
    <row r="607">
      <c r="A607" t="inlineStr">
        <is>
          <t>2023-03-02</t>
        </is>
      </c>
      <c r="B607" t="n">
        <v>23647.01953125</v>
      </c>
      <c r="C607" t="n">
        <v>23739.138671875</v>
      </c>
      <c r="D607" t="n">
        <v>23245.021484375</v>
      </c>
      <c r="E607" t="n">
        <v>23475.466796875</v>
      </c>
      <c r="F607" t="n">
        <v>20386398516</v>
      </c>
    </row>
    <row r="608">
      <c r="A608" t="inlineStr">
        <is>
          <t>2023-03-03</t>
        </is>
      </c>
      <c r="B608" t="n">
        <v>23476.6328125</v>
      </c>
      <c r="C608" t="n">
        <v>23479.34765625</v>
      </c>
      <c r="D608" t="n">
        <v>22213.23828125</v>
      </c>
      <c r="E608" t="n">
        <v>22362.6796875</v>
      </c>
      <c r="F608" t="n">
        <v>26062404610</v>
      </c>
    </row>
    <row r="609">
      <c r="A609" t="inlineStr">
        <is>
          <t>2023-03-04</t>
        </is>
      </c>
      <c r="B609" t="n">
        <v>22362.923828125</v>
      </c>
      <c r="C609" t="n">
        <v>22405.177734375</v>
      </c>
      <c r="D609" t="n">
        <v>22198.98046875</v>
      </c>
      <c r="E609" t="n">
        <v>22353.349609375</v>
      </c>
      <c r="F609" t="n">
        <v>11166012913</v>
      </c>
    </row>
    <row r="610">
      <c r="A610" t="inlineStr">
        <is>
          <t>2023-03-05</t>
        </is>
      </c>
      <c r="B610" t="n">
        <v>22354.14453125</v>
      </c>
      <c r="C610" t="n">
        <v>22613.685546875</v>
      </c>
      <c r="D610" t="n">
        <v>22307.142578125</v>
      </c>
      <c r="E610" t="n">
        <v>22435.513671875</v>
      </c>
      <c r="F610" t="n">
        <v>13317001733</v>
      </c>
    </row>
    <row r="611">
      <c r="A611" t="inlineStr">
        <is>
          <t>2023-03-06</t>
        </is>
      </c>
      <c r="B611" t="n">
        <v>22436.81640625</v>
      </c>
      <c r="C611" t="n">
        <v>22584.29296875</v>
      </c>
      <c r="D611" t="n">
        <v>22331.314453125</v>
      </c>
      <c r="E611" t="n">
        <v>22429.7578125</v>
      </c>
      <c r="F611" t="n">
        <v>17353192895</v>
      </c>
    </row>
    <row r="612">
      <c r="A612" t="inlineStr">
        <is>
          <t>2023-03-07</t>
        </is>
      </c>
      <c r="B612" t="n">
        <v>22428.322265625</v>
      </c>
      <c r="C612" t="n">
        <v>22527.41796875</v>
      </c>
      <c r="D612" t="n">
        <v>22011.26171875</v>
      </c>
      <c r="E612" t="n">
        <v>22219.76953125</v>
      </c>
      <c r="F612" t="n">
        <v>22765452204</v>
      </c>
    </row>
    <row r="613">
      <c r="A613" t="inlineStr">
        <is>
          <t>2023-03-08</t>
        </is>
      </c>
      <c r="B613" t="n">
        <v>22216.44140625</v>
      </c>
      <c r="C613" t="n">
        <v>22268.896484375</v>
      </c>
      <c r="D613" t="n">
        <v>21708.05078125</v>
      </c>
      <c r="E613" t="n">
        <v>21718.080078125</v>
      </c>
      <c r="F613" t="n">
        <v>22536575684</v>
      </c>
    </row>
    <row r="614">
      <c r="A614" t="inlineStr">
        <is>
          <t>2023-03-09</t>
        </is>
      </c>
      <c r="B614" t="n">
        <v>21720.080078125</v>
      </c>
      <c r="C614" t="n">
        <v>21802.716796875</v>
      </c>
      <c r="D614" t="n">
        <v>20210.306640625</v>
      </c>
      <c r="E614" t="n">
        <v>20363.021484375</v>
      </c>
      <c r="F614" t="n">
        <v>30364664171</v>
      </c>
    </row>
    <row r="615">
      <c r="A615" t="inlineStr">
        <is>
          <t>2023-03-10</t>
        </is>
      </c>
      <c r="B615" t="n">
        <v>20367.001953125</v>
      </c>
      <c r="C615" t="n">
        <v>20370.595703125</v>
      </c>
      <c r="D615" t="n">
        <v>19628.25390625</v>
      </c>
      <c r="E615" t="n">
        <v>20187.244140625</v>
      </c>
      <c r="F615" t="n">
        <v>39578257695</v>
      </c>
    </row>
    <row r="616">
      <c r="A616" t="inlineStr">
        <is>
          <t>2023-03-11</t>
        </is>
      </c>
      <c r="B616" t="n">
        <v>20187.876953125</v>
      </c>
      <c r="C616" t="n">
        <v>20792.525390625</v>
      </c>
      <c r="D616" t="n">
        <v>20068.66015625</v>
      </c>
      <c r="E616" t="n">
        <v>20632.41015625</v>
      </c>
      <c r="F616" t="n">
        <v>30180288176</v>
      </c>
    </row>
    <row r="617">
      <c r="A617" t="inlineStr">
        <is>
          <t>2023-03-12</t>
        </is>
      </c>
      <c r="B617" t="n">
        <v>20628.029296875</v>
      </c>
      <c r="C617" t="n">
        <v>22185.03125</v>
      </c>
      <c r="D617" t="n">
        <v>20448.806640625</v>
      </c>
      <c r="E617" t="n">
        <v>22163.94921875</v>
      </c>
      <c r="F617" t="n">
        <v>29279035521</v>
      </c>
    </row>
    <row r="618">
      <c r="A618" t="inlineStr">
        <is>
          <t>2023-03-13</t>
        </is>
      </c>
      <c r="B618" t="n">
        <v>22156.40625</v>
      </c>
      <c r="C618" t="n">
        <v>24550.837890625</v>
      </c>
      <c r="D618" t="n">
        <v>21918.19921875</v>
      </c>
      <c r="E618" t="n">
        <v>24197.533203125</v>
      </c>
      <c r="F618" t="n">
        <v>49466362688</v>
      </c>
    </row>
    <row r="619">
      <c r="A619" t="inlineStr">
        <is>
          <t>2023-03-14</t>
        </is>
      </c>
      <c r="B619" t="n">
        <v>24201.765625</v>
      </c>
      <c r="C619" t="n">
        <v>26514.716796875</v>
      </c>
      <c r="D619" t="n">
        <v>24081.18359375</v>
      </c>
      <c r="E619" t="n">
        <v>24746.07421875</v>
      </c>
      <c r="F619" t="n">
        <v>54622230164</v>
      </c>
    </row>
    <row r="620">
      <c r="A620" t="inlineStr">
        <is>
          <t>2023-03-15</t>
        </is>
      </c>
      <c r="B620" t="n">
        <v>24770.92578125</v>
      </c>
      <c r="C620" t="n">
        <v>25240.615234375</v>
      </c>
      <c r="D620" t="n">
        <v>23964.91015625</v>
      </c>
      <c r="E620" t="n">
        <v>24375.9609375</v>
      </c>
      <c r="F620" t="n">
        <v>43655701450</v>
      </c>
    </row>
    <row r="621">
      <c r="A621" t="inlineStr">
        <is>
          <t>2023-03-16</t>
        </is>
      </c>
      <c r="B621" t="n">
        <v>24373.45703125</v>
      </c>
      <c r="C621" t="n">
        <v>25190.326171875</v>
      </c>
      <c r="D621" t="n">
        <v>24225.111328125</v>
      </c>
      <c r="E621" t="n">
        <v>25052.7890625</v>
      </c>
      <c r="F621" t="n">
        <v>33866061747</v>
      </c>
    </row>
    <row r="622">
      <c r="A622" t="inlineStr">
        <is>
          <t>2023-03-17</t>
        </is>
      </c>
      <c r="B622" t="n">
        <v>25055.123046875</v>
      </c>
      <c r="C622" t="n">
        <v>27787.8125</v>
      </c>
      <c r="D622" t="n">
        <v>24955.169921875</v>
      </c>
      <c r="E622" t="n">
        <v>27423.9296875</v>
      </c>
      <c r="F622" t="n">
        <v>50730261335</v>
      </c>
    </row>
    <row r="623">
      <c r="A623" t="inlineStr">
        <is>
          <t>2023-03-18</t>
        </is>
      </c>
      <c r="B623" t="n">
        <v>27448.1171875</v>
      </c>
      <c r="C623" t="n">
        <v>27725.953125</v>
      </c>
      <c r="D623" t="n">
        <v>26636.26171875</v>
      </c>
      <c r="E623" t="n">
        <v>26965.87890625</v>
      </c>
      <c r="F623" t="n">
        <v>35723036817</v>
      </c>
    </row>
    <row r="624">
      <c r="A624" t="inlineStr">
        <is>
          <t>2023-03-19</t>
        </is>
      </c>
      <c r="B624" t="n">
        <v>26969.50390625</v>
      </c>
      <c r="C624" t="n">
        <v>28440.560546875</v>
      </c>
      <c r="D624" t="n">
        <v>26907.716796875</v>
      </c>
      <c r="E624" t="n">
        <v>28038.67578125</v>
      </c>
      <c r="F624" t="n">
        <v>37769448859</v>
      </c>
    </row>
    <row r="625">
      <c r="A625" t="inlineStr">
        <is>
          <t>2023-03-20</t>
        </is>
      </c>
      <c r="B625" t="n">
        <v>28041.6015625</v>
      </c>
      <c r="C625" t="n">
        <v>28527.724609375</v>
      </c>
      <c r="D625" t="n">
        <v>27242.880859375</v>
      </c>
      <c r="E625" t="n">
        <v>27767.236328125</v>
      </c>
      <c r="F625" t="n">
        <v>44774027664</v>
      </c>
    </row>
    <row r="626">
      <c r="A626" t="inlineStr">
        <is>
          <t>2023-03-21</t>
        </is>
      </c>
      <c r="B626" t="n">
        <v>27768.392578125</v>
      </c>
      <c r="C626" t="n">
        <v>28439.5625</v>
      </c>
      <c r="D626" t="n">
        <v>27439.646484375</v>
      </c>
      <c r="E626" t="n">
        <v>28175.81640625</v>
      </c>
      <c r="F626" t="n">
        <v>36102192830</v>
      </c>
    </row>
    <row r="627">
      <c r="A627" t="inlineStr">
        <is>
          <t>2023-03-22</t>
        </is>
      </c>
      <c r="B627" t="n">
        <v>28158.720703125</v>
      </c>
      <c r="C627" t="n">
        <v>28803.3359375</v>
      </c>
      <c r="D627" t="n">
        <v>26759.99609375</v>
      </c>
      <c r="E627" t="n">
        <v>27307.4375</v>
      </c>
      <c r="F627" t="n">
        <v>33382021890</v>
      </c>
    </row>
    <row r="628">
      <c r="A628" t="inlineStr">
        <is>
          <t>2023-03-23</t>
        </is>
      </c>
      <c r="B628" t="n">
        <v>27301.95703125</v>
      </c>
      <c r="C628" t="n">
        <v>28729.84375</v>
      </c>
      <c r="D628" t="n">
        <v>27183.36328125</v>
      </c>
      <c r="E628" t="n">
        <v>28333.97265625</v>
      </c>
      <c r="F628" t="n">
        <v>24220433689</v>
      </c>
    </row>
    <row r="629">
      <c r="A629" t="inlineStr">
        <is>
          <t>2023-03-24</t>
        </is>
      </c>
      <c r="B629" t="n">
        <v>28324.111328125</v>
      </c>
      <c r="C629" t="n">
        <v>28388.4375</v>
      </c>
      <c r="D629" t="n">
        <v>27039.265625</v>
      </c>
      <c r="E629" t="n">
        <v>27493.28515625</v>
      </c>
      <c r="F629" t="n">
        <v>25980310960</v>
      </c>
    </row>
    <row r="630">
      <c r="A630" t="inlineStr">
        <is>
          <t>2023-03-25</t>
        </is>
      </c>
      <c r="B630" t="n">
        <v>27487.337890625</v>
      </c>
      <c r="C630" t="n">
        <v>27791.826171875</v>
      </c>
      <c r="D630" t="n">
        <v>27196.234375</v>
      </c>
      <c r="E630" t="n">
        <v>27494.70703125</v>
      </c>
      <c r="F630" t="n">
        <v>13383005987</v>
      </c>
    </row>
    <row r="631">
      <c r="A631" t="inlineStr">
        <is>
          <t>2023-03-26</t>
        </is>
      </c>
      <c r="B631" t="n">
        <v>27495.5234375</v>
      </c>
      <c r="C631" t="n">
        <v>28178.14453125</v>
      </c>
      <c r="D631" t="n">
        <v>27445.046875</v>
      </c>
      <c r="E631" t="n">
        <v>27994.330078125</v>
      </c>
      <c r="F631" t="n">
        <v>13878363192</v>
      </c>
    </row>
    <row r="632">
      <c r="A632" t="inlineStr">
        <is>
          <t>2023-03-27</t>
        </is>
      </c>
      <c r="B632" t="n">
        <v>27994.068359375</v>
      </c>
      <c r="C632" t="n">
        <v>28037.92578125</v>
      </c>
      <c r="D632" t="n">
        <v>26606.689453125</v>
      </c>
      <c r="E632" t="n">
        <v>27139.888671875</v>
      </c>
      <c r="F632" t="n">
        <v>18188895178</v>
      </c>
    </row>
    <row r="633">
      <c r="A633" t="inlineStr">
        <is>
          <t>2023-03-28</t>
        </is>
      </c>
      <c r="B633" t="n">
        <v>27132.888671875</v>
      </c>
      <c r="C633" t="n">
        <v>27460.71875</v>
      </c>
      <c r="D633" t="n">
        <v>26677.818359375</v>
      </c>
      <c r="E633" t="n">
        <v>27268.130859375</v>
      </c>
      <c r="F633" t="n">
        <v>17783600385</v>
      </c>
    </row>
    <row r="634">
      <c r="A634" t="inlineStr">
        <is>
          <t>2023-03-29</t>
        </is>
      </c>
      <c r="B634" t="n">
        <v>27267.03125</v>
      </c>
      <c r="C634" t="n">
        <v>28619.54296875</v>
      </c>
      <c r="D634" t="n">
        <v>27259.662109375</v>
      </c>
      <c r="E634" t="n">
        <v>28348.44140625</v>
      </c>
      <c r="F634" t="n">
        <v>20684945906</v>
      </c>
    </row>
    <row r="635">
      <c r="A635" t="inlineStr">
        <is>
          <t>2023-03-30</t>
        </is>
      </c>
      <c r="B635" t="n">
        <v>28350.140625</v>
      </c>
      <c r="C635" t="n">
        <v>29159.90234375</v>
      </c>
      <c r="D635" t="n">
        <v>27720.16015625</v>
      </c>
      <c r="E635" t="n">
        <v>28033.5625</v>
      </c>
      <c r="F635" t="n">
        <v>22435349951</v>
      </c>
    </row>
    <row r="636">
      <c r="A636" t="inlineStr">
        <is>
          <t>2023-03-31</t>
        </is>
      </c>
      <c r="B636" t="n">
        <v>28032.26171875</v>
      </c>
      <c r="C636" t="n">
        <v>28639.896484375</v>
      </c>
      <c r="D636" t="n">
        <v>27583.71484375</v>
      </c>
      <c r="E636" t="n">
        <v>28478.484375</v>
      </c>
      <c r="F636" t="n">
        <v>19001327598</v>
      </c>
    </row>
    <row r="637">
      <c r="A637" t="inlineStr">
        <is>
          <t>2023-04-01</t>
        </is>
      </c>
      <c r="B637" t="n">
        <v>28473.33203125</v>
      </c>
      <c r="C637" t="n">
        <v>28802.45703125</v>
      </c>
      <c r="D637" t="n">
        <v>28297.171875</v>
      </c>
      <c r="E637" t="n">
        <v>28411.03515625</v>
      </c>
      <c r="F637" t="n">
        <v>10876469901</v>
      </c>
    </row>
    <row r="638">
      <c r="A638" t="inlineStr">
        <is>
          <t>2023-04-02</t>
        </is>
      </c>
      <c r="B638" t="n">
        <v>28462.845703125</v>
      </c>
      <c r="C638" t="n">
        <v>28518.958984375</v>
      </c>
      <c r="D638" t="n">
        <v>27884.087890625</v>
      </c>
      <c r="E638" t="n">
        <v>28199.30859375</v>
      </c>
      <c r="F638" t="n">
        <v>12284641999</v>
      </c>
    </row>
    <row r="639">
      <c r="A639" t="inlineStr">
        <is>
          <t>2023-04-03</t>
        </is>
      </c>
      <c r="B639" t="n">
        <v>28183.080078125</v>
      </c>
      <c r="C639" t="n">
        <v>28475.623046875</v>
      </c>
      <c r="D639" t="n">
        <v>27276.720703125</v>
      </c>
      <c r="E639" t="n">
        <v>27790.220703125</v>
      </c>
      <c r="F639" t="n">
        <v>19556501327</v>
      </c>
    </row>
    <row r="640">
      <c r="A640" t="inlineStr">
        <is>
          <t>2023-04-04</t>
        </is>
      </c>
      <c r="B640" t="n">
        <v>27795.2734375</v>
      </c>
      <c r="C640" t="n">
        <v>28433.7421875</v>
      </c>
      <c r="D640" t="n">
        <v>27681.3046875</v>
      </c>
      <c r="E640" t="n">
        <v>28168.08984375</v>
      </c>
      <c r="F640" t="n">
        <v>15284538859</v>
      </c>
    </row>
    <row r="641">
      <c r="A641" t="inlineStr">
        <is>
          <t>2023-04-05</t>
        </is>
      </c>
      <c r="B641" t="n">
        <v>28169.7265625</v>
      </c>
      <c r="C641" t="n">
        <v>28739.23828125</v>
      </c>
      <c r="D641" t="n">
        <v>27843.763671875</v>
      </c>
      <c r="E641" t="n">
        <v>28177.984375</v>
      </c>
      <c r="F641" t="n">
        <v>17052315986</v>
      </c>
    </row>
    <row r="642">
      <c r="A642" t="inlineStr">
        <is>
          <t>2023-04-06</t>
        </is>
      </c>
      <c r="B642" t="n">
        <v>28175.2265625</v>
      </c>
      <c r="C642" t="n">
        <v>28178.384765625</v>
      </c>
      <c r="D642" t="n">
        <v>27738.759765625</v>
      </c>
      <c r="E642" t="n">
        <v>28044.140625</v>
      </c>
      <c r="F642" t="n">
        <v>13837809380</v>
      </c>
    </row>
    <row r="643">
      <c r="A643" t="inlineStr">
        <is>
          <t>2023-04-07</t>
        </is>
      </c>
      <c r="B643" t="n">
        <v>28038.966796875</v>
      </c>
      <c r="C643" t="n">
        <v>28111.59375</v>
      </c>
      <c r="D643" t="n">
        <v>27794.03125</v>
      </c>
      <c r="E643" t="n">
        <v>27925.859375</v>
      </c>
      <c r="F643" t="n">
        <v>10861680497</v>
      </c>
    </row>
    <row r="644">
      <c r="A644" t="inlineStr">
        <is>
          <t>2023-04-08</t>
        </is>
      </c>
      <c r="B644" t="n">
        <v>27920.513671875</v>
      </c>
      <c r="C644" t="n">
        <v>28159.86328125</v>
      </c>
      <c r="D644" t="n">
        <v>27883.38671875</v>
      </c>
      <c r="E644" t="n">
        <v>27947.794921875</v>
      </c>
      <c r="F644" t="n">
        <v>9373255556</v>
      </c>
    </row>
    <row r="645">
      <c r="A645" t="inlineStr">
        <is>
          <t>2023-04-09</t>
        </is>
      </c>
      <c r="B645" t="n">
        <v>27952.3671875</v>
      </c>
      <c r="C645" t="n">
        <v>28532.830078125</v>
      </c>
      <c r="D645" t="n">
        <v>27828.48046875</v>
      </c>
      <c r="E645" t="n">
        <v>28333.05078125</v>
      </c>
      <c r="F645" t="n">
        <v>12175322951</v>
      </c>
    </row>
    <row r="646">
      <c r="A646" t="inlineStr">
        <is>
          <t>2023-04-10</t>
        </is>
      </c>
      <c r="B646" t="n">
        <v>28336.02734375</v>
      </c>
      <c r="C646" t="n">
        <v>29771.46484375</v>
      </c>
      <c r="D646" t="n">
        <v>28189.271484375</v>
      </c>
      <c r="E646" t="n">
        <v>29652.98046875</v>
      </c>
      <c r="F646" t="n">
        <v>19282400094</v>
      </c>
    </row>
    <row r="647">
      <c r="A647" t="inlineStr">
        <is>
          <t>2023-04-11</t>
        </is>
      </c>
      <c r="B647" t="n">
        <v>29653.6796875</v>
      </c>
      <c r="C647" t="n">
        <v>30509.083984375</v>
      </c>
      <c r="D647" t="n">
        <v>29609.30078125</v>
      </c>
      <c r="E647" t="n">
        <v>30235.05859375</v>
      </c>
      <c r="F647" t="n">
        <v>20121259843</v>
      </c>
    </row>
    <row r="648">
      <c r="A648" t="inlineStr">
        <is>
          <t>2023-04-12</t>
        </is>
      </c>
      <c r="B648" t="n">
        <v>30231.58203125</v>
      </c>
      <c r="C648" t="n">
        <v>30462.48046875</v>
      </c>
      <c r="D648" t="n">
        <v>29725.57421875</v>
      </c>
      <c r="E648" t="n">
        <v>30139.052734375</v>
      </c>
      <c r="F648" t="n">
        <v>18651929926</v>
      </c>
    </row>
    <row r="649">
      <c r="A649" t="inlineStr">
        <is>
          <t>2023-04-13</t>
        </is>
      </c>
      <c r="B649" t="n">
        <v>29892.740234375</v>
      </c>
      <c r="C649" t="n">
        <v>30539.845703125</v>
      </c>
      <c r="D649" t="n">
        <v>29878.623046875</v>
      </c>
      <c r="E649" t="n">
        <v>30399.06640625</v>
      </c>
      <c r="F649" t="n">
        <v>17487721001</v>
      </c>
    </row>
    <row r="650">
      <c r="A650" t="inlineStr">
        <is>
          <t>2023-04-14</t>
        </is>
      </c>
      <c r="B650" t="n">
        <v>30409.5625</v>
      </c>
      <c r="C650" t="n">
        <v>31005.607421875</v>
      </c>
      <c r="D650" t="n">
        <v>30044.498046875</v>
      </c>
      <c r="E650" t="n">
        <v>30485.69921875</v>
      </c>
      <c r="F650" t="n">
        <v>22659995079</v>
      </c>
    </row>
    <row r="651">
      <c r="A651" t="inlineStr">
        <is>
          <t>2023-04-15</t>
        </is>
      </c>
      <c r="B651" t="n">
        <v>30490.75</v>
      </c>
      <c r="C651" t="n">
        <v>30601.740234375</v>
      </c>
      <c r="D651" t="n">
        <v>30245.8828125</v>
      </c>
      <c r="E651" t="n">
        <v>30318.49609375</v>
      </c>
      <c r="F651" t="n">
        <v>11940685378</v>
      </c>
    </row>
    <row r="652">
      <c r="A652" t="inlineStr">
        <is>
          <t>2023-04-16</t>
        </is>
      </c>
      <c r="B652" t="n">
        <v>30315.9765625</v>
      </c>
      <c r="C652" t="n">
        <v>30555.537109375</v>
      </c>
      <c r="D652" t="n">
        <v>30157.83203125</v>
      </c>
      <c r="E652" t="n">
        <v>30315.35546875</v>
      </c>
      <c r="F652" t="n">
        <v>12854816417</v>
      </c>
    </row>
    <row r="653">
      <c r="A653" t="inlineStr">
        <is>
          <t>2023-04-17</t>
        </is>
      </c>
      <c r="B653" t="n">
        <v>30317.146484375</v>
      </c>
      <c r="C653" t="n">
        <v>30319.197265625</v>
      </c>
      <c r="D653" t="n">
        <v>29275.37109375</v>
      </c>
      <c r="E653" t="n">
        <v>29445.044921875</v>
      </c>
      <c r="F653" t="n">
        <v>17872186762</v>
      </c>
    </row>
    <row r="654">
      <c r="A654" t="inlineStr">
        <is>
          <t>2023-04-18</t>
        </is>
      </c>
      <c r="B654" t="n">
        <v>29449.091796875</v>
      </c>
      <c r="C654" t="n">
        <v>30470.302734375</v>
      </c>
      <c r="D654" t="n">
        <v>29154.849609375</v>
      </c>
      <c r="E654" t="n">
        <v>30397.552734375</v>
      </c>
      <c r="F654" t="n">
        <v>19480529496</v>
      </c>
    </row>
    <row r="655">
      <c r="A655" t="inlineStr">
        <is>
          <t>2023-04-19</t>
        </is>
      </c>
      <c r="B655" t="n">
        <v>30394.1875</v>
      </c>
      <c r="C655" t="n">
        <v>30411.0546875</v>
      </c>
      <c r="D655" t="n">
        <v>28669.8984375</v>
      </c>
      <c r="E655" t="n">
        <v>28822.6796875</v>
      </c>
      <c r="F655" t="n">
        <v>24571565421</v>
      </c>
    </row>
    <row r="656">
      <c r="A656" t="inlineStr">
        <is>
          <t>2023-04-20</t>
        </is>
      </c>
      <c r="B656" t="n">
        <v>28823.68359375</v>
      </c>
      <c r="C656" t="n">
        <v>29076.400390625</v>
      </c>
      <c r="D656" t="n">
        <v>28037.2578125</v>
      </c>
      <c r="E656" t="n">
        <v>28245.98828125</v>
      </c>
      <c r="F656" t="n">
        <v>21340360360</v>
      </c>
    </row>
    <row r="657">
      <c r="A657" t="inlineStr">
        <is>
          <t>2023-04-21</t>
        </is>
      </c>
      <c r="B657" t="n">
        <v>28249.23046875</v>
      </c>
      <c r="C657" t="n">
        <v>28349.96875</v>
      </c>
      <c r="D657" t="n">
        <v>27177.365234375</v>
      </c>
      <c r="E657" t="n">
        <v>27276.91015625</v>
      </c>
      <c r="F657" t="n">
        <v>20759504330</v>
      </c>
    </row>
    <row r="658">
      <c r="A658" t="inlineStr">
        <is>
          <t>2023-04-22</t>
        </is>
      </c>
      <c r="B658" t="n">
        <v>27265.89453125</v>
      </c>
      <c r="C658" t="n">
        <v>27872.142578125</v>
      </c>
      <c r="D658" t="n">
        <v>27169.5703125</v>
      </c>
      <c r="E658" t="n">
        <v>27817.5</v>
      </c>
      <c r="F658" t="n">
        <v>13125734602</v>
      </c>
    </row>
    <row r="659">
      <c r="A659" t="inlineStr">
        <is>
          <t>2023-04-23</t>
        </is>
      </c>
      <c r="B659" t="n">
        <v>27816.14453125</v>
      </c>
      <c r="C659" t="n">
        <v>27820.244140625</v>
      </c>
      <c r="D659" t="n">
        <v>27400.314453125</v>
      </c>
      <c r="E659" t="n">
        <v>27591.384765625</v>
      </c>
      <c r="F659" t="n">
        <v>12785446832</v>
      </c>
    </row>
    <row r="660">
      <c r="A660" t="inlineStr">
        <is>
          <t>2023-04-24</t>
        </is>
      </c>
      <c r="B660" t="n">
        <v>27591.73046875</v>
      </c>
      <c r="C660" t="n">
        <v>27979.982421875</v>
      </c>
      <c r="D660" t="n">
        <v>27070.849609375</v>
      </c>
      <c r="E660" t="n">
        <v>27525.33984375</v>
      </c>
      <c r="F660" t="n">
        <v>17703288330</v>
      </c>
    </row>
    <row r="661">
      <c r="A661" t="inlineStr">
        <is>
          <t>2023-04-25</t>
        </is>
      </c>
      <c r="B661" t="n">
        <v>27514.873046875</v>
      </c>
      <c r="C661" t="n">
        <v>28371.078125</v>
      </c>
      <c r="D661" t="n">
        <v>27207.931640625</v>
      </c>
      <c r="E661" t="n">
        <v>28307.59765625</v>
      </c>
      <c r="F661" t="n">
        <v>17733373139</v>
      </c>
    </row>
    <row r="662">
      <c r="A662" t="inlineStr">
        <is>
          <t>2023-04-26</t>
        </is>
      </c>
      <c r="B662" t="n">
        <v>28300.05859375</v>
      </c>
      <c r="C662" t="n">
        <v>29995.837890625</v>
      </c>
      <c r="D662" t="n">
        <v>27324.548828125</v>
      </c>
      <c r="E662" t="n">
        <v>28422.701171875</v>
      </c>
      <c r="F662" t="n">
        <v>31854242019</v>
      </c>
    </row>
    <row r="663">
      <c r="A663" t="inlineStr">
        <is>
          <t>2023-04-27</t>
        </is>
      </c>
      <c r="B663" t="n">
        <v>28428.46484375</v>
      </c>
      <c r="C663" t="n">
        <v>29871.546875</v>
      </c>
      <c r="D663" t="n">
        <v>28402.88671875</v>
      </c>
      <c r="E663" t="n">
        <v>29473.787109375</v>
      </c>
      <c r="F663" t="n">
        <v>27153445027</v>
      </c>
    </row>
    <row r="664">
      <c r="A664" t="inlineStr">
        <is>
          <t>2023-04-28</t>
        </is>
      </c>
      <c r="B664" t="n">
        <v>29481.013671875</v>
      </c>
      <c r="C664" t="n">
        <v>29572.791015625</v>
      </c>
      <c r="D664" t="n">
        <v>28929.609375</v>
      </c>
      <c r="E664" t="n">
        <v>29340.26171875</v>
      </c>
      <c r="F664" t="n">
        <v>17544464887</v>
      </c>
    </row>
    <row r="665">
      <c r="A665" t="inlineStr">
        <is>
          <t>2023-04-29</t>
        </is>
      </c>
      <c r="B665" t="n">
        <v>29336.56640625</v>
      </c>
      <c r="C665" t="n">
        <v>29452.455078125</v>
      </c>
      <c r="D665" t="n">
        <v>29088.04296875</v>
      </c>
      <c r="E665" t="n">
        <v>29248.48828125</v>
      </c>
      <c r="F665" t="n">
        <v>10662634333</v>
      </c>
    </row>
    <row r="666">
      <c r="A666" t="inlineStr">
        <is>
          <t>2023-04-30</t>
        </is>
      </c>
      <c r="B666" t="n">
        <v>29245.515625</v>
      </c>
      <c r="C666" t="n">
        <v>29952.029296875</v>
      </c>
      <c r="D666" t="n">
        <v>29114.021484375</v>
      </c>
      <c r="E666" t="n">
        <v>29268.806640625</v>
      </c>
      <c r="F666" t="n">
        <v>14652199272</v>
      </c>
    </row>
    <row r="667">
      <c r="A667" t="inlineStr">
        <is>
          <t>2023-05-01</t>
        </is>
      </c>
      <c r="B667" t="n">
        <v>29227.103515625</v>
      </c>
      <c r="C667" t="n">
        <v>29329.935546875</v>
      </c>
      <c r="D667" t="n">
        <v>27680.79296875</v>
      </c>
      <c r="E667" t="n">
        <v>28091.568359375</v>
      </c>
      <c r="F667" t="n">
        <v>18655599976</v>
      </c>
    </row>
    <row r="668">
      <c r="A668" t="inlineStr">
        <is>
          <t>2023-05-02</t>
        </is>
      </c>
      <c r="B668" t="n">
        <v>28087.17578125</v>
      </c>
      <c r="C668" t="n">
        <v>28881.298828125</v>
      </c>
      <c r="D668" t="n">
        <v>27924.123046875</v>
      </c>
      <c r="E668" t="n">
        <v>28680.537109375</v>
      </c>
      <c r="F668" t="n">
        <v>16432924527</v>
      </c>
    </row>
    <row r="669">
      <c r="A669" t="inlineStr">
        <is>
          <t>2023-05-03</t>
        </is>
      </c>
      <c r="B669" t="n">
        <v>28680.494140625</v>
      </c>
      <c r="C669" t="n">
        <v>29259.533203125</v>
      </c>
      <c r="D669" t="n">
        <v>28178.388671875</v>
      </c>
      <c r="E669" t="n">
        <v>29006.30859375</v>
      </c>
      <c r="F669" t="n">
        <v>19122972518</v>
      </c>
    </row>
    <row r="670">
      <c r="A670" t="inlineStr">
        <is>
          <t>2023-05-04</t>
        </is>
      </c>
      <c r="B670" t="n">
        <v>29031.3046875</v>
      </c>
      <c r="C670" t="n">
        <v>29353.185546875</v>
      </c>
      <c r="D670" t="n">
        <v>28694.0390625</v>
      </c>
      <c r="E670" t="n">
        <v>28847.7109375</v>
      </c>
      <c r="F670" t="n">
        <v>15548678514</v>
      </c>
    </row>
    <row r="671">
      <c r="A671" t="inlineStr">
        <is>
          <t>2023-05-05</t>
        </is>
      </c>
      <c r="B671" t="n">
        <v>28851.48046875</v>
      </c>
      <c r="C671" t="n">
        <v>29668.908203125</v>
      </c>
      <c r="D671" t="n">
        <v>28845.509765625</v>
      </c>
      <c r="E671" t="n">
        <v>29534.384765625</v>
      </c>
      <c r="F671" t="n">
        <v>17936566518</v>
      </c>
    </row>
    <row r="672">
      <c r="A672" t="inlineStr">
        <is>
          <t>2023-05-06</t>
        </is>
      </c>
      <c r="B672" t="n">
        <v>29538.859375</v>
      </c>
      <c r="C672" t="n">
        <v>29820.126953125</v>
      </c>
      <c r="D672" t="n">
        <v>28468.966796875</v>
      </c>
      <c r="E672" t="n">
        <v>28904.623046875</v>
      </c>
      <c r="F672" t="n">
        <v>15913866714</v>
      </c>
    </row>
    <row r="673">
      <c r="A673" t="inlineStr">
        <is>
          <t>2023-05-07</t>
        </is>
      </c>
      <c r="B673" t="n">
        <v>28901.623046875</v>
      </c>
      <c r="C673" t="n">
        <v>29157.517578125</v>
      </c>
      <c r="D673" t="n">
        <v>28441.3671875</v>
      </c>
      <c r="E673" t="n">
        <v>28454.978515625</v>
      </c>
      <c r="F673" t="n">
        <v>11301355486</v>
      </c>
    </row>
    <row r="674">
      <c r="A674" t="inlineStr">
        <is>
          <t>2023-05-08</t>
        </is>
      </c>
      <c r="B674" t="n">
        <v>28450.45703125</v>
      </c>
      <c r="C674" t="n">
        <v>28663.271484375</v>
      </c>
      <c r="D674" t="n">
        <v>27310.134765625</v>
      </c>
      <c r="E674" t="n">
        <v>27694.2734375</v>
      </c>
      <c r="F674" t="n">
        <v>19122903752</v>
      </c>
    </row>
    <row r="675">
      <c r="A675" t="inlineStr">
        <is>
          <t>2023-05-09</t>
        </is>
      </c>
      <c r="B675" t="n">
        <v>27695.068359375</v>
      </c>
      <c r="C675" t="n">
        <v>27821.400390625</v>
      </c>
      <c r="D675" t="n">
        <v>27375.6015625</v>
      </c>
      <c r="E675" t="n">
        <v>27658.775390625</v>
      </c>
      <c r="F675" t="n">
        <v>14128593256</v>
      </c>
    </row>
    <row r="676">
      <c r="A676" t="inlineStr">
        <is>
          <t>2023-05-10</t>
        </is>
      </c>
      <c r="B676" t="n">
        <v>27654.63671875</v>
      </c>
      <c r="C676" t="n">
        <v>28322.6875</v>
      </c>
      <c r="D676" t="n">
        <v>26883.669921875</v>
      </c>
      <c r="E676" t="n">
        <v>27621.755859375</v>
      </c>
      <c r="F676" t="n">
        <v>20656025026</v>
      </c>
    </row>
    <row r="677">
      <c r="A677" t="inlineStr">
        <is>
          <t>2023-05-11</t>
        </is>
      </c>
      <c r="B677" t="n">
        <v>27621.0859375</v>
      </c>
      <c r="C677" t="n">
        <v>27621.94140625</v>
      </c>
      <c r="D677" t="n">
        <v>26781.826171875</v>
      </c>
      <c r="E677" t="n">
        <v>27000.7890625</v>
      </c>
      <c r="F677" t="n">
        <v>16724343943</v>
      </c>
    </row>
    <row r="678">
      <c r="A678" t="inlineStr">
        <is>
          <t>2023-05-12</t>
        </is>
      </c>
      <c r="B678" t="n">
        <v>26987.662109375</v>
      </c>
      <c r="C678" t="n">
        <v>27055.646484375</v>
      </c>
      <c r="D678" t="n">
        <v>25878.4296875</v>
      </c>
      <c r="E678" t="n">
        <v>26804.990234375</v>
      </c>
      <c r="F678" t="n">
        <v>19313599897</v>
      </c>
    </row>
    <row r="679">
      <c r="A679" t="inlineStr">
        <is>
          <t>2023-05-13</t>
        </is>
      </c>
      <c r="B679" t="n">
        <v>26807.76953125</v>
      </c>
      <c r="C679" t="n">
        <v>27030.482421875</v>
      </c>
      <c r="D679" t="n">
        <v>26710.873046875</v>
      </c>
      <c r="E679" t="n">
        <v>26784.078125</v>
      </c>
      <c r="F679" t="n">
        <v>9999171605</v>
      </c>
    </row>
    <row r="680">
      <c r="A680" t="inlineStr">
        <is>
          <t>2023-05-14</t>
        </is>
      </c>
      <c r="B680" t="n">
        <v>26788.974609375</v>
      </c>
      <c r="C680" t="n">
        <v>27150.9765625</v>
      </c>
      <c r="D680" t="n">
        <v>26661.35546875</v>
      </c>
      <c r="E680" t="n">
        <v>26930.638671875</v>
      </c>
      <c r="F680" t="n">
        <v>10014858959</v>
      </c>
    </row>
    <row r="681">
      <c r="A681" t="inlineStr">
        <is>
          <t>2023-05-15</t>
        </is>
      </c>
      <c r="B681" t="n">
        <v>26931.384765625</v>
      </c>
      <c r="C681" t="n">
        <v>27646.34765625</v>
      </c>
      <c r="D681" t="n">
        <v>26766.09765625</v>
      </c>
      <c r="E681" t="n">
        <v>27192.693359375</v>
      </c>
      <c r="F681" t="n">
        <v>14413231792</v>
      </c>
    </row>
    <row r="682">
      <c r="A682" t="inlineStr">
        <is>
          <t>2023-05-16</t>
        </is>
      </c>
      <c r="B682" t="n">
        <v>27171.513671875</v>
      </c>
      <c r="C682" t="n">
        <v>27299.3046875</v>
      </c>
      <c r="D682" t="n">
        <v>26878.947265625</v>
      </c>
      <c r="E682" t="n">
        <v>27036.650390625</v>
      </c>
      <c r="F682" t="n">
        <v>12732238816</v>
      </c>
    </row>
    <row r="683">
      <c r="A683" t="inlineStr">
        <is>
          <t>2023-05-17</t>
        </is>
      </c>
      <c r="B683" t="n">
        <v>27035.470703125</v>
      </c>
      <c r="C683" t="n">
        <v>27465.927734375</v>
      </c>
      <c r="D683" t="n">
        <v>26600.14453125</v>
      </c>
      <c r="E683" t="n">
        <v>27398.802734375</v>
      </c>
      <c r="F683" t="n">
        <v>15140006925</v>
      </c>
    </row>
    <row r="684">
      <c r="A684" t="inlineStr">
        <is>
          <t>2023-05-18</t>
        </is>
      </c>
      <c r="B684" t="n">
        <v>27401.650390625</v>
      </c>
      <c r="C684" t="n">
        <v>27466.52734375</v>
      </c>
      <c r="D684" t="n">
        <v>26415.1015625</v>
      </c>
      <c r="E684" t="n">
        <v>26832.208984375</v>
      </c>
      <c r="F684" t="n">
        <v>15222938600</v>
      </c>
    </row>
    <row r="685">
      <c r="A685" t="inlineStr">
        <is>
          <t>2023-05-19</t>
        </is>
      </c>
      <c r="B685" t="n">
        <v>26826.75390625</v>
      </c>
      <c r="C685" t="n">
        <v>27128.619140625</v>
      </c>
      <c r="D685" t="n">
        <v>26700.2109375</v>
      </c>
      <c r="E685" t="n">
        <v>26890.12890625</v>
      </c>
      <c r="F685" t="n">
        <v>11258983301</v>
      </c>
    </row>
    <row r="686">
      <c r="A686" t="inlineStr">
        <is>
          <t>2023-05-20</t>
        </is>
      </c>
      <c r="B686" t="n">
        <v>26888.841796875</v>
      </c>
      <c r="C686" t="n">
        <v>27155.158203125</v>
      </c>
      <c r="D686" t="n">
        <v>26843.27734375</v>
      </c>
      <c r="E686" t="n">
        <v>27129.5859375</v>
      </c>
      <c r="F686" t="n">
        <v>7044911360</v>
      </c>
    </row>
    <row r="687">
      <c r="A687" t="inlineStr">
        <is>
          <t>2023-05-21</t>
        </is>
      </c>
      <c r="B687" t="n">
        <v>27118.423828125</v>
      </c>
      <c r="C687" t="n">
        <v>27265.91796875</v>
      </c>
      <c r="D687" t="n">
        <v>26706.921875</v>
      </c>
      <c r="E687" t="n">
        <v>26753.826171875</v>
      </c>
      <c r="F687" t="n">
        <v>8647416921</v>
      </c>
    </row>
    <row r="688">
      <c r="A688" t="inlineStr">
        <is>
          <t>2023-05-22</t>
        </is>
      </c>
      <c r="B688" t="n">
        <v>26749.892578125</v>
      </c>
      <c r="C688" t="n">
        <v>27045.734375</v>
      </c>
      <c r="D688" t="n">
        <v>26549.734375</v>
      </c>
      <c r="E688" t="n">
        <v>26851.27734375</v>
      </c>
      <c r="F688" t="n">
        <v>11056770492</v>
      </c>
    </row>
    <row r="689">
      <c r="A689" t="inlineStr">
        <is>
          <t>2023-05-23</t>
        </is>
      </c>
      <c r="B689" t="n">
        <v>26855.9609375</v>
      </c>
      <c r="C689" t="n">
        <v>27434.68359375</v>
      </c>
      <c r="D689" t="n">
        <v>26816.1796875</v>
      </c>
      <c r="E689" t="n">
        <v>27225.7265625</v>
      </c>
      <c r="F689" t="n">
        <v>13697203143</v>
      </c>
    </row>
    <row r="690">
      <c r="A690" t="inlineStr">
        <is>
          <t>2023-05-24</t>
        </is>
      </c>
      <c r="B690" t="n">
        <v>27224.603515625</v>
      </c>
      <c r="C690" t="n">
        <v>27224.603515625</v>
      </c>
      <c r="D690" t="n">
        <v>26106.576171875</v>
      </c>
      <c r="E690" t="n">
        <v>26334.818359375</v>
      </c>
      <c r="F690" t="n">
        <v>16299104428</v>
      </c>
    </row>
    <row r="691">
      <c r="A691" t="inlineStr">
        <is>
          <t>2023-05-25</t>
        </is>
      </c>
      <c r="B691" t="n">
        <v>26329.4609375</v>
      </c>
      <c r="C691" t="n">
        <v>26591.51953125</v>
      </c>
      <c r="D691" t="n">
        <v>25890.59375</v>
      </c>
      <c r="E691" t="n">
        <v>26476.20703125</v>
      </c>
      <c r="F691" t="n">
        <v>13851122697</v>
      </c>
    </row>
    <row r="692">
      <c r="A692" t="inlineStr">
        <is>
          <t>2023-05-26</t>
        </is>
      </c>
      <c r="B692" t="n">
        <v>26474.181640625</v>
      </c>
      <c r="C692" t="n">
        <v>26916.669921875</v>
      </c>
      <c r="D692" t="n">
        <v>26343.94921875</v>
      </c>
      <c r="E692" t="n">
        <v>26719.291015625</v>
      </c>
      <c r="F692" t="n">
        <v>12711619225</v>
      </c>
    </row>
    <row r="693">
      <c r="A693" t="inlineStr">
        <is>
          <t>2023-05-27</t>
        </is>
      </c>
      <c r="B693" t="n">
        <v>26720.181640625</v>
      </c>
      <c r="C693" t="n">
        <v>26888.8828125</v>
      </c>
      <c r="D693" t="n">
        <v>26621.140625</v>
      </c>
      <c r="E693" t="n">
        <v>26868.353515625</v>
      </c>
      <c r="F693" t="n">
        <v>7892015141</v>
      </c>
    </row>
    <row r="694">
      <c r="A694" t="inlineStr">
        <is>
          <t>2023-05-28</t>
        </is>
      </c>
      <c r="B694" t="n">
        <v>26871.158203125</v>
      </c>
      <c r="C694" t="n">
        <v>28193.44921875</v>
      </c>
      <c r="D694" t="n">
        <v>26802.751953125</v>
      </c>
      <c r="E694" t="n">
        <v>28085.646484375</v>
      </c>
      <c r="F694" t="n">
        <v>14545229578</v>
      </c>
    </row>
    <row r="695">
      <c r="A695" t="inlineStr">
        <is>
          <t>2023-05-29</t>
        </is>
      </c>
      <c r="B695" t="n">
        <v>28075.591796875</v>
      </c>
      <c r="C695" t="n">
        <v>28432.0390625</v>
      </c>
      <c r="D695" t="n">
        <v>27563.876953125</v>
      </c>
      <c r="E695" t="n">
        <v>27745.884765625</v>
      </c>
      <c r="F695" t="n">
        <v>15181308984</v>
      </c>
    </row>
    <row r="696">
      <c r="A696" t="inlineStr">
        <is>
          <t>2023-05-30</t>
        </is>
      </c>
      <c r="B696" t="n">
        <v>27745.123046875</v>
      </c>
      <c r="C696" t="n">
        <v>28044.759765625</v>
      </c>
      <c r="D696" t="n">
        <v>27588.501953125</v>
      </c>
      <c r="E696" t="n">
        <v>27702.349609375</v>
      </c>
      <c r="F696" t="n">
        <v>13251081851</v>
      </c>
    </row>
    <row r="697">
      <c r="A697" t="inlineStr">
        <is>
          <t>2023-05-31</t>
        </is>
      </c>
      <c r="B697" t="n">
        <v>27700.529296875</v>
      </c>
      <c r="C697" t="n">
        <v>27831.677734375</v>
      </c>
      <c r="D697" t="n">
        <v>26866.453125</v>
      </c>
      <c r="E697" t="n">
        <v>27219.658203125</v>
      </c>
      <c r="F697" t="n">
        <v>15656371534</v>
      </c>
    </row>
    <row r="698">
      <c r="A698" t="inlineStr">
        <is>
          <t>2023-06-01</t>
        </is>
      </c>
      <c r="B698" t="n">
        <v>27218.412109375</v>
      </c>
      <c r="C698" t="n">
        <v>27346.10546875</v>
      </c>
      <c r="D698" t="n">
        <v>26671.720703125</v>
      </c>
      <c r="E698" t="n">
        <v>26819.97265625</v>
      </c>
      <c r="F698" t="n">
        <v>14678970415</v>
      </c>
    </row>
    <row r="699">
      <c r="A699" t="inlineStr">
        <is>
          <t>2023-06-02</t>
        </is>
      </c>
      <c r="B699" t="n">
        <v>26824.556640625</v>
      </c>
      <c r="C699" t="n">
        <v>27303.861328125</v>
      </c>
      <c r="D699" t="n">
        <v>26574.64453125</v>
      </c>
      <c r="E699" t="n">
        <v>27249.58984375</v>
      </c>
      <c r="F699" t="n">
        <v>14837415000</v>
      </c>
    </row>
    <row r="700">
      <c r="A700" t="inlineStr">
        <is>
          <t>2023-06-03</t>
        </is>
      </c>
      <c r="B700" t="n">
        <v>27252.32421875</v>
      </c>
      <c r="C700" t="n">
        <v>27317.052734375</v>
      </c>
      <c r="D700" t="n">
        <v>26958.00390625</v>
      </c>
      <c r="E700" t="n">
        <v>27075.12890625</v>
      </c>
      <c r="F700" t="n">
        <v>8385597470</v>
      </c>
    </row>
    <row r="701">
      <c r="A701" t="inlineStr">
        <is>
          <t>2023-06-04</t>
        </is>
      </c>
      <c r="B701" t="n">
        <v>27075.123046875</v>
      </c>
      <c r="C701" t="n">
        <v>27407.01953125</v>
      </c>
      <c r="D701" t="n">
        <v>26968.224609375</v>
      </c>
      <c r="E701" t="n">
        <v>27119.06640625</v>
      </c>
      <c r="F701" t="n">
        <v>9360912318</v>
      </c>
    </row>
    <row r="702">
      <c r="A702" t="inlineStr">
        <is>
          <t>2023-06-05</t>
        </is>
      </c>
      <c r="B702" t="n">
        <v>27123.109375</v>
      </c>
      <c r="C702" t="n">
        <v>27129.982421875</v>
      </c>
      <c r="D702" t="n">
        <v>25445.16796875</v>
      </c>
      <c r="E702" t="n">
        <v>25760.09765625</v>
      </c>
      <c r="F702" t="n">
        <v>21513292646</v>
      </c>
    </row>
    <row r="703">
      <c r="A703" t="inlineStr">
        <is>
          <t>2023-06-06</t>
        </is>
      </c>
      <c r="B703" t="n">
        <v>25732.109375</v>
      </c>
      <c r="C703" t="n">
        <v>27313.8203125</v>
      </c>
      <c r="D703" t="n">
        <v>25434.8671875</v>
      </c>
      <c r="E703" t="n">
        <v>27238.783203125</v>
      </c>
      <c r="F703" t="n">
        <v>21929670693</v>
      </c>
    </row>
    <row r="704">
      <c r="A704" t="inlineStr">
        <is>
          <t>2023-06-07</t>
        </is>
      </c>
      <c r="B704" t="n">
        <v>27235.650390625</v>
      </c>
      <c r="C704" t="n">
        <v>27332.181640625</v>
      </c>
      <c r="D704" t="n">
        <v>26146.98828125</v>
      </c>
      <c r="E704" t="n">
        <v>26345.998046875</v>
      </c>
      <c r="F704" t="n">
        <v>19530045082</v>
      </c>
    </row>
    <row r="705">
      <c r="A705" t="inlineStr">
        <is>
          <t>2023-06-08</t>
        </is>
      </c>
      <c r="B705" t="n">
        <v>26347.654296875</v>
      </c>
      <c r="C705" t="n">
        <v>26797.513671875</v>
      </c>
      <c r="D705" t="n">
        <v>26246.6640625</v>
      </c>
      <c r="E705" t="n">
        <v>26508.216796875</v>
      </c>
      <c r="F705" t="n">
        <v>11904824295</v>
      </c>
    </row>
    <row r="706">
      <c r="A706" t="inlineStr">
        <is>
          <t>2023-06-09</t>
        </is>
      </c>
      <c r="B706" t="n">
        <v>26505.923828125</v>
      </c>
      <c r="C706" t="n">
        <v>26770.2890625</v>
      </c>
      <c r="D706" t="n">
        <v>26339.314453125</v>
      </c>
      <c r="E706" t="n">
        <v>26480.375</v>
      </c>
      <c r="F706" t="n">
        <v>11015551640</v>
      </c>
    </row>
    <row r="707">
      <c r="A707" t="inlineStr">
        <is>
          <t>2023-06-10</t>
        </is>
      </c>
      <c r="B707" t="n">
        <v>26481.76171875</v>
      </c>
      <c r="C707" t="n">
        <v>26531.044921875</v>
      </c>
      <c r="D707" t="n">
        <v>25501.8359375</v>
      </c>
      <c r="E707" t="n">
        <v>25851.240234375</v>
      </c>
      <c r="F707" t="n">
        <v>19872933189</v>
      </c>
    </row>
    <row r="708">
      <c r="A708" t="inlineStr">
        <is>
          <t>2023-06-11</t>
        </is>
      </c>
      <c r="B708" t="n">
        <v>25854.03125</v>
      </c>
      <c r="C708" t="n">
        <v>26203.439453125</v>
      </c>
      <c r="D708" t="n">
        <v>25668.986328125</v>
      </c>
      <c r="E708" t="n">
        <v>25940.16796875</v>
      </c>
      <c r="F708" t="n">
        <v>10732609603</v>
      </c>
    </row>
    <row r="709">
      <c r="A709" t="inlineStr">
        <is>
          <t>2023-06-12</t>
        </is>
      </c>
      <c r="B709" t="n">
        <v>25934.28515625</v>
      </c>
      <c r="C709" t="n">
        <v>26087.919921875</v>
      </c>
      <c r="D709" t="n">
        <v>25675.197265625</v>
      </c>
      <c r="E709" t="n">
        <v>25902.5</v>
      </c>
      <c r="F709" t="n">
        <v>11677889997</v>
      </c>
    </row>
    <row r="710">
      <c r="A710" t="inlineStr">
        <is>
          <t>2023-06-13</t>
        </is>
      </c>
      <c r="B710" t="n">
        <v>25902.94140625</v>
      </c>
      <c r="C710" t="n">
        <v>26376.3515625</v>
      </c>
      <c r="D710" t="n">
        <v>25728.365234375</v>
      </c>
      <c r="E710" t="n">
        <v>25918.728515625</v>
      </c>
      <c r="F710" t="n">
        <v>14143474486</v>
      </c>
    </row>
    <row r="711">
      <c r="A711" t="inlineStr">
        <is>
          <t>2023-06-14</t>
        </is>
      </c>
      <c r="B711" t="n">
        <v>25920.2578125</v>
      </c>
      <c r="C711" t="n">
        <v>26041.80078125</v>
      </c>
      <c r="D711" t="n">
        <v>24902.15234375</v>
      </c>
      <c r="E711" t="n">
        <v>25124.67578125</v>
      </c>
      <c r="F711" t="n">
        <v>14265717766</v>
      </c>
    </row>
    <row r="712">
      <c r="A712" t="inlineStr">
        <is>
          <t>2023-06-15</t>
        </is>
      </c>
      <c r="B712" t="n">
        <v>25121.673828125</v>
      </c>
      <c r="C712" t="n">
        <v>25735.30859375</v>
      </c>
      <c r="D712" t="n">
        <v>24797.16796875</v>
      </c>
      <c r="E712" t="n">
        <v>25576.39453125</v>
      </c>
      <c r="F712" t="n">
        <v>15837384409</v>
      </c>
    </row>
    <row r="713">
      <c r="A713" t="inlineStr">
        <is>
          <t>2023-06-16</t>
        </is>
      </c>
      <c r="B713" t="n">
        <v>25575.283203125</v>
      </c>
      <c r="C713" t="n">
        <v>26463.173828125</v>
      </c>
      <c r="D713" t="n">
        <v>25245.357421875</v>
      </c>
      <c r="E713" t="n">
        <v>26327.462890625</v>
      </c>
      <c r="F713" t="n">
        <v>16324646965</v>
      </c>
    </row>
    <row r="714">
      <c r="A714" t="inlineStr">
        <is>
          <t>2023-06-17</t>
        </is>
      </c>
      <c r="B714" t="n">
        <v>26328.6796875</v>
      </c>
      <c r="C714" t="n">
        <v>26769.39453125</v>
      </c>
      <c r="D714" t="n">
        <v>26174.4921875</v>
      </c>
      <c r="E714" t="n">
        <v>26510.67578125</v>
      </c>
      <c r="F714" t="n">
        <v>11090276850</v>
      </c>
    </row>
    <row r="715">
      <c r="A715" t="inlineStr">
        <is>
          <t>2023-06-18</t>
        </is>
      </c>
      <c r="B715" t="n">
        <v>26510.45703125</v>
      </c>
      <c r="C715" t="n">
        <v>26675.92578125</v>
      </c>
      <c r="D715" t="n">
        <v>26325.890625</v>
      </c>
      <c r="E715" t="n">
        <v>26336.212890625</v>
      </c>
      <c r="F715" t="n">
        <v>9565695129</v>
      </c>
    </row>
    <row r="716">
      <c r="A716" t="inlineStr">
        <is>
          <t>2023-06-19</t>
        </is>
      </c>
      <c r="B716" t="n">
        <v>26335.44140625</v>
      </c>
      <c r="C716" t="n">
        <v>26984.611328125</v>
      </c>
      <c r="D716" t="n">
        <v>26312.83203125</v>
      </c>
      <c r="E716" t="n">
        <v>26851.029296875</v>
      </c>
      <c r="F716" t="n">
        <v>12826986222</v>
      </c>
    </row>
    <row r="717">
      <c r="A717" t="inlineStr">
        <is>
          <t>2023-06-20</t>
        </is>
      </c>
      <c r="B717" t="n">
        <v>26841.6640625</v>
      </c>
      <c r="C717" t="n">
        <v>28388.96875</v>
      </c>
      <c r="D717" t="n">
        <v>26668.791015625</v>
      </c>
      <c r="E717" t="n">
        <v>28327.48828125</v>
      </c>
      <c r="F717" t="n">
        <v>22211859147</v>
      </c>
    </row>
    <row r="718">
      <c r="A718" t="inlineStr">
        <is>
          <t>2023-06-21</t>
        </is>
      </c>
      <c r="B718" t="n">
        <v>28311.310546875</v>
      </c>
      <c r="C718" t="n">
        <v>30737.330078125</v>
      </c>
      <c r="D718" t="n">
        <v>28283.41015625</v>
      </c>
      <c r="E718" t="n">
        <v>30027.296875</v>
      </c>
      <c r="F718" t="n">
        <v>33346760979</v>
      </c>
    </row>
    <row r="719">
      <c r="A719" t="inlineStr">
        <is>
          <t>2023-06-22</t>
        </is>
      </c>
      <c r="B719" t="n">
        <v>29995.935546875</v>
      </c>
      <c r="C719" t="n">
        <v>30495.998046875</v>
      </c>
      <c r="D719" t="n">
        <v>29679.158203125</v>
      </c>
      <c r="E719" t="n">
        <v>29912.28125</v>
      </c>
      <c r="F719" t="n">
        <v>20653160491</v>
      </c>
    </row>
    <row r="720">
      <c r="A720" t="inlineStr">
        <is>
          <t>2023-06-23</t>
        </is>
      </c>
      <c r="B720" t="n">
        <v>29896.3828125</v>
      </c>
      <c r="C720" t="n">
        <v>31389.5390625</v>
      </c>
      <c r="D720" t="n">
        <v>29845.21484375</v>
      </c>
      <c r="E720" t="n">
        <v>30695.46875</v>
      </c>
      <c r="F720" t="n">
        <v>24115570085</v>
      </c>
    </row>
    <row r="721">
      <c r="A721" t="inlineStr">
        <is>
          <t>2023-06-24</t>
        </is>
      </c>
      <c r="B721" t="n">
        <v>30708.73828125</v>
      </c>
      <c r="C721" t="n">
        <v>30804.1484375</v>
      </c>
      <c r="D721" t="n">
        <v>30290.146484375</v>
      </c>
      <c r="E721" t="n">
        <v>30548.6953125</v>
      </c>
      <c r="F721" t="n">
        <v>12147822496</v>
      </c>
    </row>
    <row r="722">
      <c r="A722" t="inlineStr">
        <is>
          <t>2023-06-25</t>
        </is>
      </c>
      <c r="B722" t="n">
        <v>30545.150390625</v>
      </c>
      <c r="C722" t="n">
        <v>31041.271484375</v>
      </c>
      <c r="D722" t="n">
        <v>30327.943359375</v>
      </c>
      <c r="E722" t="n">
        <v>30480.26171875</v>
      </c>
      <c r="F722" t="n">
        <v>12703464114</v>
      </c>
    </row>
    <row r="723">
      <c r="A723" t="inlineStr">
        <is>
          <t>2023-06-26</t>
        </is>
      </c>
      <c r="B723" t="n">
        <v>30480.5234375</v>
      </c>
      <c r="C723" t="n">
        <v>30636.029296875</v>
      </c>
      <c r="D723" t="n">
        <v>29955.744140625</v>
      </c>
      <c r="E723" t="n">
        <v>30271.130859375</v>
      </c>
      <c r="F723" t="n">
        <v>16493186997</v>
      </c>
    </row>
    <row r="724">
      <c r="A724" t="inlineStr">
        <is>
          <t>2023-06-27</t>
        </is>
      </c>
      <c r="B724" t="n">
        <v>30274.3203125</v>
      </c>
      <c r="C724" t="n">
        <v>31006.787109375</v>
      </c>
      <c r="D724" t="n">
        <v>30236.650390625</v>
      </c>
      <c r="E724" t="n">
        <v>30688.1640625</v>
      </c>
      <c r="F724" t="n">
        <v>16428827944</v>
      </c>
    </row>
    <row r="725">
      <c r="A725" t="inlineStr">
        <is>
          <t>2023-06-28</t>
        </is>
      </c>
      <c r="B725" t="n">
        <v>30696.560546875</v>
      </c>
      <c r="C725" t="n">
        <v>30703.279296875</v>
      </c>
      <c r="D725" t="n">
        <v>29921.822265625</v>
      </c>
      <c r="E725" t="n">
        <v>30086.24609375</v>
      </c>
      <c r="F725" t="n">
        <v>14571500779</v>
      </c>
    </row>
    <row r="726">
      <c r="A726" t="inlineStr">
        <is>
          <t>2023-06-29</t>
        </is>
      </c>
      <c r="B726" t="n">
        <v>30086.1875</v>
      </c>
      <c r="C726" t="n">
        <v>30796.25</v>
      </c>
      <c r="D726" t="n">
        <v>30057.203125</v>
      </c>
      <c r="E726" t="n">
        <v>30445.3515625</v>
      </c>
      <c r="F726" t="n">
        <v>13180860821</v>
      </c>
    </row>
    <row r="727">
      <c r="A727" t="inlineStr">
        <is>
          <t>2023-06-30</t>
        </is>
      </c>
      <c r="B727" t="n">
        <v>30441.353515625</v>
      </c>
      <c r="C727" t="n">
        <v>31256.86328125</v>
      </c>
      <c r="D727" t="n">
        <v>29600.275390625</v>
      </c>
      <c r="E727" t="n">
        <v>30477.251953125</v>
      </c>
      <c r="F727" t="n">
        <v>26387306197</v>
      </c>
    </row>
    <row r="728">
      <c r="A728" t="inlineStr">
        <is>
          <t>2023-07-01</t>
        </is>
      </c>
      <c r="B728" t="n">
        <v>30471.84765625</v>
      </c>
      <c r="C728" t="n">
        <v>30641.2890625</v>
      </c>
      <c r="D728" t="n">
        <v>30328.865234375</v>
      </c>
      <c r="E728" t="n">
        <v>30590.078125</v>
      </c>
      <c r="F728" t="n">
        <v>9086606733</v>
      </c>
    </row>
    <row r="729">
      <c r="A729" t="inlineStr">
        <is>
          <t>2023-07-02</t>
        </is>
      </c>
      <c r="B729" t="n">
        <v>30587.26953125</v>
      </c>
      <c r="C729" t="n">
        <v>30766.140625</v>
      </c>
      <c r="D729" t="n">
        <v>30264.01953125</v>
      </c>
      <c r="E729" t="n">
        <v>30620.76953125</v>
      </c>
      <c r="F729" t="n">
        <v>10533418042</v>
      </c>
    </row>
    <row r="730">
      <c r="A730" t="inlineStr">
        <is>
          <t>2023-07-03</t>
        </is>
      </c>
      <c r="B730" t="n">
        <v>30624.515625</v>
      </c>
      <c r="C730" t="n">
        <v>31375.61328125</v>
      </c>
      <c r="D730" t="n">
        <v>30586.513671875</v>
      </c>
      <c r="E730" t="n">
        <v>31156.439453125</v>
      </c>
      <c r="F730" t="n">
        <v>15271884873</v>
      </c>
    </row>
    <row r="731">
      <c r="A731" t="inlineStr">
        <is>
          <t>2023-07-04</t>
        </is>
      </c>
      <c r="B731" t="n">
        <v>31156.865234375</v>
      </c>
      <c r="C731" t="n">
        <v>31325.197265625</v>
      </c>
      <c r="D731" t="n">
        <v>30659.35546875</v>
      </c>
      <c r="E731" t="n">
        <v>30777.58203125</v>
      </c>
      <c r="F731" t="n">
        <v>12810828427</v>
      </c>
    </row>
    <row r="732">
      <c r="A732" t="inlineStr">
        <is>
          <t>2023-07-05</t>
        </is>
      </c>
      <c r="B732" t="n">
        <v>30778.724609375</v>
      </c>
      <c r="C732" t="n">
        <v>30877.330078125</v>
      </c>
      <c r="D732" t="n">
        <v>30225.61328125</v>
      </c>
      <c r="E732" t="n">
        <v>30514.166015625</v>
      </c>
      <c r="F732" t="n">
        <v>12481622280</v>
      </c>
    </row>
    <row r="733">
      <c r="A733" t="inlineStr">
        <is>
          <t>2023-07-06</t>
        </is>
      </c>
      <c r="B733" t="n">
        <v>30507.150390625</v>
      </c>
      <c r="C733" t="n">
        <v>31460.052734375</v>
      </c>
      <c r="D733" t="n">
        <v>29892.2265625</v>
      </c>
      <c r="E733" t="n">
        <v>29909.337890625</v>
      </c>
      <c r="F733" t="n">
        <v>21129219509</v>
      </c>
    </row>
    <row r="734">
      <c r="A734" t="inlineStr">
        <is>
          <t>2023-07-07</t>
        </is>
      </c>
      <c r="B734" t="n">
        <v>29907.998046875</v>
      </c>
      <c r="C734" t="n">
        <v>30434.64453125</v>
      </c>
      <c r="D734" t="n">
        <v>29777.28515625</v>
      </c>
      <c r="E734" t="n">
        <v>30342.265625</v>
      </c>
      <c r="F734" t="n">
        <v>13384770155</v>
      </c>
    </row>
    <row r="735">
      <c r="A735" t="inlineStr">
        <is>
          <t>2023-07-08</t>
        </is>
      </c>
      <c r="B735" t="n">
        <v>30346.921875</v>
      </c>
      <c r="C735" t="n">
        <v>30374.4375</v>
      </c>
      <c r="D735" t="n">
        <v>30080.16015625</v>
      </c>
      <c r="E735" t="n">
        <v>30292.541015625</v>
      </c>
      <c r="F735" t="n">
        <v>7509378699</v>
      </c>
    </row>
    <row r="736">
      <c r="A736" t="inlineStr">
        <is>
          <t>2023-07-09</t>
        </is>
      </c>
      <c r="B736" t="n">
        <v>30291.611328125</v>
      </c>
      <c r="C736" t="n">
        <v>30427.58984375</v>
      </c>
      <c r="D736" t="n">
        <v>30085.591796875</v>
      </c>
      <c r="E736" t="n">
        <v>30171.234375</v>
      </c>
      <c r="F736" t="n">
        <v>7903327692</v>
      </c>
    </row>
    <row r="737">
      <c r="A737" t="inlineStr">
        <is>
          <t>2023-07-10</t>
        </is>
      </c>
      <c r="B737" t="n">
        <v>30172.423828125</v>
      </c>
      <c r="C737" t="n">
        <v>31026.083984375</v>
      </c>
      <c r="D737" t="n">
        <v>29985.39453125</v>
      </c>
      <c r="E737" t="n">
        <v>30414.470703125</v>
      </c>
      <c r="F737" t="n">
        <v>14828209155</v>
      </c>
    </row>
    <row r="738">
      <c r="A738" t="inlineStr">
        <is>
          <t>2023-07-11</t>
        </is>
      </c>
      <c r="B738" t="n">
        <v>30417.6328125</v>
      </c>
      <c r="C738" t="n">
        <v>30788.314453125</v>
      </c>
      <c r="D738" t="n">
        <v>30358.09765625</v>
      </c>
      <c r="E738" t="n">
        <v>30620.951171875</v>
      </c>
      <c r="F738" t="n">
        <v>12151839152</v>
      </c>
    </row>
    <row r="739">
      <c r="A739" t="inlineStr">
        <is>
          <t>2023-07-12</t>
        </is>
      </c>
      <c r="B739" t="n">
        <v>30622.24609375</v>
      </c>
      <c r="C739" t="n">
        <v>30959.96484375</v>
      </c>
      <c r="D739" t="n">
        <v>30228.8359375</v>
      </c>
      <c r="E739" t="n">
        <v>30391.646484375</v>
      </c>
      <c r="F739" t="n">
        <v>14805659717</v>
      </c>
    </row>
    <row r="740">
      <c r="A740" t="inlineStr">
        <is>
          <t>2023-07-13</t>
        </is>
      </c>
      <c r="B740" t="n">
        <v>30387.48828125</v>
      </c>
      <c r="C740" t="n">
        <v>31814.515625</v>
      </c>
      <c r="D740" t="n">
        <v>30268.3515625</v>
      </c>
      <c r="E740" t="n">
        <v>31476.048828125</v>
      </c>
      <c r="F740" t="n">
        <v>23686079548</v>
      </c>
    </row>
    <row r="741">
      <c r="A741" t="inlineStr">
        <is>
          <t>2023-07-14</t>
        </is>
      </c>
      <c r="B741" t="n">
        <v>31474.720703125</v>
      </c>
      <c r="C741" t="n">
        <v>31582.25390625</v>
      </c>
      <c r="D741" t="n">
        <v>29966.38671875</v>
      </c>
      <c r="E741" t="n">
        <v>30334.068359375</v>
      </c>
      <c r="F741" t="n">
        <v>20917902660</v>
      </c>
    </row>
    <row r="742">
      <c r="A742" t="inlineStr">
        <is>
          <t>2023-07-15</t>
        </is>
      </c>
      <c r="B742" t="n">
        <v>30331.783203125</v>
      </c>
      <c r="C742" t="n">
        <v>30407.78125</v>
      </c>
      <c r="D742" t="n">
        <v>30263.462890625</v>
      </c>
      <c r="E742" t="n">
        <v>30295.806640625</v>
      </c>
      <c r="F742" t="n">
        <v>8011667756</v>
      </c>
    </row>
    <row r="743">
      <c r="A743" t="inlineStr">
        <is>
          <t>2023-07-16</t>
        </is>
      </c>
      <c r="B743" t="n">
        <v>30297.47265625</v>
      </c>
      <c r="C743" t="n">
        <v>30437.560546875</v>
      </c>
      <c r="D743" t="n">
        <v>30089.669921875</v>
      </c>
      <c r="E743" t="n">
        <v>30249.1328125</v>
      </c>
      <c r="F743" t="n">
        <v>8516564470</v>
      </c>
    </row>
    <row r="744">
      <c r="A744" t="inlineStr">
        <is>
          <t>2023-07-17</t>
        </is>
      </c>
      <c r="B744" t="n">
        <v>30249.626953125</v>
      </c>
      <c r="C744" t="n">
        <v>30336.400390625</v>
      </c>
      <c r="D744" t="n">
        <v>29685.783203125</v>
      </c>
      <c r="E744" t="n">
        <v>30145.888671875</v>
      </c>
      <c r="F744" t="n">
        <v>13240156074</v>
      </c>
    </row>
    <row r="745">
      <c r="A745" t="inlineStr">
        <is>
          <t>2023-07-18</t>
        </is>
      </c>
      <c r="B745" t="n">
        <v>30147.0703125</v>
      </c>
      <c r="C745" t="n">
        <v>30233.65625</v>
      </c>
      <c r="D745" t="n">
        <v>29556.427734375</v>
      </c>
      <c r="E745" t="n">
        <v>29856.5625</v>
      </c>
      <c r="F745" t="n">
        <v>13138897269</v>
      </c>
    </row>
    <row r="746">
      <c r="A746" t="inlineStr">
        <is>
          <t>2023-07-19</t>
        </is>
      </c>
      <c r="B746" t="n">
        <v>29862.046875</v>
      </c>
      <c r="C746" t="n">
        <v>30184.181640625</v>
      </c>
      <c r="D746" t="n">
        <v>29794.26953125</v>
      </c>
      <c r="E746" t="n">
        <v>29913.923828125</v>
      </c>
      <c r="F746" t="n">
        <v>12128602812</v>
      </c>
    </row>
    <row r="747">
      <c r="A747" t="inlineStr">
        <is>
          <t>2023-07-20</t>
        </is>
      </c>
      <c r="B747" t="n">
        <v>29915.25</v>
      </c>
      <c r="C747" t="n">
        <v>30195.53125</v>
      </c>
      <c r="D747" t="n">
        <v>29638.095703125</v>
      </c>
      <c r="E747" t="n">
        <v>29792.015625</v>
      </c>
      <c r="F747" t="n">
        <v>14655207121</v>
      </c>
    </row>
    <row r="748">
      <c r="A748" t="inlineStr">
        <is>
          <t>2023-07-21</t>
        </is>
      </c>
      <c r="B748" t="n">
        <v>29805.111328125</v>
      </c>
      <c r="C748" t="n">
        <v>30045.998046875</v>
      </c>
      <c r="D748" t="n">
        <v>29733.8515625</v>
      </c>
      <c r="E748" t="n">
        <v>29908.744140625</v>
      </c>
      <c r="F748" t="n">
        <v>10972789818</v>
      </c>
    </row>
    <row r="749">
      <c r="A749" t="inlineStr">
        <is>
          <t>2023-07-22</t>
        </is>
      </c>
      <c r="B749" t="n">
        <v>29908.697265625</v>
      </c>
      <c r="C749" t="n">
        <v>29991.615234375</v>
      </c>
      <c r="D749" t="n">
        <v>29664.12109375</v>
      </c>
      <c r="E749" t="n">
        <v>29771.802734375</v>
      </c>
      <c r="F749" t="n">
        <v>7873300598</v>
      </c>
    </row>
    <row r="750">
      <c r="A750" t="inlineStr">
        <is>
          <t>2023-07-23</t>
        </is>
      </c>
      <c r="B750" t="n">
        <v>29790.111328125</v>
      </c>
      <c r="C750" t="n">
        <v>30330.640625</v>
      </c>
      <c r="D750" t="n">
        <v>29741.52734375</v>
      </c>
      <c r="E750" t="n">
        <v>30084.5390625</v>
      </c>
      <c r="F750" t="n">
        <v>9220145050</v>
      </c>
    </row>
    <row r="751">
      <c r="A751" t="inlineStr">
        <is>
          <t>2023-07-24</t>
        </is>
      </c>
      <c r="B751" t="n">
        <v>30081.662109375</v>
      </c>
      <c r="C751" t="n">
        <v>30093.39453125</v>
      </c>
      <c r="D751" t="n">
        <v>28934.294921875</v>
      </c>
      <c r="E751" t="n">
        <v>29176.916015625</v>
      </c>
      <c r="F751" t="n">
        <v>15395817395</v>
      </c>
    </row>
    <row r="752">
      <c r="A752" t="inlineStr">
        <is>
          <t>2023-07-25</t>
        </is>
      </c>
      <c r="B752" t="n">
        <v>29178.970703125</v>
      </c>
      <c r="C752" t="n">
        <v>29353.16015625</v>
      </c>
      <c r="D752" t="n">
        <v>29062.43359375</v>
      </c>
      <c r="E752" t="n">
        <v>29227.390625</v>
      </c>
      <c r="F752" t="n">
        <v>10266772793</v>
      </c>
    </row>
    <row r="753">
      <c r="A753" t="inlineStr">
        <is>
          <t>2023-07-26</t>
        </is>
      </c>
      <c r="B753" t="n">
        <v>29225.759765625</v>
      </c>
      <c r="C753" t="n">
        <v>29675.552734375</v>
      </c>
      <c r="D753" t="n">
        <v>29113.912109375</v>
      </c>
      <c r="E753" t="n">
        <v>29354.97265625</v>
      </c>
      <c r="F753" t="n">
        <v>13497554655</v>
      </c>
    </row>
    <row r="754">
      <c r="A754" t="inlineStr">
        <is>
          <t>2023-07-27</t>
        </is>
      </c>
      <c r="B754" t="n">
        <v>29353.798828125</v>
      </c>
      <c r="C754" t="n">
        <v>29560.966796875</v>
      </c>
      <c r="D754" t="n">
        <v>29099.3515625</v>
      </c>
      <c r="E754" t="n">
        <v>29210.689453125</v>
      </c>
      <c r="F754" t="n">
        <v>10770779217</v>
      </c>
    </row>
    <row r="755">
      <c r="A755" t="inlineStr">
        <is>
          <t>2023-07-28</t>
        </is>
      </c>
      <c r="B755" t="n">
        <v>29212.1640625</v>
      </c>
      <c r="C755" t="n">
        <v>29521.513671875</v>
      </c>
      <c r="D755" t="n">
        <v>29125.845703125</v>
      </c>
      <c r="E755" t="n">
        <v>29319.24609375</v>
      </c>
      <c r="F755" t="n">
        <v>11218474952</v>
      </c>
    </row>
    <row r="756">
      <c r="A756" t="inlineStr">
        <is>
          <t>2023-07-29</t>
        </is>
      </c>
      <c r="B756" t="n">
        <v>29319.4453125</v>
      </c>
      <c r="C756" t="n">
        <v>29396.84375</v>
      </c>
      <c r="D756" t="n">
        <v>29264.166015625</v>
      </c>
      <c r="E756" t="n">
        <v>29356.91796875</v>
      </c>
      <c r="F756" t="n">
        <v>6481775959</v>
      </c>
    </row>
    <row r="757">
      <c r="A757" t="inlineStr">
        <is>
          <t>2023-07-30</t>
        </is>
      </c>
      <c r="B757" t="n">
        <v>29357.09375</v>
      </c>
      <c r="C757" t="n">
        <v>29443.169921875</v>
      </c>
      <c r="D757" t="n">
        <v>29059.501953125</v>
      </c>
      <c r="E757" t="n">
        <v>29275.30859375</v>
      </c>
      <c r="F757" t="n">
        <v>8678454527</v>
      </c>
    </row>
    <row r="758">
      <c r="A758" t="inlineStr">
        <is>
          <t>2023-07-31</t>
        </is>
      </c>
      <c r="B758" t="n">
        <v>29278.314453125</v>
      </c>
      <c r="C758" t="n">
        <v>29489.873046875</v>
      </c>
      <c r="D758" t="n">
        <v>29131.578125</v>
      </c>
      <c r="E758" t="n">
        <v>29230.111328125</v>
      </c>
      <c r="F758" t="n">
        <v>11656781982</v>
      </c>
    </row>
    <row r="759">
      <c r="A759" t="inlineStr">
        <is>
          <t>2023-08-01</t>
        </is>
      </c>
      <c r="B759" t="n">
        <v>29230.873046875</v>
      </c>
      <c r="C759" t="n">
        <v>29675.732421875</v>
      </c>
      <c r="D759" t="n">
        <v>28657.0234375</v>
      </c>
      <c r="E759" t="n">
        <v>29675.732421875</v>
      </c>
      <c r="F759" t="n">
        <v>18272392391</v>
      </c>
    </row>
    <row r="760">
      <c r="A760" t="inlineStr">
        <is>
          <t>2023-08-02</t>
        </is>
      </c>
      <c r="B760" t="n">
        <v>29704.146484375</v>
      </c>
      <c r="C760" t="n">
        <v>29987.998046875</v>
      </c>
      <c r="D760" t="n">
        <v>28946.509765625</v>
      </c>
      <c r="E760" t="n">
        <v>29151.958984375</v>
      </c>
      <c r="F760" t="n">
        <v>19212655598</v>
      </c>
    </row>
    <row r="761">
      <c r="A761" t="inlineStr">
        <is>
          <t>2023-08-03</t>
        </is>
      </c>
      <c r="B761" t="n">
        <v>29161.8125</v>
      </c>
      <c r="C761" t="n">
        <v>29375.70703125</v>
      </c>
      <c r="D761" t="n">
        <v>28959.48828125</v>
      </c>
      <c r="E761" t="n">
        <v>29178.6796875</v>
      </c>
      <c r="F761" t="n">
        <v>12780357746</v>
      </c>
    </row>
    <row r="762">
      <c r="A762" t="inlineStr">
        <is>
          <t>2023-08-04</t>
        </is>
      </c>
      <c r="B762" t="n">
        <v>29174.3828125</v>
      </c>
      <c r="C762" t="n">
        <v>29302.078125</v>
      </c>
      <c r="D762" t="n">
        <v>28885.3359375</v>
      </c>
      <c r="E762" t="n">
        <v>29074.091796875</v>
      </c>
      <c r="F762" t="n">
        <v>12036639988</v>
      </c>
    </row>
    <row r="763">
      <c r="A763" t="inlineStr">
        <is>
          <t>2023-08-05</t>
        </is>
      </c>
      <c r="B763" t="n">
        <v>29075.388671875</v>
      </c>
      <c r="C763" t="n">
        <v>29102.46484375</v>
      </c>
      <c r="D763" t="n">
        <v>28957.796875</v>
      </c>
      <c r="E763" t="n">
        <v>29042.126953125</v>
      </c>
      <c r="F763" t="n">
        <v>6598366353</v>
      </c>
    </row>
    <row r="764">
      <c r="A764" t="inlineStr">
        <is>
          <t>2023-08-06</t>
        </is>
      </c>
      <c r="B764" t="n">
        <v>29043.701171875</v>
      </c>
      <c r="C764" t="n">
        <v>29160.822265625</v>
      </c>
      <c r="D764" t="n">
        <v>28963.833984375</v>
      </c>
      <c r="E764" t="n">
        <v>29041.85546875</v>
      </c>
      <c r="F764" t="n">
        <v>7269806994</v>
      </c>
    </row>
    <row r="765">
      <c r="A765" t="inlineStr">
        <is>
          <t>2023-08-07</t>
        </is>
      </c>
      <c r="B765" t="n">
        <v>29038.513671875</v>
      </c>
      <c r="C765" t="n">
        <v>29244.28125</v>
      </c>
      <c r="D765" t="n">
        <v>28724.140625</v>
      </c>
      <c r="E765" t="n">
        <v>29180.578125</v>
      </c>
      <c r="F765" t="n">
        <v>13618163710</v>
      </c>
    </row>
    <row r="766">
      <c r="A766" t="inlineStr">
        <is>
          <t>2023-08-08</t>
        </is>
      </c>
      <c r="B766" t="n">
        <v>29180.01953125</v>
      </c>
      <c r="C766" t="n">
        <v>30176.796875</v>
      </c>
      <c r="D766" t="n">
        <v>29113.814453125</v>
      </c>
      <c r="E766" t="n">
        <v>29765.4921875</v>
      </c>
      <c r="F766" t="n">
        <v>17570561357</v>
      </c>
    </row>
    <row r="767">
      <c r="A767" t="inlineStr">
        <is>
          <t>2023-08-09</t>
        </is>
      </c>
      <c r="B767" t="n">
        <v>29766.6953125</v>
      </c>
      <c r="C767" t="n">
        <v>30093.435546875</v>
      </c>
      <c r="D767" t="n">
        <v>29376.80078125</v>
      </c>
      <c r="E767" t="n">
        <v>29561.494140625</v>
      </c>
      <c r="F767" t="n">
        <v>18379521213</v>
      </c>
    </row>
    <row r="768">
      <c r="A768" t="inlineStr">
        <is>
          <t>2023-08-10</t>
        </is>
      </c>
      <c r="B768" t="n">
        <v>29563.97265625</v>
      </c>
      <c r="C768" t="n">
        <v>29688.564453125</v>
      </c>
      <c r="D768" t="n">
        <v>29354.447265625</v>
      </c>
      <c r="E768" t="n">
        <v>29429.591796875</v>
      </c>
      <c r="F768" t="n">
        <v>11865344789</v>
      </c>
    </row>
    <row r="769">
      <c r="A769" t="inlineStr">
        <is>
          <t>2023-08-11</t>
        </is>
      </c>
      <c r="B769" t="n">
        <v>29424.90234375</v>
      </c>
      <c r="C769" t="n">
        <v>29517.7734375</v>
      </c>
      <c r="D769" t="n">
        <v>29253.517578125</v>
      </c>
      <c r="E769" t="n">
        <v>29397.71484375</v>
      </c>
      <c r="F769" t="n">
        <v>10195168197</v>
      </c>
    </row>
    <row r="770">
      <c r="A770" t="inlineStr">
        <is>
          <t>2023-08-12</t>
        </is>
      </c>
      <c r="B770" t="n">
        <v>29399.787109375</v>
      </c>
      <c r="C770" t="n">
        <v>29465.11328125</v>
      </c>
      <c r="D770" t="n">
        <v>29357.587890625</v>
      </c>
      <c r="E770" t="n">
        <v>29415.96484375</v>
      </c>
      <c r="F770" t="n">
        <v>6194358008</v>
      </c>
    </row>
    <row r="771">
      <c r="A771" t="inlineStr">
        <is>
          <t>2023-08-13</t>
        </is>
      </c>
      <c r="B771" t="n">
        <v>29416.59375</v>
      </c>
      <c r="C771" t="n">
        <v>29441.43359375</v>
      </c>
      <c r="D771" t="n">
        <v>29265.806640625</v>
      </c>
      <c r="E771" t="n">
        <v>29282.9140625</v>
      </c>
      <c r="F771" t="n">
        <v>7329897180</v>
      </c>
    </row>
    <row r="772">
      <c r="A772" t="inlineStr">
        <is>
          <t>2023-08-14</t>
        </is>
      </c>
      <c r="B772" t="n">
        <v>29283.263671875</v>
      </c>
      <c r="C772" t="n">
        <v>29660.25390625</v>
      </c>
      <c r="D772" t="n">
        <v>29124.10546875</v>
      </c>
      <c r="E772" t="n">
        <v>29408.443359375</v>
      </c>
      <c r="F772" t="n">
        <v>14013695304</v>
      </c>
    </row>
    <row r="773">
      <c r="A773" t="inlineStr">
        <is>
          <t>2023-08-15</t>
        </is>
      </c>
      <c r="B773" t="n">
        <v>29408.048828125</v>
      </c>
      <c r="C773" t="n">
        <v>29439.12109375</v>
      </c>
      <c r="D773" t="n">
        <v>29088.853515625</v>
      </c>
      <c r="E773" t="n">
        <v>29170.34765625</v>
      </c>
      <c r="F773" t="n">
        <v>12640195779</v>
      </c>
    </row>
    <row r="774">
      <c r="A774" t="inlineStr">
        <is>
          <t>2023-08-16</t>
        </is>
      </c>
      <c r="B774" t="n">
        <v>29169.07421875</v>
      </c>
      <c r="C774" t="n">
        <v>29221.9765625</v>
      </c>
      <c r="D774" t="n">
        <v>28701.779296875</v>
      </c>
      <c r="E774" t="n">
        <v>28701.779296875</v>
      </c>
      <c r="F774" t="n">
        <v>14949271904</v>
      </c>
    </row>
    <row r="775">
      <c r="A775" t="inlineStr">
        <is>
          <t>2023-08-17</t>
        </is>
      </c>
      <c r="B775" t="n">
        <v>28699.802734375</v>
      </c>
      <c r="C775" t="n">
        <v>28745.947265625</v>
      </c>
      <c r="D775" t="n">
        <v>25409.111328125</v>
      </c>
      <c r="E775" t="n">
        <v>26664.55078125</v>
      </c>
      <c r="F775" t="n">
        <v>31120851211</v>
      </c>
    </row>
    <row r="776">
      <c r="A776" t="inlineStr">
        <is>
          <t>2023-08-18</t>
        </is>
      </c>
      <c r="B776" t="n">
        <v>26636.078125</v>
      </c>
      <c r="C776" t="n">
        <v>26808.1953125</v>
      </c>
      <c r="D776" t="n">
        <v>25668.921875</v>
      </c>
      <c r="E776" t="n">
        <v>26049.556640625</v>
      </c>
      <c r="F776" t="n">
        <v>24026236529</v>
      </c>
    </row>
    <row r="777">
      <c r="A777" t="inlineStr">
        <is>
          <t>2023-08-19</t>
        </is>
      </c>
      <c r="B777" t="n">
        <v>26047.83203125</v>
      </c>
      <c r="C777" t="n">
        <v>26249.44921875</v>
      </c>
      <c r="D777" t="n">
        <v>25802.408203125</v>
      </c>
      <c r="E777" t="n">
        <v>26096.205078125</v>
      </c>
      <c r="F777" t="n">
        <v>10631443812</v>
      </c>
    </row>
    <row r="778">
      <c r="A778" t="inlineStr">
        <is>
          <t>2023-08-20</t>
        </is>
      </c>
      <c r="B778" t="n">
        <v>26096.861328125</v>
      </c>
      <c r="C778" t="n">
        <v>26260.681640625</v>
      </c>
      <c r="D778" t="n">
        <v>26004.314453125</v>
      </c>
      <c r="E778" t="n">
        <v>26189.583984375</v>
      </c>
      <c r="F778" t="n">
        <v>9036580420</v>
      </c>
    </row>
    <row r="779">
      <c r="A779" t="inlineStr">
        <is>
          <t>2023-08-21</t>
        </is>
      </c>
      <c r="B779" t="n">
        <v>26188.69140625</v>
      </c>
      <c r="C779" t="n">
        <v>26220.201171875</v>
      </c>
      <c r="D779" t="n">
        <v>25846.087890625</v>
      </c>
      <c r="E779" t="n">
        <v>26124.140625</v>
      </c>
      <c r="F779" t="n">
        <v>13371557893</v>
      </c>
    </row>
    <row r="780">
      <c r="A780" t="inlineStr">
        <is>
          <t>2023-08-22</t>
        </is>
      </c>
      <c r="B780" t="n">
        <v>26130.748046875</v>
      </c>
      <c r="C780" t="n">
        <v>26135.5078125</v>
      </c>
      <c r="D780" t="n">
        <v>25520.728515625</v>
      </c>
      <c r="E780" t="n">
        <v>26031.65625</v>
      </c>
      <c r="F780" t="n">
        <v>14503820706</v>
      </c>
    </row>
    <row r="781">
      <c r="A781" t="inlineStr">
        <is>
          <t>2023-08-23</t>
        </is>
      </c>
      <c r="B781" t="n">
        <v>26040.474609375</v>
      </c>
      <c r="C781" t="n">
        <v>26786.8984375</v>
      </c>
      <c r="D781" t="n">
        <v>25804.998046875</v>
      </c>
      <c r="E781" t="n">
        <v>26431.640625</v>
      </c>
      <c r="F781" t="n">
        <v>16985265785</v>
      </c>
    </row>
    <row r="782">
      <c r="A782" t="inlineStr">
        <is>
          <t>2023-08-24</t>
        </is>
      </c>
      <c r="B782" t="n">
        <v>26431.51953125</v>
      </c>
      <c r="C782" t="n">
        <v>26554.91015625</v>
      </c>
      <c r="D782" t="n">
        <v>25914.92578125</v>
      </c>
      <c r="E782" t="n">
        <v>26162.373046875</v>
      </c>
      <c r="F782" t="n">
        <v>12871532023</v>
      </c>
    </row>
    <row r="783">
      <c r="A783" t="inlineStr">
        <is>
          <t>2023-08-25</t>
        </is>
      </c>
      <c r="B783" t="n">
        <v>26163.6796875</v>
      </c>
      <c r="C783" t="n">
        <v>26248.103515625</v>
      </c>
      <c r="D783" t="n">
        <v>25786.8125</v>
      </c>
      <c r="E783" t="n">
        <v>26047.66796875</v>
      </c>
      <c r="F783" t="n">
        <v>12406045118</v>
      </c>
    </row>
    <row r="784">
      <c r="A784" t="inlineStr">
        <is>
          <t>2023-08-26</t>
        </is>
      </c>
      <c r="B784" t="n">
        <v>26047.234375</v>
      </c>
      <c r="C784" t="n">
        <v>26107.384765625</v>
      </c>
      <c r="D784" t="n">
        <v>25983.87890625</v>
      </c>
      <c r="E784" t="n">
        <v>26008.462890625</v>
      </c>
      <c r="F784" t="n">
        <v>6034817316</v>
      </c>
    </row>
    <row r="785">
      <c r="A785" t="inlineStr">
        <is>
          <t>2023-08-27</t>
        </is>
      </c>
      <c r="B785" t="n">
        <v>26008.2421875</v>
      </c>
      <c r="C785" t="n">
        <v>26165.373046875</v>
      </c>
      <c r="D785" t="n">
        <v>25965.09765625</v>
      </c>
      <c r="E785" t="n">
        <v>26089.693359375</v>
      </c>
      <c r="F785" t="n">
        <v>6913768611</v>
      </c>
    </row>
    <row r="786">
      <c r="A786" t="inlineStr">
        <is>
          <t>2023-08-28</t>
        </is>
      </c>
      <c r="B786" t="n">
        <v>26089.615234375</v>
      </c>
      <c r="C786" t="n">
        <v>26198.578125</v>
      </c>
      <c r="D786" t="n">
        <v>25880.599609375</v>
      </c>
      <c r="E786" t="n">
        <v>26106.150390625</v>
      </c>
      <c r="F786" t="n">
        <v>11002805166</v>
      </c>
    </row>
    <row r="787">
      <c r="A787" t="inlineStr">
        <is>
          <t>2023-08-29</t>
        </is>
      </c>
      <c r="B787" t="n">
        <v>26102.486328125</v>
      </c>
      <c r="C787" t="n">
        <v>28089.337890625</v>
      </c>
      <c r="D787" t="n">
        <v>25912.62890625</v>
      </c>
      <c r="E787" t="n">
        <v>27727.392578125</v>
      </c>
      <c r="F787" t="n">
        <v>29368391712</v>
      </c>
    </row>
    <row r="788">
      <c r="A788" t="inlineStr">
        <is>
          <t>2023-08-30</t>
        </is>
      </c>
      <c r="B788" t="n">
        <v>27726.083984375</v>
      </c>
      <c r="C788" t="n">
        <v>27760.16015625</v>
      </c>
      <c r="D788" t="n">
        <v>27069.20703125</v>
      </c>
      <c r="E788" t="n">
        <v>27297.265625</v>
      </c>
      <c r="F788" t="n">
        <v>16343655235</v>
      </c>
    </row>
    <row r="789">
      <c r="A789" t="inlineStr">
        <is>
          <t>2023-08-31</t>
        </is>
      </c>
      <c r="B789" t="n">
        <v>27301.9296875</v>
      </c>
      <c r="C789" t="n">
        <v>27456.078125</v>
      </c>
      <c r="D789" t="n">
        <v>25752.9296875</v>
      </c>
      <c r="E789" t="n">
        <v>25931.47265625</v>
      </c>
      <c r="F789" t="n">
        <v>20181001451</v>
      </c>
    </row>
    <row r="790">
      <c r="A790" t="inlineStr">
        <is>
          <t>2023-09-01</t>
        </is>
      </c>
      <c r="B790" t="n">
        <v>25934.021484375</v>
      </c>
      <c r="C790" t="n">
        <v>26125.869140625</v>
      </c>
      <c r="D790" t="n">
        <v>25362.609375</v>
      </c>
      <c r="E790" t="n">
        <v>25800.724609375</v>
      </c>
      <c r="F790" t="n">
        <v>17202862221</v>
      </c>
    </row>
    <row r="791">
      <c r="A791" t="inlineStr">
        <is>
          <t>2023-09-02</t>
        </is>
      </c>
      <c r="B791" t="n">
        <v>25800.91015625</v>
      </c>
      <c r="C791" t="n">
        <v>25970.28515625</v>
      </c>
      <c r="D791" t="n">
        <v>25753.09375</v>
      </c>
      <c r="E791" t="n">
        <v>25868.798828125</v>
      </c>
      <c r="F791" t="n">
        <v>10100387473</v>
      </c>
    </row>
    <row r="792">
      <c r="A792" t="inlineStr">
        <is>
          <t>2023-09-03</t>
        </is>
      </c>
      <c r="B792" t="n">
        <v>25869.47265625</v>
      </c>
      <c r="C792" t="n">
        <v>26087.1484375</v>
      </c>
      <c r="D792" t="n">
        <v>25817.03125</v>
      </c>
      <c r="E792" t="n">
        <v>25969.56640625</v>
      </c>
      <c r="F792" t="n">
        <v>8962524523</v>
      </c>
    </row>
    <row r="793">
      <c r="A793" t="inlineStr">
        <is>
          <t>2023-09-04</t>
        </is>
      </c>
      <c r="B793" t="n">
        <v>25968.169921875</v>
      </c>
      <c r="C793" t="n">
        <v>26081.525390625</v>
      </c>
      <c r="D793" t="n">
        <v>25657.025390625</v>
      </c>
      <c r="E793" t="n">
        <v>25812.416015625</v>
      </c>
      <c r="F793" t="n">
        <v>10680635106</v>
      </c>
    </row>
    <row r="794">
      <c r="A794" t="inlineStr">
        <is>
          <t>2023-09-05</t>
        </is>
      </c>
      <c r="B794" t="n">
        <v>25814.95703125</v>
      </c>
      <c r="C794" t="n">
        <v>25858.375</v>
      </c>
      <c r="D794" t="n">
        <v>25589.98828125</v>
      </c>
      <c r="E794" t="n">
        <v>25779.982421875</v>
      </c>
      <c r="F794" t="n">
        <v>11094740040</v>
      </c>
    </row>
    <row r="795">
      <c r="A795" t="inlineStr">
        <is>
          <t>2023-09-06</t>
        </is>
      </c>
      <c r="B795" t="n">
        <v>25783.931640625</v>
      </c>
      <c r="C795" t="n">
        <v>25953.015625</v>
      </c>
      <c r="D795" t="n">
        <v>25404.359375</v>
      </c>
      <c r="E795" t="n">
        <v>25753.236328125</v>
      </c>
      <c r="F795" t="n">
        <v>12752705327</v>
      </c>
    </row>
    <row r="796">
      <c r="A796" t="inlineStr">
        <is>
          <t>2023-09-07</t>
        </is>
      </c>
      <c r="B796" t="n">
        <v>25748.3125</v>
      </c>
      <c r="C796" t="n">
        <v>26409.302734375</v>
      </c>
      <c r="D796" t="n">
        <v>25608.201171875</v>
      </c>
      <c r="E796" t="n">
        <v>26240.1953125</v>
      </c>
      <c r="F796" t="n">
        <v>11088307100</v>
      </c>
    </row>
    <row r="797">
      <c r="A797" t="inlineStr">
        <is>
          <t>2023-09-08</t>
        </is>
      </c>
      <c r="B797" t="n">
        <v>26245.208984375</v>
      </c>
      <c r="C797" t="n">
        <v>26414.005859375</v>
      </c>
      <c r="D797" t="n">
        <v>25677.48046875</v>
      </c>
      <c r="E797" t="n">
        <v>25905.654296875</v>
      </c>
      <c r="F797" t="n">
        <v>10817356400</v>
      </c>
    </row>
    <row r="798">
      <c r="A798" t="inlineStr">
        <is>
          <t>2023-09-09</t>
        </is>
      </c>
      <c r="B798" t="n">
        <v>25905.42578125</v>
      </c>
      <c r="C798" t="n">
        <v>25921.9765625</v>
      </c>
      <c r="D798" t="n">
        <v>25810.494140625</v>
      </c>
      <c r="E798" t="n">
        <v>25895.677734375</v>
      </c>
      <c r="F798" t="n">
        <v>5481314132</v>
      </c>
    </row>
    <row r="799">
      <c r="A799" t="inlineStr">
        <is>
          <t>2023-09-10</t>
        </is>
      </c>
      <c r="B799" t="n">
        <v>25895.2109375</v>
      </c>
      <c r="C799" t="n">
        <v>25978.130859375</v>
      </c>
      <c r="D799" t="n">
        <v>25640.26171875</v>
      </c>
      <c r="E799" t="n">
        <v>25832.2265625</v>
      </c>
      <c r="F799" t="n">
        <v>7899553047</v>
      </c>
    </row>
    <row r="800">
      <c r="A800" t="inlineStr">
        <is>
          <t>2023-09-11</t>
        </is>
      </c>
      <c r="B800" t="n">
        <v>25831.71484375</v>
      </c>
      <c r="C800" t="n">
        <v>25883.947265625</v>
      </c>
      <c r="D800" t="n">
        <v>24930.296875</v>
      </c>
      <c r="E800" t="n">
        <v>25162.654296875</v>
      </c>
      <c r="F800" t="n">
        <v>14600006467</v>
      </c>
    </row>
    <row r="801">
      <c r="A801" t="inlineStr">
        <is>
          <t>2023-09-12</t>
        </is>
      </c>
      <c r="B801" t="n">
        <v>25160.658203125</v>
      </c>
      <c r="C801" t="n">
        <v>26451.939453125</v>
      </c>
      <c r="D801" t="n">
        <v>25133.078125</v>
      </c>
      <c r="E801" t="n">
        <v>25833.34375</v>
      </c>
      <c r="F801" t="n">
        <v>18657279324</v>
      </c>
    </row>
    <row r="802">
      <c r="A802" t="inlineStr">
        <is>
          <t>2023-09-13</t>
        </is>
      </c>
      <c r="B802" t="n">
        <v>25837.5546875</v>
      </c>
      <c r="C802" t="n">
        <v>26376.11328125</v>
      </c>
      <c r="D802" t="n">
        <v>25781.123046875</v>
      </c>
      <c r="E802" t="n">
        <v>26228.32421875</v>
      </c>
      <c r="F802" t="n">
        <v>13072077070</v>
      </c>
    </row>
    <row r="803">
      <c r="A803" t="inlineStr">
        <is>
          <t>2023-09-14</t>
        </is>
      </c>
      <c r="B803" t="n">
        <v>26228.27734375</v>
      </c>
      <c r="C803" t="n">
        <v>26774.623046875</v>
      </c>
      <c r="D803" t="n">
        <v>26171.451171875</v>
      </c>
      <c r="E803" t="n">
        <v>26539.673828125</v>
      </c>
      <c r="F803" t="n">
        <v>13811359124</v>
      </c>
    </row>
    <row r="804">
      <c r="A804" t="inlineStr">
        <is>
          <t>2023-09-15</t>
        </is>
      </c>
      <c r="B804" t="n">
        <v>26533.818359375</v>
      </c>
      <c r="C804" t="n">
        <v>26840.498046875</v>
      </c>
      <c r="D804" t="n">
        <v>26240.701171875</v>
      </c>
      <c r="E804" t="n">
        <v>26608.693359375</v>
      </c>
      <c r="F804" t="n">
        <v>11479735788</v>
      </c>
    </row>
    <row r="805">
      <c r="A805" t="inlineStr">
        <is>
          <t>2023-09-16</t>
        </is>
      </c>
      <c r="B805" t="n">
        <v>26606.19921875</v>
      </c>
      <c r="C805" t="n">
        <v>26754.76953125</v>
      </c>
      <c r="D805" t="n">
        <v>26473.890625</v>
      </c>
      <c r="E805" t="n">
        <v>26568.28125</v>
      </c>
      <c r="F805" t="n">
        <v>7402031417</v>
      </c>
    </row>
    <row r="806">
      <c r="A806" t="inlineStr">
        <is>
          <t>2023-09-17</t>
        </is>
      </c>
      <c r="B806" t="n">
        <v>26567.927734375</v>
      </c>
      <c r="C806" t="n">
        <v>26617.998046875</v>
      </c>
      <c r="D806" t="n">
        <v>26445.07421875</v>
      </c>
      <c r="E806" t="n">
        <v>26534.1875</v>
      </c>
      <c r="F806" t="n">
        <v>6774210670</v>
      </c>
    </row>
    <row r="807">
      <c r="A807" t="inlineStr">
        <is>
          <t>2023-09-18</t>
        </is>
      </c>
      <c r="B807" t="n">
        <v>26532.994140625</v>
      </c>
      <c r="C807" t="n">
        <v>27414.734375</v>
      </c>
      <c r="D807" t="n">
        <v>26415.515625</v>
      </c>
      <c r="E807" t="n">
        <v>26754.28125</v>
      </c>
      <c r="F807" t="n">
        <v>15615339655</v>
      </c>
    </row>
    <row r="808">
      <c r="A808" t="inlineStr">
        <is>
          <t>2023-09-19</t>
        </is>
      </c>
      <c r="B808" t="n">
        <v>26760.8515625</v>
      </c>
      <c r="C808" t="n">
        <v>27488.763671875</v>
      </c>
      <c r="D808" t="n">
        <v>26681.60546875</v>
      </c>
      <c r="E808" t="n">
        <v>27211.1171875</v>
      </c>
      <c r="F808" t="n">
        <v>13807690550</v>
      </c>
    </row>
    <row r="809">
      <c r="A809" t="inlineStr">
        <is>
          <t>2023-09-20</t>
        </is>
      </c>
      <c r="B809" t="n">
        <v>27210.228515625</v>
      </c>
      <c r="C809" t="n">
        <v>27379.505859375</v>
      </c>
      <c r="D809" t="n">
        <v>26864.08203125</v>
      </c>
      <c r="E809" t="n">
        <v>27132.0078125</v>
      </c>
      <c r="F809" t="n">
        <v>13281116604</v>
      </c>
    </row>
    <row r="810">
      <c r="A810" t="inlineStr">
        <is>
          <t>2023-09-21</t>
        </is>
      </c>
      <c r="B810" t="n">
        <v>27129.83984375</v>
      </c>
      <c r="C810" t="n">
        <v>27152.939453125</v>
      </c>
      <c r="D810" t="n">
        <v>26389.30078125</v>
      </c>
      <c r="E810" t="n">
        <v>26567.6328125</v>
      </c>
      <c r="F810" t="n">
        <v>13371443708</v>
      </c>
    </row>
    <row r="811">
      <c r="A811" t="inlineStr">
        <is>
          <t>2023-09-22</t>
        </is>
      </c>
      <c r="B811" t="n">
        <v>26564.056640625</v>
      </c>
      <c r="C811" t="n">
        <v>26726.078125</v>
      </c>
      <c r="D811" t="n">
        <v>26495.533203125</v>
      </c>
      <c r="E811" t="n">
        <v>26579.568359375</v>
      </c>
      <c r="F811" t="n">
        <v>10578746709</v>
      </c>
    </row>
    <row r="812">
      <c r="A812" t="inlineStr">
        <is>
          <t>2023-09-23</t>
        </is>
      </c>
      <c r="B812" t="n">
        <v>26578.556640625</v>
      </c>
      <c r="C812" t="n">
        <v>26634.185546875</v>
      </c>
      <c r="D812" t="n">
        <v>26520.51953125</v>
      </c>
      <c r="E812" t="n">
        <v>26579.390625</v>
      </c>
      <c r="F812" t="n">
        <v>7404700301</v>
      </c>
    </row>
    <row r="813">
      <c r="A813" t="inlineStr">
        <is>
          <t>2023-09-24</t>
        </is>
      </c>
      <c r="B813" t="n">
        <v>26579.373046875</v>
      </c>
      <c r="C813" t="n">
        <v>26716.05859375</v>
      </c>
      <c r="D813" t="n">
        <v>26221.05078125</v>
      </c>
      <c r="E813" t="n">
        <v>26256.826171875</v>
      </c>
      <c r="F813" t="n">
        <v>8192867686</v>
      </c>
    </row>
    <row r="814">
      <c r="A814" t="inlineStr">
        <is>
          <t>2023-09-25</t>
        </is>
      </c>
      <c r="B814" t="n">
        <v>26253.775390625</v>
      </c>
      <c r="C814" t="n">
        <v>26421.5078125</v>
      </c>
      <c r="D814" t="n">
        <v>26011.46875</v>
      </c>
      <c r="E814" t="n">
        <v>26298.48046875</v>
      </c>
      <c r="F814" t="n">
        <v>11997833257</v>
      </c>
    </row>
    <row r="815">
      <c r="A815" t="inlineStr">
        <is>
          <t>2023-09-26</t>
        </is>
      </c>
      <c r="B815" t="n">
        <v>26294.7578125</v>
      </c>
      <c r="C815" t="n">
        <v>26389.884765625</v>
      </c>
      <c r="D815" t="n">
        <v>26090.712890625</v>
      </c>
      <c r="E815" t="n">
        <v>26217.25</v>
      </c>
      <c r="F815" t="n">
        <v>9985498161</v>
      </c>
    </row>
    <row r="816">
      <c r="A816" t="inlineStr">
        <is>
          <t>2023-09-27</t>
        </is>
      </c>
      <c r="B816" t="n">
        <v>26209.498046875</v>
      </c>
      <c r="C816" t="n">
        <v>26817.841796875</v>
      </c>
      <c r="D816" t="n">
        <v>26111.46484375</v>
      </c>
      <c r="E816" t="n">
        <v>26352.716796875</v>
      </c>
      <c r="F816" t="n">
        <v>11718380997</v>
      </c>
    </row>
    <row r="817">
      <c r="A817" t="inlineStr">
        <is>
          <t>2023-09-28</t>
        </is>
      </c>
      <c r="B817" t="n">
        <v>26355.8125</v>
      </c>
      <c r="C817" t="n">
        <v>27259.5</v>
      </c>
      <c r="D817" t="n">
        <v>26327.322265625</v>
      </c>
      <c r="E817" t="n">
        <v>27021.546875</v>
      </c>
      <c r="F817" t="n">
        <v>14079002707</v>
      </c>
    </row>
    <row r="818">
      <c r="A818" t="inlineStr">
        <is>
          <t>2023-09-29</t>
        </is>
      </c>
      <c r="B818" t="n">
        <v>27024.841796875</v>
      </c>
      <c r="C818" t="n">
        <v>27225.9375</v>
      </c>
      <c r="D818" t="n">
        <v>26721.763671875</v>
      </c>
      <c r="E818" t="n">
        <v>26911.720703125</v>
      </c>
      <c r="F818" t="n">
        <v>10396435377</v>
      </c>
    </row>
    <row r="819">
      <c r="A819" t="inlineStr">
        <is>
          <t>2023-09-30</t>
        </is>
      </c>
      <c r="B819" t="n">
        <v>26911.689453125</v>
      </c>
      <c r="C819" t="n">
        <v>27091.794921875</v>
      </c>
      <c r="D819" t="n">
        <v>26888.96875</v>
      </c>
      <c r="E819" t="n">
        <v>26967.916015625</v>
      </c>
      <c r="F819" t="n">
        <v>5331172801</v>
      </c>
    </row>
    <row r="820">
      <c r="A820" t="inlineStr">
        <is>
          <t>2023-10-01</t>
        </is>
      </c>
      <c r="B820" t="n">
        <v>26967.396484375</v>
      </c>
      <c r="C820" t="n">
        <v>28047.23828125</v>
      </c>
      <c r="D820" t="n">
        <v>26965.09375</v>
      </c>
      <c r="E820" t="n">
        <v>27983.75</v>
      </c>
      <c r="F820" t="n">
        <v>9503917434</v>
      </c>
    </row>
    <row r="821">
      <c r="A821" t="inlineStr">
        <is>
          <t>2023-10-02</t>
        </is>
      </c>
      <c r="B821" t="n">
        <v>27976.798828125</v>
      </c>
      <c r="C821" t="n">
        <v>28494.458984375</v>
      </c>
      <c r="D821" t="n">
        <v>27347.787109375</v>
      </c>
      <c r="E821" t="n">
        <v>27530.78515625</v>
      </c>
      <c r="F821" t="n">
        <v>19793041322</v>
      </c>
    </row>
    <row r="822">
      <c r="A822" t="inlineStr">
        <is>
          <t>2023-10-03</t>
        </is>
      </c>
      <c r="B822" t="n">
        <v>27508.251953125</v>
      </c>
      <c r="C822" t="n">
        <v>27667.19140625</v>
      </c>
      <c r="D822" t="n">
        <v>27216.001953125</v>
      </c>
      <c r="E822" t="n">
        <v>27429.978515625</v>
      </c>
      <c r="F822" t="n">
        <v>11407814187</v>
      </c>
    </row>
    <row r="823">
      <c r="A823" t="inlineStr">
        <is>
          <t>2023-10-04</t>
        </is>
      </c>
      <c r="B823" t="n">
        <v>27429.07421875</v>
      </c>
      <c r="C823" t="n">
        <v>27826.658203125</v>
      </c>
      <c r="D823" t="n">
        <v>27248.10546875</v>
      </c>
      <c r="E823" t="n">
        <v>27799.39453125</v>
      </c>
      <c r="F823" t="n">
        <v>11143355314</v>
      </c>
    </row>
    <row r="824">
      <c r="A824" t="inlineStr">
        <is>
          <t>2023-10-05</t>
        </is>
      </c>
      <c r="B824" t="n">
        <v>27798.646484375</v>
      </c>
      <c r="C824" t="n">
        <v>28091.861328125</v>
      </c>
      <c r="D824" t="n">
        <v>27375.6015625</v>
      </c>
      <c r="E824" t="n">
        <v>27415.912109375</v>
      </c>
      <c r="F824" t="n">
        <v>11877253670</v>
      </c>
    </row>
    <row r="825">
      <c r="A825" t="inlineStr">
        <is>
          <t>2023-10-06</t>
        </is>
      </c>
      <c r="B825" t="n">
        <v>27412.123046875</v>
      </c>
      <c r="C825" t="n">
        <v>28252.537109375</v>
      </c>
      <c r="D825" t="n">
        <v>27215.552734375</v>
      </c>
      <c r="E825" t="n">
        <v>27946.59765625</v>
      </c>
      <c r="F825" t="n">
        <v>13492391599</v>
      </c>
    </row>
    <row r="826">
      <c r="A826" t="inlineStr">
        <is>
          <t>2023-10-07</t>
        </is>
      </c>
      <c r="B826" t="n">
        <v>27946.78125</v>
      </c>
      <c r="C826" t="n">
        <v>28028.091796875</v>
      </c>
      <c r="D826" t="n">
        <v>27870.423828125</v>
      </c>
      <c r="E826" t="n">
        <v>27968.83984375</v>
      </c>
      <c r="F826" t="n">
        <v>6553044316</v>
      </c>
    </row>
    <row r="827">
      <c r="A827" t="inlineStr">
        <is>
          <t>2023-10-08</t>
        </is>
      </c>
      <c r="B827" t="n">
        <v>27971.677734375</v>
      </c>
      <c r="C827" t="n">
        <v>28102.169921875</v>
      </c>
      <c r="D827" t="n">
        <v>27740.662109375</v>
      </c>
      <c r="E827" t="n">
        <v>27935.08984375</v>
      </c>
      <c r="F827" t="n">
        <v>7916875290</v>
      </c>
    </row>
    <row r="828">
      <c r="A828" t="inlineStr">
        <is>
          <t>2023-10-09</t>
        </is>
      </c>
      <c r="B828" t="n">
        <v>27934.47265625</v>
      </c>
      <c r="C828" t="n">
        <v>27989.470703125</v>
      </c>
      <c r="D828" t="n">
        <v>27302.5625</v>
      </c>
      <c r="E828" t="n">
        <v>27583.677734375</v>
      </c>
      <c r="F828" t="n">
        <v>12007668568</v>
      </c>
    </row>
    <row r="829">
      <c r="A829" t="inlineStr">
        <is>
          <t>2023-10-10</t>
        </is>
      </c>
      <c r="B829" t="n">
        <v>27589.201171875</v>
      </c>
      <c r="C829" t="n">
        <v>27715.84765625</v>
      </c>
      <c r="D829" t="n">
        <v>27301.654296875</v>
      </c>
      <c r="E829" t="n">
        <v>27391.01953125</v>
      </c>
      <c r="F829" t="n">
        <v>9973350678</v>
      </c>
    </row>
    <row r="830">
      <c r="A830" t="inlineStr">
        <is>
          <t>2023-10-11</t>
        </is>
      </c>
      <c r="B830" t="n">
        <v>27392.076171875</v>
      </c>
      <c r="C830" t="n">
        <v>27474.115234375</v>
      </c>
      <c r="D830" t="n">
        <v>26561.099609375</v>
      </c>
      <c r="E830" t="n">
        <v>26873.3203125</v>
      </c>
      <c r="F830" t="n">
        <v>13648094333</v>
      </c>
    </row>
    <row r="831">
      <c r="A831" t="inlineStr">
        <is>
          <t>2023-10-12</t>
        </is>
      </c>
      <c r="B831" t="n">
        <v>26873.29296875</v>
      </c>
      <c r="C831" t="n">
        <v>26921.439453125</v>
      </c>
      <c r="D831" t="n">
        <v>26558.3203125</v>
      </c>
      <c r="E831" t="n">
        <v>26756.798828125</v>
      </c>
      <c r="F831" t="n">
        <v>9392909295</v>
      </c>
    </row>
    <row r="832">
      <c r="A832" t="inlineStr">
        <is>
          <t>2023-10-13</t>
        </is>
      </c>
      <c r="B832" t="n">
        <v>26752.87890625</v>
      </c>
      <c r="C832" t="n">
        <v>27092.697265625</v>
      </c>
      <c r="D832" t="n">
        <v>26686.322265625</v>
      </c>
      <c r="E832" t="n">
        <v>26862.375</v>
      </c>
      <c r="F832" t="n">
        <v>15165312851</v>
      </c>
    </row>
    <row r="833">
      <c r="A833" t="inlineStr">
        <is>
          <t>2023-10-14</t>
        </is>
      </c>
      <c r="B833" t="n">
        <v>26866.203125</v>
      </c>
      <c r="C833" t="n">
        <v>26969</v>
      </c>
      <c r="D833" t="n">
        <v>26814.5859375</v>
      </c>
      <c r="E833" t="n">
        <v>26861.70703125</v>
      </c>
      <c r="F833" t="n">
        <v>5388116782</v>
      </c>
    </row>
    <row r="834">
      <c r="A834" t="inlineStr">
        <is>
          <t>2023-10-15</t>
        </is>
      </c>
      <c r="B834" t="n">
        <v>26858.01171875</v>
      </c>
      <c r="C834" t="n">
        <v>27289.169921875</v>
      </c>
      <c r="D834" t="n">
        <v>26817.89453125</v>
      </c>
      <c r="E834" t="n">
        <v>27159.65234375</v>
      </c>
      <c r="F834" t="n">
        <v>7098201980</v>
      </c>
    </row>
    <row r="835">
      <c r="A835" t="inlineStr">
        <is>
          <t>2023-10-16</t>
        </is>
      </c>
      <c r="B835" t="n">
        <v>27162.62890625</v>
      </c>
      <c r="C835" t="n">
        <v>29448.138671875</v>
      </c>
      <c r="D835" t="n">
        <v>27130.47265625</v>
      </c>
      <c r="E835" t="n">
        <v>28519.466796875</v>
      </c>
      <c r="F835" t="n">
        <v>27833876539</v>
      </c>
    </row>
    <row r="836">
      <c r="A836" t="inlineStr">
        <is>
          <t>2023-10-17</t>
        </is>
      </c>
      <c r="B836" t="n">
        <v>28522.09765625</v>
      </c>
      <c r="C836" t="n">
        <v>28618.751953125</v>
      </c>
      <c r="D836" t="n">
        <v>28110.185546875</v>
      </c>
      <c r="E836" t="n">
        <v>28415.748046875</v>
      </c>
      <c r="F836" t="n">
        <v>14872527508</v>
      </c>
    </row>
    <row r="837">
      <c r="A837" t="inlineStr">
        <is>
          <t>2023-10-18</t>
        </is>
      </c>
      <c r="B837" t="n">
        <v>28413.53125</v>
      </c>
      <c r="C837" t="n">
        <v>28889.009765625</v>
      </c>
      <c r="D837" t="n">
        <v>28174.251953125</v>
      </c>
      <c r="E837" t="n">
        <v>28328.341796875</v>
      </c>
      <c r="F837" t="n">
        <v>12724128586</v>
      </c>
    </row>
    <row r="838">
      <c r="A838" t="inlineStr">
        <is>
          <t>2023-10-19</t>
        </is>
      </c>
      <c r="B838" t="n">
        <v>28332.416015625</v>
      </c>
      <c r="C838" t="n">
        <v>28892.474609375</v>
      </c>
      <c r="D838" t="n">
        <v>28177.98828125</v>
      </c>
      <c r="E838" t="n">
        <v>28719.806640625</v>
      </c>
      <c r="F838" t="n">
        <v>14448058195</v>
      </c>
    </row>
    <row r="839">
      <c r="A839" t="inlineStr">
        <is>
          <t>2023-10-20</t>
        </is>
      </c>
      <c r="B839" t="n">
        <v>28732.8125</v>
      </c>
      <c r="C839" t="n">
        <v>30104.0859375</v>
      </c>
      <c r="D839" t="n">
        <v>28601.669921875</v>
      </c>
      <c r="E839" t="n">
        <v>29682.94921875</v>
      </c>
      <c r="F839" t="n">
        <v>21536125230</v>
      </c>
    </row>
    <row r="840">
      <c r="A840" t="inlineStr">
        <is>
          <t>2023-10-21</t>
        </is>
      </c>
      <c r="B840" t="n">
        <v>29683.380859375</v>
      </c>
      <c r="C840" t="n">
        <v>30287.482421875</v>
      </c>
      <c r="D840" t="n">
        <v>29481.751953125</v>
      </c>
      <c r="E840" t="n">
        <v>29918.412109375</v>
      </c>
      <c r="F840" t="n">
        <v>11541146996</v>
      </c>
    </row>
    <row r="841">
      <c r="A841" t="inlineStr">
        <is>
          <t>2023-10-22</t>
        </is>
      </c>
      <c r="B841" t="n">
        <v>29918.654296875</v>
      </c>
      <c r="C841" t="n">
        <v>30199.43359375</v>
      </c>
      <c r="D841" t="n">
        <v>29720.3125</v>
      </c>
      <c r="E841" t="n">
        <v>29993.896484375</v>
      </c>
      <c r="F841" t="n">
        <v>10446520040</v>
      </c>
    </row>
    <row r="842">
      <c r="A842" t="inlineStr">
        <is>
          <t>2023-10-23</t>
        </is>
      </c>
      <c r="B842" t="n">
        <v>30140.685546875</v>
      </c>
      <c r="C842" t="n">
        <v>34370.4375</v>
      </c>
      <c r="D842" t="n">
        <v>30097.828125</v>
      </c>
      <c r="E842" t="n">
        <v>33086.234375</v>
      </c>
      <c r="F842" t="n">
        <v>38363572311</v>
      </c>
    </row>
    <row r="843">
      <c r="A843" t="inlineStr">
        <is>
          <t>2023-10-24</t>
        </is>
      </c>
      <c r="B843" t="n">
        <v>33077.3046875</v>
      </c>
      <c r="C843" t="n">
        <v>35150.43359375</v>
      </c>
      <c r="D843" t="n">
        <v>32880.76171875</v>
      </c>
      <c r="E843" t="n">
        <v>33901.52734375</v>
      </c>
      <c r="F843" t="n">
        <v>44934999645</v>
      </c>
    </row>
    <row r="844">
      <c r="A844" t="inlineStr">
        <is>
          <t>2023-10-25</t>
        </is>
      </c>
      <c r="B844" t="n">
        <v>33916.04296875</v>
      </c>
      <c r="C844" t="n">
        <v>35133.7578125</v>
      </c>
      <c r="D844" t="n">
        <v>33709.109375</v>
      </c>
      <c r="E844" t="n">
        <v>34502.8203125</v>
      </c>
      <c r="F844" t="n">
        <v>25254318008</v>
      </c>
    </row>
    <row r="845">
      <c r="A845" t="inlineStr">
        <is>
          <t>2023-10-26</t>
        </is>
      </c>
      <c r="B845" t="n">
        <v>34504.2890625</v>
      </c>
      <c r="C845" t="n">
        <v>34832.91015625</v>
      </c>
      <c r="D845" t="n">
        <v>33762.32421875</v>
      </c>
      <c r="E845" t="n">
        <v>34156.6484375</v>
      </c>
      <c r="F845" t="n">
        <v>19427195376</v>
      </c>
    </row>
    <row r="846">
      <c r="A846" t="inlineStr">
        <is>
          <t>2023-10-27</t>
        </is>
      </c>
      <c r="B846" t="n">
        <v>34156.5</v>
      </c>
      <c r="C846" t="n">
        <v>34238.2109375</v>
      </c>
      <c r="D846" t="n">
        <v>33416.88671875</v>
      </c>
      <c r="E846" t="n">
        <v>33909.80078125</v>
      </c>
      <c r="F846" t="n">
        <v>16418032871</v>
      </c>
    </row>
    <row r="847">
      <c r="A847" t="inlineStr">
        <is>
          <t>2023-10-28</t>
        </is>
      </c>
      <c r="B847" t="n">
        <v>33907.72265625</v>
      </c>
      <c r="C847" t="n">
        <v>34399.390625</v>
      </c>
      <c r="D847" t="n">
        <v>33874.8046875</v>
      </c>
      <c r="E847" t="n">
        <v>34089.57421875</v>
      </c>
      <c r="F847" t="n">
        <v>10160330825</v>
      </c>
    </row>
    <row r="848">
      <c r="A848" t="inlineStr">
        <is>
          <t>2023-10-29</t>
        </is>
      </c>
      <c r="B848" t="n">
        <v>34089.37109375</v>
      </c>
      <c r="C848" t="n">
        <v>34743.26171875</v>
      </c>
      <c r="D848" t="n">
        <v>33947.56640625</v>
      </c>
      <c r="E848" t="n">
        <v>34538.48046875</v>
      </c>
      <c r="F848" t="n">
        <v>11160323986</v>
      </c>
    </row>
    <row r="849">
      <c r="A849" t="inlineStr">
        <is>
          <t>2023-10-30</t>
        </is>
      </c>
      <c r="B849" t="n">
        <v>34531.7421875</v>
      </c>
      <c r="C849" t="n">
        <v>34843.93359375</v>
      </c>
      <c r="D849" t="n">
        <v>34110.97265625</v>
      </c>
      <c r="E849" t="n">
        <v>34502.36328125</v>
      </c>
      <c r="F849" t="n">
        <v>17184860315</v>
      </c>
    </row>
    <row r="850">
      <c r="A850" t="inlineStr">
        <is>
          <t>2023-10-31</t>
        </is>
      </c>
      <c r="B850" t="n">
        <v>34500.078125</v>
      </c>
      <c r="C850" t="n">
        <v>34719.25390625</v>
      </c>
      <c r="D850" t="n">
        <v>34083.30859375</v>
      </c>
      <c r="E850" t="n">
        <v>34667.78125</v>
      </c>
      <c r="F850" t="n">
        <v>15758270810</v>
      </c>
    </row>
    <row r="851">
      <c r="A851" t="inlineStr">
        <is>
          <t>2023-11-01</t>
        </is>
      </c>
      <c r="B851" t="n">
        <v>34657.2734375</v>
      </c>
      <c r="C851" t="n">
        <v>35527.9296875</v>
      </c>
      <c r="D851" t="n">
        <v>34170.69140625</v>
      </c>
      <c r="E851" t="n">
        <v>35437.25390625</v>
      </c>
      <c r="F851" t="n">
        <v>22446272005</v>
      </c>
    </row>
    <row r="852">
      <c r="A852" t="inlineStr">
        <is>
          <t>2023-11-02</t>
        </is>
      </c>
      <c r="B852" t="n">
        <v>35441.578125</v>
      </c>
      <c r="C852" t="n">
        <v>35919.84375</v>
      </c>
      <c r="D852" t="n">
        <v>34401.57421875</v>
      </c>
      <c r="E852" t="n">
        <v>34938.2421875</v>
      </c>
      <c r="F852" t="n">
        <v>20998158544</v>
      </c>
    </row>
    <row r="853">
      <c r="A853" t="inlineStr">
        <is>
          <t>2023-11-03</t>
        </is>
      </c>
      <c r="B853" t="n">
        <v>34942.47265625</v>
      </c>
      <c r="C853" t="n">
        <v>34942.47265625</v>
      </c>
      <c r="D853" t="n">
        <v>34133.44140625</v>
      </c>
      <c r="E853" t="n">
        <v>34732.32421875</v>
      </c>
      <c r="F853" t="n">
        <v>17158456701</v>
      </c>
    </row>
    <row r="854">
      <c r="A854" t="inlineStr">
        <is>
          <t>2023-11-04</t>
        </is>
      </c>
      <c r="B854" t="n">
        <v>34736.32421875</v>
      </c>
      <c r="C854" t="n">
        <v>35256.03125</v>
      </c>
      <c r="D854" t="n">
        <v>34616.69140625</v>
      </c>
      <c r="E854" t="n">
        <v>35082.1953125</v>
      </c>
      <c r="F854" t="n">
        <v>9561294264</v>
      </c>
    </row>
    <row r="855">
      <c r="A855" t="inlineStr">
        <is>
          <t>2023-11-05</t>
        </is>
      </c>
      <c r="B855" t="n">
        <v>35090.01171875</v>
      </c>
      <c r="C855" t="n">
        <v>35340.33984375</v>
      </c>
      <c r="D855" t="n">
        <v>34594.2421875</v>
      </c>
      <c r="E855" t="n">
        <v>35049.35546875</v>
      </c>
      <c r="F855" t="n">
        <v>12412743996</v>
      </c>
    </row>
    <row r="856">
      <c r="A856" t="inlineStr">
        <is>
          <t>2023-11-06</t>
        </is>
      </c>
      <c r="B856" t="n">
        <v>35044.7890625</v>
      </c>
      <c r="C856" t="n">
        <v>35286.02734375</v>
      </c>
      <c r="D856" t="n">
        <v>34765.36328125</v>
      </c>
      <c r="E856" t="n">
        <v>35037.37109375</v>
      </c>
      <c r="F856" t="n">
        <v>12693436420</v>
      </c>
    </row>
    <row r="857">
      <c r="A857" t="inlineStr">
        <is>
          <t>2023-11-07</t>
        </is>
      </c>
      <c r="B857" t="n">
        <v>35047.79296875</v>
      </c>
      <c r="C857" t="n">
        <v>35892.41796875</v>
      </c>
      <c r="D857" t="n">
        <v>34545.81640625</v>
      </c>
      <c r="E857" t="n">
        <v>35443.5625</v>
      </c>
      <c r="F857" t="n">
        <v>18834737789</v>
      </c>
    </row>
    <row r="858">
      <c r="A858" t="inlineStr">
        <is>
          <t>2023-11-08</t>
        </is>
      </c>
      <c r="B858" t="n">
        <v>35419.4765625</v>
      </c>
      <c r="C858" t="n">
        <v>35994.41796875</v>
      </c>
      <c r="D858" t="n">
        <v>35147.80078125</v>
      </c>
      <c r="E858" t="n">
        <v>35655.27734375</v>
      </c>
      <c r="F858" t="n">
        <v>17295394918</v>
      </c>
    </row>
    <row r="859">
      <c r="A859" t="inlineStr">
        <is>
          <t>2023-11-09</t>
        </is>
      </c>
      <c r="B859" t="n">
        <v>35633.6328125</v>
      </c>
      <c r="C859" t="n">
        <v>37926.2578125</v>
      </c>
      <c r="D859" t="n">
        <v>35592.1015625</v>
      </c>
      <c r="E859" t="n">
        <v>36693.125</v>
      </c>
      <c r="F859" t="n">
        <v>37762672382</v>
      </c>
    </row>
    <row r="860">
      <c r="A860" t="inlineStr">
        <is>
          <t>2023-11-10</t>
        </is>
      </c>
      <c r="B860" t="n">
        <v>36702.25</v>
      </c>
      <c r="C860" t="n">
        <v>37493.80078125</v>
      </c>
      <c r="D860" t="n">
        <v>36362.75390625</v>
      </c>
      <c r="E860" t="n">
        <v>37313.96875</v>
      </c>
      <c r="F860" t="n">
        <v>22711265155</v>
      </c>
    </row>
    <row r="861">
      <c r="A861" t="inlineStr">
        <is>
          <t>2023-11-11</t>
        </is>
      </c>
      <c r="B861" t="n">
        <v>37310.0703125</v>
      </c>
      <c r="C861" t="n">
        <v>37407.09375</v>
      </c>
      <c r="D861" t="n">
        <v>36773.66796875</v>
      </c>
      <c r="E861" t="n">
        <v>37138.05078125</v>
      </c>
      <c r="F861" t="n">
        <v>13924272142</v>
      </c>
    </row>
    <row r="862">
      <c r="A862" t="inlineStr">
        <is>
          <t>2023-11-12</t>
        </is>
      </c>
      <c r="B862" t="n">
        <v>37133.9921875</v>
      </c>
      <c r="C862" t="n">
        <v>37227.69140625</v>
      </c>
      <c r="D862" t="n">
        <v>36779.1171875</v>
      </c>
      <c r="E862" t="n">
        <v>37054.51953125</v>
      </c>
      <c r="F862" t="n">
        <v>11545715999</v>
      </c>
    </row>
    <row r="863">
      <c r="A863" t="inlineStr">
        <is>
          <t>2023-11-13</t>
        </is>
      </c>
      <c r="B863" t="n">
        <v>37070.3046875</v>
      </c>
      <c r="C863" t="n">
        <v>37405.1171875</v>
      </c>
      <c r="D863" t="n">
        <v>36399.60546875</v>
      </c>
      <c r="E863" t="n">
        <v>36502.35546875</v>
      </c>
      <c r="F863" t="n">
        <v>19057712790</v>
      </c>
    </row>
    <row r="864">
      <c r="A864" t="inlineStr">
        <is>
          <t>2023-11-14</t>
        </is>
      </c>
      <c r="B864" t="n">
        <v>36491.7890625</v>
      </c>
      <c r="C864" t="n">
        <v>36753.3515625</v>
      </c>
      <c r="D864" t="n">
        <v>34948.5</v>
      </c>
      <c r="E864" t="n">
        <v>35537.640625</v>
      </c>
      <c r="F864" t="n">
        <v>23857403554</v>
      </c>
    </row>
    <row r="865">
      <c r="A865" t="inlineStr">
        <is>
          <t>2023-11-15</t>
        </is>
      </c>
      <c r="B865" t="n">
        <v>35548.11328125</v>
      </c>
      <c r="C865" t="n">
        <v>37964.89453125</v>
      </c>
      <c r="D865" t="n">
        <v>35383.78125</v>
      </c>
      <c r="E865" t="n">
        <v>37880.58203125</v>
      </c>
      <c r="F865" t="n">
        <v>27365821679</v>
      </c>
    </row>
    <row r="866">
      <c r="A866" t="inlineStr">
        <is>
          <t>2023-11-16</t>
        </is>
      </c>
      <c r="B866" t="n">
        <v>37879.98046875</v>
      </c>
      <c r="C866" t="n">
        <v>37934.625</v>
      </c>
      <c r="D866" t="n">
        <v>35545.47265625</v>
      </c>
      <c r="E866" t="n">
        <v>36154.76953125</v>
      </c>
      <c r="F866" t="n">
        <v>26007385366</v>
      </c>
    </row>
    <row r="867">
      <c r="A867" t="inlineStr">
        <is>
          <t>2023-11-17</t>
        </is>
      </c>
      <c r="B867" t="n">
        <v>36164.82421875</v>
      </c>
      <c r="C867" t="n">
        <v>36704.484375</v>
      </c>
      <c r="D867" t="n">
        <v>35901.234375</v>
      </c>
      <c r="E867" t="n">
        <v>36596.68359375</v>
      </c>
      <c r="F867" t="n">
        <v>22445028430</v>
      </c>
    </row>
    <row r="868">
      <c r="A868" t="inlineStr">
        <is>
          <t>2023-11-18</t>
        </is>
      </c>
      <c r="B868" t="n">
        <v>36625.37109375</v>
      </c>
      <c r="C868" t="n">
        <v>36839.28125</v>
      </c>
      <c r="D868" t="n">
        <v>36233.3125</v>
      </c>
      <c r="E868" t="n">
        <v>36585.703125</v>
      </c>
      <c r="F868" t="n">
        <v>11886022717</v>
      </c>
    </row>
    <row r="869">
      <c r="A869" t="inlineStr">
        <is>
          <t>2023-11-19</t>
        </is>
      </c>
      <c r="B869" t="n">
        <v>36585.765625</v>
      </c>
      <c r="C869" t="n">
        <v>37509.35546875</v>
      </c>
      <c r="D869" t="n">
        <v>36414.59765625</v>
      </c>
      <c r="E869" t="n">
        <v>37386.546875</v>
      </c>
      <c r="F869" t="n">
        <v>12915986553</v>
      </c>
    </row>
    <row r="870">
      <c r="A870" t="inlineStr">
        <is>
          <t>2023-11-20</t>
        </is>
      </c>
      <c r="B870" t="n">
        <v>37374.07421875</v>
      </c>
      <c r="C870" t="n">
        <v>37756.8203125</v>
      </c>
      <c r="D870" t="n">
        <v>36882.53125</v>
      </c>
      <c r="E870" t="n">
        <v>37476.95703125</v>
      </c>
      <c r="F870" t="n">
        <v>20888209068</v>
      </c>
    </row>
    <row r="871">
      <c r="A871" t="inlineStr">
        <is>
          <t>2023-11-21</t>
        </is>
      </c>
      <c r="B871" t="n">
        <v>37469.16015625</v>
      </c>
      <c r="C871" t="n">
        <v>37631.140625</v>
      </c>
      <c r="D871" t="n">
        <v>35813.8125</v>
      </c>
      <c r="E871" t="n">
        <v>35813.8125</v>
      </c>
      <c r="F871" t="n">
        <v>25172163756</v>
      </c>
    </row>
    <row r="872">
      <c r="A872" t="inlineStr">
        <is>
          <t>2023-11-22</t>
        </is>
      </c>
      <c r="B872" t="n">
        <v>35756.5546875</v>
      </c>
      <c r="C872" t="n">
        <v>37856.98046875</v>
      </c>
      <c r="D872" t="n">
        <v>35670.97265625</v>
      </c>
      <c r="E872" t="n">
        <v>37432.33984375</v>
      </c>
      <c r="F872" t="n">
        <v>24397247860</v>
      </c>
    </row>
    <row r="873">
      <c r="A873" t="inlineStr">
        <is>
          <t>2023-11-23</t>
        </is>
      </c>
      <c r="B873" t="n">
        <v>37420.43359375</v>
      </c>
      <c r="C873" t="n">
        <v>37643.91796875</v>
      </c>
      <c r="D873" t="n">
        <v>36923.86328125</v>
      </c>
      <c r="E873" t="n">
        <v>37289.62109375</v>
      </c>
      <c r="F873" t="n">
        <v>14214948217</v>
      </c>
    </row>
    <row r="874">
      <c r="A874" t="inlineStr">
        <is>
          <t>2023-11-24</t>
        </is>
      </c>
      <c r="B874" t="n">
        <v>37296.31640625</v>
      </c>
      <c r="C874" t="n">
        <v>38415.33984375</v>
      </c>
      <c r="D874" t="n">
        <v>37261.60546875</v>
      </c>
      <c r="E874" t="n">
        <v>37720.28125</v>
      </c>
      <c r="F874" t="n">
        <v>22922957823</v>
      </c>
    </row>
    <row r="875">
      <c r="A875" t="inlineStr">
        <is>
          <t>2023-11-25</t>
        </is>
      </c>
      <c r="B875" t="n">
        <v>37721.4140625</v>
      </c>
      <c r="C875" t="n">
        <v>37892.4296875</v>
      </c>
      <c r="D875" t="n">
        <v>37617.41796875</v>
      </c>
      <c r="E875" t="n">
        <v>37796.79296875</v>
      </c>
      <c r="F875" t="n">
        <v>9099571165</v>
      </c>
    </row>
    <row r="876">
      <c r="A876" t="inlineStr">
        <is>
          <t>2023-11-26</t>
        </is>
      </c>
      <c r="B876" t="n">
        <v>37796.828125</v>
      </c>
      <c r="C876" t="n">
        <v>37820.30078125</v>
      </c>
      <c r="D876" t="n">
        <v>37162.75</v>
      </c>
      <c r="E876" t="n">
        <v>37479.12109375</v>
      </c>
      <c r="F876" t="n">
        <v>13744796068</v>
      </c>
    </row>
    <row r="877">
      <c r="A877" t="inlineStr">
        <is>
          <t>2023-11-27</t>
        </is>
      </c>
      <c r="B877" t="n">
        <v>37454.19140625</v>
      </c>
      <c r="C877" t="n">
        <v>37559.35546875</v>
      </c>
      <c r="D877" t="n">
        <v>36750.12890625</v>
      </c>
      <c r="E877" t="n">
        <v>37254.16796875</v>
      </c>
      <c r="F877" t="n">
        <v>19002925720</v>
      </c>
    </row>
    <row r="878">
      <c r="A878" t="inlineStr">
        <is>
          <t>2023-11-28</t>
        </is>
      </c>
      <c r="B878" t="n">
        <v>37247.9921875</v>
      </c>
      <c r="C878" t="n">
        <v>38368.48046875</v>
      </c>
      <c r="D878" t="n">
        <v>36891.08984375</v>
      </c>
      <c r="E878" t="n">
        <v>37831.0859375</v>
      </c>
      <c r="F878" t="n">
        <v>21696137014</v>
      </c>
    </row>
    <row r="879">
      <c r="A879" t="inlineStr">
        <is>
          <t>2023-11-29</t>
        </is>
      </c>
      <c r="B879" t="n">
        <v>37826.10546875</v>
      </c>
      <c r="C879" t="n">
        <v>38366.11328125</v>
      </c>
      <c r="D879" t="n">
        <v>37612.6328125</v>
      </c>
      <c r="E879" t="n">
        <v>37858.4921875</v>
      </c>
      <c r="F879" t="n">
        <v>20728546658</v>
      </c>
    </row>
    <row r="880">
      <c r="A880" t="inlineStr">
        <is>
          <t>2023-11-30</t>
        </is>
      </c>
      <c r="B880" t="n">
        <v>37861.1171875</v>
      </c>
      <c r="C880" t="n">
        <v>38141.75390625</v>
      </c>
      <c r="D880" t="n">
        <v>37531.140625</v>
      </c>
      <c r="E880" t="n">
        <v>37712.74609375</v>
      </c>
      <c r="F880" t="n">
        <v>18115982627</v>
      </c>
    </row>
    <row r="881">
      <c r="A881" t="inlineStr">
        <is>
          <t>2023-12-01</t>
        </is>
      </c>
      <c r="B881" t="n">
        <v>37718.0078125</v>
      </c>
      <c r="C881" t="n">
        <v>38954.109375</v>
      </c>
      <c r="D881" t="n">
        <v>37629.359375</v>
      </c>
      <c r="E881" t="n">
        <v>38688.75</v>
      </c>
      <c r="F881" t="n">
        <v>23512784002</v>
      </c>
    </row>
    <row r="882">
      <c r="A882" t="inlineStr">
        <is>
          <t>2023-12-02</t>
        </is>
      </c>
      <c r="B882" t="n">
        <v>38689.27734375</v>
      </c>
      <c r="C882" t="n">
        <v>39678.9375</v>
      </c>
      <c r="D882" t="n">
        <v>38652.59375</v>
      </c>
      <c r="E882" t="n">
        <v>39476.33203125</v>
      </c>
      <c r="F882" t="n">
        <v>15534035612</v>
      </c>
    </row>
    <row r="883">
      <c r="A883" t="inlineStr">
        <is>
          <t>2023-12-03</t>
        </is>
      </c>
      <c r="B883" t="n">
        <v>39472.20703125</v>
      </c>
      <c r="C883" t="n">
        <v>40135.60546875</v>
      </c>
      <c r="D883" t="n">
        <v>39298.1640625</v>
      </c>
      <c r="E883" t="n">
        <v>39978.390625</v>
      </c>
      <c r="F883" t="n">
        <v>15769696322</v>
      </c>
    </row>
    <row r="884">
      <c r="A884" t="inlineStr">
        <is>
          <t>2023-12-04</t>
        </is>
      </c>
      <c r="B884" t="n">
        <v>39978.62890625</v>
      </c>
      <c r="C884" t="n">
        <v>42371.75</v>
      </c>
      <c r="D884" t="n">
        <v>39978.62890625</v>
      </c>
      <c r="E884" t="n">
        <v>41980.09765625</v>
      </c>
      <c r="F884" t="n">
        <v>39856129827</v>
      </c>
    </row>
    <row r="885">
      <c r="A885" t="inlineStr">
        <is>
          <t>2023-12-05</t>
        </is>
      </c>
      <c r="B885" t="n">
        <v>41986.265625</v>
      </c>
      <c r="C885" t="n">
        <v>44408.6640625</v>
      </c>
      <c r="D885" t="n">
        <v>41421.1484375</v>
      </c>
      <c r="E885" t="n">
        <v>44080.6484375</v>
      </c>
      <c r="F885" t="n">
        <v>36312154535</v>
      </c>
    </row>
    <row r="886">
      <c r="A886" t="inlineStr">
        <is>
          <t>2023-12-06</t>
        </is>
      </c>
      <c r="B886" t="n">
        <v>44080.0234375</v>
      </c>
      <c r="C886" t="n">
        <v>44265.76953125</v>
      </c>
      <c r="D886" t="n">
        <v>43478.08203125</v>
      </c>
      <c r="E886" t="n">
        <v>43746.4453125</v>
      </c>
      <c r="F886" t="n">
        <v>29909761586</v>
      </c>
    </row>
    <row r="887">
      <c r="A887" t="inlineStr">
        <is>
          <t>2023-12-07</t>
        </is>
      </c>
      <c r="B887" t="n">
        <v>43769.1328125</v>
      </c>
      <c r="C887" t="n">
        <v>44042.58984375</v>
      </c>
      <c r="D887" t="n">
        <v>42880.6484375</v>
      </c>
      <c r="E887" t="n">
        <v>43292.6640625</v>
      </c>
      <c r="F887" t="n">
        <v>27635760671</v>
      </c>
    </row>
    <row r="888">
      <c r="A888" t="inlineStr">
        <is>
          <t>2023-12-08</t>
        </is>
      </c>
      <c r="B888" t="n">
        <v>43293.13671875</v>
      </c>
      <c r="C888" t="n">
        <v>44705.515625</v>
      </c>
      <c r="D888" t="n">
        <v>43125.296875</v>
      </c>
      <c r="E888" t="n">
        <v>44166.6015625</v>
      </c>
      <c r="F888" t="n">
        <v>24421116687</v>
      </c>
    </row>
    <row r="889">
      <c r="A889" t="inlineStr">
        <is>
          <t>2023-12-09</t>
        </is>
      </c>
      <c r="B889" t="n">
        <v>44180.01953125</v>
      </c>
      <c r="C889" t="n">
        <v>44361.2578125</v>
      </c>
      <c r="D889" t="n">
        <v>43627.59765625</v>
      </c>
      <c r="E889" t="n">
        <v>43725.984375</v>
      </c>
      <c r="F889" t="n">
        <v>17368210171</v>
      </c>
    </row>
    <row r="890">
      <c r="A890" t="inlineStr">
        <is>
          <t>2023-12-10</t>
        </is>
      </c>
      <c r="B890" t="n">
        <v>43728.3828125</v>
      </c>
      <c r="C890" t="n">
        <v>44034.625</v>
      </c>
      <c r="D890" t="n">
        <v>43593.28515625</v>
      </c>
      <c r="E890" t="n">
        <v>43779.69921875</v>
      </c>
      <c r="F890" t="n">
        <v>13000481418</v>
      </c>
    </row>
    <row r="891">
      <c r="A891" t="inlineStr">
        <is>
          <t>2023-12-11</t>
        </is>
      </c>
      <c r="B891" t="n">
        <v>43792.01953125</v>
      </c>
      <c r="C891" t="n">
        <v>43808.375</v>
      </c>
      <c r="D891" t="n">
        <v>40234.578125</v>
      </c>
      <c r="E891" t="n">
        <v>41243.83203125</v>
      </c>
      <c r="F891" t="n">
        <v>40632672038</v>
      </c>
    </row>
    <row r="892">
      <c r="A892" t="inlineStr">
        <is>
          <t>2023-12-12</t>
        </is>
      </c>
      <c r="B892" t="n">
        <v>41238.734375</v>
      </c>
      <c r="C892" t="n">
        <v>42048.3046875</v>
      </c>
      <c r="D892" t="n">
        <v>40667.5625</v>
      </c>
      <c r="E892" t="n">
        <v>41450.22265625</v>
      </c>
      <c r="F892" t="n">
        <v>24779520132</v>
      </c>
    </row>
    <row r="893">
      <c r="A893" t="inlineStr">
        <is>
          <t>2023-12-13</t>
        </is>
      </c>
      <c r="B893" t="n">
        <v>41468.46484375</v>
      </c>
      <c r="C893" t="n">
        <v>43429.78125</v>
      </c>
      <c r="D893" t="n">
        <v>40676.8671875</v>
      </c>
      <c r="E893" t="n">
        <v>42890.7421875</v>
      </c>
      <c r="F893" t="n">
        <v>26797884674</v>
      </c>
    </row>
    <row r="894">
      <c r="A894" t="inlineStr">
        <is>
          <t>2023-12-14</t>
        </is>
      </c>
      <c r="B894" t="n">
        <v>42884.26171875</v>
      </c>
      <c r="C894" t="n">
        <v>43390.859375</v>
      </c>
      <c r="D894" t="n">
        <v>41767.08984375</v>
      </c>
      <c r="E894" t="n">
        <v>43023.97265625</v>
      </c>
      <c r="F894" t="n">
        <v>25578530178</v>
      </c>
    </row>
    <row r="895">
      <c r="A895" t="inlineStr">
        <is>
          <t>2023-12-15</t>
        </is>
      </c>
      <c r="B895" t="n">
        <v>43028.25</v>
      </c>
      <c r="C895" t="n">
        <v>43087.82421875</v>
      </c>
      <c r="D895" t="n">
        <v>41692.96875</v>
      </c>
      <c r="E895" t="n">
        <v>41929.7578125</v>
      </c>
      <c r="F895" t="n">
        <v>19639442462</v>
      </c>
    </row>
    <row r="896">
      <c r="A896" t="inlineStr">
        <is>
          <t>2023-12-16</t>
        </is>
      </c>
      <c r="B896" t="n">
        <v>41937.7421875</v>
      </c>
      <c r="C896" t="n">
        <v>42664.9453125</v>
      </c>
      <c r="D896" t="n">
        <v>41723.11328125</v>
      </c>
      <c r="E896" t="n">
        <v>42240.1171875</v>
      </c>
      <c r="F896" t="n">
        <v>14386729590</v>
      </c>
    </row>
    <row r="897">
      <c r="A897" t="inlineStr">
        <is>
          <t>2023-12-17</t>
        </is>
      </c>
      <c r="B897" t="n">
        <v>42236.109375</v>
      </c>
      <c r="C897" t="n">
        <v>42359.49609375</v>
      </c>
      <c r="D897" t="n">
        <v>41274.54296875</v>
      </c>
      <c r="E897" t="n">
        <v>41364.6640625</v>
      </c>
      <c r="F897" t="n">
        <v>16678702876</v>
      </c>
    </row>
    <row r="898">
      <c r="A898" t="inlineStr">
        <is>
          <t>2023-12-18</t>
        </is>
      </c>
      <c r="B898" t="n">
        <v>41348.203125</v>
      </c>
      <c r="C898" t="n">
        <v>42720.296875</v>
      </c>
      <c r="D898" t="n">
        <v>40530.2578125</v>
      </c>
      <c r="E898" t="n">
        <v>42623.5390625</v>
      </c>
      <c r="F898" t="n">
        <v>25224642008</v>
      </c>
    </row>
    <row r="899">
      <c r="A899" t="inlineStr">
        <is>
          <t>2023-12-19</t>
        </is>
      </c>
      <c r="B899" t="n">
        <v>42641.51171875</v>
      </c>
      <c r="C899" t="n">
        <v>43354.296875</v>
      </c>
      <c r="D899" t="n">
        <v>41826.3359375</v>
      </c>
      <c r="E899" t="n">
        <v>42270.52734375</v>
      </c>
      <c r="F899" t="n">
        <v>23171001281</v>
      </c>
    </row>
    <row r="900">
      <c r="A900" t="inlineStr">
        <is>
          <t>2023-12-20</t>
        </is>
      </c>
      <c r="B900" t="n">
        <v>42261.30078125</v>
      </c>
      <c r="C900" t="n">
        <v>44275.5859375</v>
      </c>
      <c r="D900" t="n">
        <v>42223.81640625</v>
      </c>
      <c r="E900" t="n">
        <v>43652.25</v>
      </c>
      <c r="F900" t="n">
        <v>27868908174</v>
      </c>
    </row>
    <row r="901">
      <c r="A901" t="inlineStr">
        <is>
          <t>2023-12-21</t>
        </is>
      </c>
      <c r="B901" t="n">
        <v>43648.125</v>
      </c>
      <c r="C901" t="n">
        <v>44240.66796875</v>
      </c>
      <c r="D901" t="n">
        <v>43330.05078125</v>
      </c>
      <c r="E901" t="n">
        <v>43869.15234375</v>
      </c>
      <c r="F901" t="n">
        <v>22452766169</v>
      </c>
    </row>
    <row r="902">
      <c r="A902" t="inlineStr">
        <is>
          <t>2023-12-22</t>
        </is>
      </c>
      <c r="B902" t="n">
        <v>43868.98828125</v>
      </c>
      <c r="C902" t="n">
        <v>44367.95703125</v>
      </c>
      <c r="D902" t="n">
        <v>43441.96875</v>
      </c>
      <c r="E902" t="n">
        <v>43997.90234375</v>
      </c>
      <c r="F902" t="n">
        <v>21028503216</v>
      </c>
    </row>
    <row r="903">
      <c r="A903" t="inlineStr">
        <is>
          <t>2023-12-23</t>
        </is>
      </c>
      <c r="B903" t="n">
        <v>44012.19921875</v>
      </c>
      <c r="C903" t="n">
        <v>44015.69921875</v>
      </c>
      <c r="D903" t="n">
        <v>43351.35546875</v>
      </c>
      <c r="E903" t="n">
        <v>43739.54296875</v>
      </c>
      <c r="F903" t="n">
        <v>13507796558</v>
      </c>
    </row>
    <row r="904">
      <c r="A904" t="inlineStr">
        <is>
          <t>2023-12-24</t>
        </is>
      </c>
      <c r="B904" t="n">
        <v>43728.3671875</v>
      </c>
      <c r="C904" t="n">
        <v>43945.5234375</v>
      </c>
      <c r="D904" t="n">
        <v>42786.91796875</v>
      </c>
      <c r="E904" t="n">
        <v>43016.1171875</v>
      </c>
      <c r="F904" t="n">
        <v>18830554085</v>
      </c>
    </row>
    <row r="905">
      <c r="A905" t="inlineStr">
        <is>
          <t>2023-12-25</t>
        </is>
      </c>
      <c r="B905" t="n">
        <v>43010.57421875</v>
      </c>
      <c r="C905" t="n">
        <v>43765.09375</v>
      </c>
      <c r="D905" t="n">
        <v>42765.76953125</v>
      </c>
      <c r="E905" t="n">
        <v>43613.140625</v>
      </c>
      <c r="F905" t="n">
        <v>21115795370</v>
      </c>
    </row>
    <row r="906">
      <c r="A906" t="inlineStr">
        <is>
          <t>2023-12-26</t>
        </is>
      </c>
      <c r="B906" t="n">
        <v>43599.84765625</v>
      </c>
      <c r="C906" t="n">
        <v>43603.17578125</v>
      </c>
      <c r="D906" t="n">
        <v>41676.48828125</v>
      </c>
      <c r="E906" t="n">
        <v>42520.40234375</v>
      </c>
      <c r="F906" t="n">
        <v>30026850982</v>
      </c>
    </row>
    <row r="907">
      <c r="A907" t="inlineStr">
        <is>
          <t>2023-12-27</t>
        </is>
      </c>
      <c r="B907" t="n">
        <v>42518.46875</v>
      </c>
      <c r="C907" t="n">
        <v>43683.16015625</v>
      </c>
      <c r="D907" t="n">
        <v>42167.58203125</v>
      </c>
      <c r="E907" t="n">
        <v>43442.85546875</v>
      </c>
      <c r="F907" t="n">
        <v>25260941032</v>
      </c>
    </row>
    <row r="908">
      <c r="A908" t="inlineStr">
        <is>
          <t>2023-12-28</t>
        </is>
      </c>
      <c r="B908" t="n">
        <v>43468.19921875</v>
      </c>
      <c r="C908" t="n">
        <v>43804.78125</v>
      </c>
      <c r="D908" t="n">
        <v>42318.55078125</v>
      </c>
      <c r="E908" t="n">
        <v>42627.85546875</v>
      </c>
      <c r="F908" t="n">
        <v>22992093014</v>
      </c>
    </row>
    <row r="909">
      <c r="A909" t="inlineStr">
        <is>
          <t>2023-12-29</t>
        </is>
      </c>
      <c r="B909" t="n">
        <v>42614.64453125</v>
      </c>
      <c r="C909" t="n">
        <v>43124.32421875</v>
      </c>
      <c r="D909" t="n">
        <v>41424.0625</v>
      </c>
      <c r="E909" t="n">
        <v>42099.40234375</v>
      </c>
      <c r="F909" t="n">
        <v>26000021055</v>
      </c>
    </row>
    <row r="910">
      <c r="A910" t="inlineStr">
        <is>
          <t>2023-12-30</t>
        </is>
      </c>
      <c r="B910" t="n">
        <v>42091.75390625</v>
      </c>
      <c r="C910" t="n">
        <v>42584.125</v>
      </c>
      <c r="D910" t="n">
        <v>41556.2265625</v>
      </c>
      <c r="E910" t="n">
        <v>42156.90234375</v>
      </c>
      <c r="F910" t="n">
        <v>16013925945</v>
      </c>
    </row>
    <row r="911">
      <c r="A911" t="inlineStr">
        <is>
          <t>2023-12-31</t>
        </is>
      </c>
      <c r="B911" t="n">
        <v>42152.09765625</v>
      </c>
      <c r="C911" t="n">
        <v>42860.9375</v>
      </c>
      <c r="D911" t="n">
        <v>41998.25390625</v>
      </c>
      <c r="E911" t="n">
        <v>42265.1875</v>
      </c>
      <c r="F911" t="n">
        <v>16397498810</v>
      </c>
    </row>
    <row r="912">
      <c r="A912" t="inlineStr">
        <is>
          <t>2024-01-01</t>
        </is>
      </c>
      <c r="B912" t="n">
        <v>42280.234375</v>
      </c>
      <c r="C912" t="n">
        <v>44175.4375</v>
      </c>
      <c r="D912" t="n">
        <v>42214.9765625</v>
      </c>
      <c r="E912" t="n">
        <v>44167.33203125</v>
      </c>
      <c r="F912" t="n">
        <v>18426978443</v>
      </c>
    </row>
    <row r="913">
      <c r="A913" t="inlineStr">
        <is>
          <t>2024-01-02</t>
        </is>
      </c>
      <c r="B913" t="n">
        <v>44187.140625</v>
      </c>
      <c r="C913" t="n">
        <v>45899.70703125</v>
      </c>
      <c r="D913" t="n">
        <v>44176.94921875</v>
      </c>
      <c r="E913" t="n">
        <v>44957.96875</v>
      </c>
      <c r="F913" t="n">
        <v>39335274536</v>
      </c>
    </row>
    <row r="914">
      <c r="A914" t="inlineStr">
        <is>
          <t>2024-01-03</t>
        </is>
      </c>
      <c r="B914" t="n">
        <v>44961.6015625</v>
      </c>
      <c r="C914" t="n">
        <v>45503.2421875</v>
      </c>
      <c r="D914" t="n">
        <v>40813.53515625</v>
      </c>
      <c r="E914" t="n">
        <v>42848.17578125</v>
      </c>
      <c r="F914" t="n">
        <v>46342323118</v>
      </c>
    </row>
    <row r="915">
      <c r="A915" t="inlineStr">
        <is>
          <t>2024-01-04</t>
        </is>
      </c>
      <c r="B915" t="n">
        <v>42855.81640625</v>
      </c>
      <c r="C915" t="n">
        <v>44770.0234375</v>
      </c>
      <c r="D915" t="n">
        <v>42675.17578125</v>
      </c>
      <c r="E915" t="n">
        <v>44179.921875</v>
      </c>
      <c r="F915" t="n">
        <v>30448091210</v>
      </c>
    </row>
    <row r="916">
      <c r="A916" t="inlineStr">
        <is>
          <t>2024-01-05</t>
        </is>
      </c>
      <c r="B916" t="n">
        <v>44192.98046875</v>
      </c>
      <c r="C916" t="n">
        <v>44353.28515625</v>
      </c>
      <c r="D916" t="n">
        <v>42784.71875</v>
      </c>
      <c r="E916" t="n">
        <v>44162.69140625</v>
      </c>
      <c r="F916" t="n">
        <v>32336029347</v>
      </c>
    </row>
    <row r="917">
      <c r="A917" t="inlineStr">
        <is>
          <t>2024-01-06</t>
        </is>
      </c>
      <c r="B917" t="n">
        <v>44178.953125</v>
      </c>
      <c r="C917" t="n">
        <v>44227.6328125</v>
      </c>
      <c r="D917" t="n">
        <v>43475.15625</v>
      </c>
      <c r="E917" t="n">
        <v>43989.1953125</v>
      </c>
      <c r="F917" t="n">
        <v>16092503468</v>
      </c>
    </row>
    <row r="918">
      <c r="A918" t="inlineStr">
        <is>
          <t>2024-01-07</t>
        </is>
      </c>
      <c r="B918" t="n">
        <v>43998.46484375</v>
      </c>
      <c r="C918" t="n">
        <v>44495.5703125</v>
      </c>
      <c r="D918" t="n">
        <v>43662.23046875</v>
      </c>
      <c r="E918" t="n">
        <v>43943.09765625</v>
      </c>
      <c r="F918" t="n">
        <v>19330573863</v>
      </c>
    </row>
    <row r="919">
      <c r="A919" t="inlineStr">
        <is>
          <t>2024-01-08</t>
        </is>
      </c>
      <c r="B919" t="n">
        <v>43948.70703125</v>
      </c>
      <c r="C919" t="n">
        <v>47218</v>
      </c>
      <c r="D919" t="n">
        <v>43244.08203125</v>
      </c>
      <c r="E919" t="n">
        <v>46970.50390625</v>
      </c>
      <c r="F919" t="n">
        <v>42746192015</v>
      </c>
    </row>
    <row r="920">
      <c r="A920" t="inlineStr">
        <is>
          <t>2024-01-09</t>
        </is>
      </c>
      <c r="B920" t="n">
        <v>46987.640625</v>
      </c>
      <c r="C920" t="n">
        <v>47893.69921875</v>
      </c>
      <c r="D920" t="n">
        <v>45244.71484375</v>
      </c>
      <c r="E920" t="n">
        <v>46139.73046875</v>
      </c>
      <c r="F920" t="n">
        <v>39821290992</v>
      </c>
    </row>
    <row r="921">
      <c r="A921" t="inlineStr">
        <is>
          <t>2024-01-10</t>
        </is>
      </c>
      <c r="B921" t="n">
        <v>46121.5390625</v>
      </c>
      <c r="C921" t="n">
        <v>47647.22265625</v>
      </c>
      <c r="D921" t="n">
        <v>44483.15234375</v>
      </c>
      <c r="E921" t="n">
        <v>46627.77734375</v>
      </c>
      <c r="F921" t="n">
        <v>50114613298</v>
      </c>
    </row>
    <row r="922">
      <c r="A922" t="inlineStr">
        <is>
          <t>2024-01-11</t>
        </is>
      </c>
      <c r="B922" t="n">
        <v>46656.07421875</v>
      </c>
      <c r="C922" t="n">
        <v>48969.37109375</v>
      </c>
      <c r="D922" t="n">
        <v>45678.64453125</v>
      </c>
      <c r="E922" t="n">
        <v>46368.5859375</v>
      </c>
      <c r="F922" t="n">
        <v>45833734549</v>
      </c>
    </row>
    <row r="923">
      <c r="A923" t="inlineStr">
        <is>
          <t>2024-01-12</t>
        </is>
      </c>
      <c r="B923" t="n">
        <v>46354.79296875</v>
      </c>
      <c r="C923" t="n">
        <v>46498.13671875</v>
      </c>
      <c r="D923" t="n">
        <v>41903.76953125</v>
      </c>
      <c r="E923" t="n">
        <v>42853.16796875</v>
      </c>
      <c r="F923" t="n">
        <v>43332698900</v>
      </c>
    </row>
    <row r="924">
      <c r="A924" t="inlineStr">
        <is>
          <t>2024-01-13</t>
        </is>
      </c>
      <c r="B924" t="n">
        <v>42799.4453125</v>
      </c>
      <c r="C924" t="n">
        <v>43234.66015625</v>
      </c>
      <c r="D924" t="n">
        <v>42464.14453125</v>
      </c>
      <c r="E924" t="n">
        <v>42842.3828125</v>
      </c>
      <c r="F924" t="n">
        <v>20601860469</v>
      </c>
    </row>
    <row r="925">
      <c r="A925" t="inlineStr">
        <is>
          <t>2024-01-14</t>
        </is>
      </c>
      <c r="B925" t="n">
        <v>42842.26171875</v>
      </c>
      <c r="C925" t="n">
        <v>43065.59765625</v>
      </c>
      <c r="D925" t="n">
        <v>41724.61328125</v>
      </c>
      <c r="E925" t="n">
        <v>41796.26953125</v>
      </c>
      <c r="F925" t="n">
        <v>17521429522</v>
      </c>
    </row>
    <row r="926">
      <c r="A926" t="inlineStr">
        <is>
          <t>2024-01-15</t>
        </is>
      </c>
      <c r="B926" t="n">
        <v>41715.06640625</v>
      </c>
      <c r="C926" t="n">
        <v>43319.72265625</v>
      </c>
      <c r="D926" t="n">
        <v>41705.41796875</v>
      </c>
      <c r="E926" t="n">
        <v>42511.96875</v>
      </c>
      <c r="F926" t="n">
        <v>22320220558</v>
      </c>
    </row>
    <row r="927">
      <c r="A927" t="inlineStr">
        <is>
          <t>2024-01-16</t>
        </is>
      </c>
      <c r="B927" t="n">
        <v>42499.3359375</v>
      </c>
      <c r="C927" t="n">
        <v>43566.2734375</v>
      </c>
      <c r="D927" t="n">
        <v>42085.99609375</v>
      </c>
      <c r="E927" t="n">
        <v>43154.9453125</v>
      </c>
      <c r="F927" t="n">
        <v>24062872740</v>
      </c>
    </row>
    <row r="928">
      <c r="A928" t="inlineStr">
        <is>
          <t>2024-01-17</t>
        </is>
      </c>
      <c r="B928" t="n">
        <v>43132.1015625</v>
      </c>
      <c r="C928" t="n">
        <v>43189.890625</v>
      </c>
      <c r="D928" t="n">
        <v>42189.30859375</v>
      </c>
      <c r="E928" t="n">
        <v>42742.65234375</v>
      </c>
      <c r="F928" t="n">
        <v>20851232595</v>
      </c>
    </row>
    <row r="929">
      <c r="A929" t="inlineStr">
        <is>
          <t>2024-01-18</t>
        </is>
      </c>
      <c r="B929" t="n">
        <v>42742.3125</v>
      </c>
      <c r="C929" t="n">
        <v>42876.34765625</v>
      </c>
      <c r="D929" t="n">
        <v>40631.171875</v>
      </c>
      <c r="E929" t="n">
        <v>41262.05859375</v>
      </c>
      <c r="F929" t="n">
        <v>25218357242</v>
      </c>
    </row>
    <row r="930">
      <c r="A930" t="inlineStr">
        <is>
          <t>2024-01-19</t>
        </is>
      </c>
      <c r="B930" t="n">
        <v>41278.4609375</v>
      </c>
      <c r="C930" t="n">
        <v>42134.16015625</v>
      </c>
      <c r="D930" t="n">
        <v>40297.45703125</v>
      </c>
      <c r="E930" t="n">
        <v>41618.40625</v>
      </c>
      <c r="F930" t="n">
        <v>25752407154</v>
      </c>
    </row>
    <row r="931">
      <c r="A931" t="inlineStr">
        <is>
          <t>2024-01-20</t>
        </is>
      </c>
      <c r="B931" t="n">
        <v>41624.58984375</v>
      </c>
      <c r="C931" t="n">
        <v>41877.89453125</v>
      </c>
      <c r="D931" t="n">
        <v>41446.82421875</v>
      </c>
      <c r="E931" t="n">
        <v>41665.5859375</v>
      </c>
      <c r="F931" t="n">
        <v>11586690904</v>
      </c>
    </row>
    <row r="932">
      <c r="A932" t="inlineStr">
        <is>
          <t>2024-01-21</t>
        </is>
      </c>
      <c r="B932" t="n">
        <v>41671.48828125</v>
      </c>
      <c r="C932" t="n">
        <v>41855.3671875</v>
      </c>
      <c r="D932" t="n">
        <v>41497.0078125</v>
      </c>
      <c r="E932" t="n">
        <v>41545.78515625</v>
      </c>
      <c r="F932" t="n">
        <v>9344043642</v>
      </c>
    </row>
    <row r="933">
      <c r="A933" t="inlineStr">
        <is>
          <t>2024-01-22</t>
        </is>
      </c>
      <c r="B933" t="n">
        <v>41553.65234375</v>
      </c>
      <c r="C933" t="n">
        <v>41651.20703125</v>
      </c>
      <c r="D933" t="n">
        <v>39450.1171875</v>
      </c>
      <c r="E933" t="n">
        <v>39507.3671875</v>
      </c>
      <c r="F933" t="n">
        <v>31338708143</v>
      </c>
    </row>
    <row r="934">
      <c r="A934" t="inlineStr">
        <is>
          <t>2024-01-23</t>
        </is>
      </c>
      <c r="B934" t="n">
        <v>39518.71484375</v>
      </c>
      <c r="C934" t="n">
        <v>40127.3515625</v>
      </c>
      <c r="D934" t="n">
        <v>38521.89453125</v>
      </c>
      <c r="E934" t="n">
        <v>39845.55078125</v>
      </c>
      <c r="F934" t="n">
        <v>29244553045</v>
      </c>
    </row>
    <row r="935">
      <c r="A935" t="inlineStr">
        <is>
          <t>2024-01-24</t>
        </is>
      </c>
      <c r="B935" t="n">
        <v>39877.59375</v>
      </c>
      <c r="C935" t="n">
        <v>40483.78515625</v>
      </c>
      <c r="D935" t="n">
        <v>39508.796875</v>
      </c>
      <c r="E935" t="n">
        <v>40077.07421875</v>
      </c>
      <c r="F935" t="n">
        <v>22359526178</v>
      </c>
    </row>
    <row r="936">
      <c r="A936" t="inlineStr">
        <is>
          <t>2024-01-25</t>
        </is>
      </c>
      <c r="B936" t="n">
        <v>40075.55078125</v>
      </c>
      <c r="C936" t="n">
        <v>40254.48046875</v>
      </c>
      <c r="D936" t="n">
        <v>39545.6640625</v>
      </c>
      <c r="E936" t="n">
        <v>39933.80859375</v>
      </c>
      <c r="F936" t="n">
        <v>18491782013</v>
      </c>
    </row>
    <row r="937">
      <c r="A937" t="inlineStr">
        <is>
          <t>2024-01-26</t>
        </is>
      </c>
      <c r="B937" t="n">
        <v>39936.81640625</v>
      </c>
      <c r="C937" t="n">
        <v>42209.38671875</v>
      </c>
      <c r="D937" t="n">
        <v>39825.69140625</v>
      </c>
      <c r="E937" t="n">
        <v>41816.87109375</v>
      </c>
      <c r="F937" t="n">
        <v>25598119893</v>
      </c>
    </row>
    <row r="938">
      <c r="A938" t="inlineStr">
        <is>
          <t>2024-01-27</t>
        </is>
      </c>
      <c r="B938" t="n">
        <v>41815.625</v>
      </c>
      <c r="C938" t="n">
        <v>42195.6328125</v>
      </c>
      <c r="D938" t="n">
        <v>41431.28125</v>
      </c>
      <c r="E938" t="n">
        <v>42120.0546875</v>
      </c>
      <c r="F938" t="n">
        <v>11422941934</v>
      </c>
    </row>
    <row r="939">
      <c r="A939" t="inlineStr">
        <is>
          <t>2024-01-28</t>
        </is>
      </c>
      <c r="B939" t="n">
        <v>42126.125</v>
      </c>
      <c r="C939" t="n">
        <v>42797.17578125</v>
      </c>
      <c r="D939" t="n">
        <v>41696.91015625</v>
      </c>
      <c r="E939" t="n">
        <v>42035.59375</v>
      </c>
      <c r="F939" t="n">
        <v>16858971687</v>
      </c>
    </row>
    <row r="940">
      <c r="A940" t="inlineStr">
        <is>
          <t>2024-01-29</t>
        </is>
      </c>
      <c r="B940" t="n">
        <v>42030.9140625</v>
      </c>
      <c r="C940" t="n">
        <v>43305.8671875</v>
      </c>
      <c r="D940" t="n">
        <v>41818.33203125</v>
      </c>
      <c r="E940" t="n">
        <v>43288.24609375</v>
      </c>
      <c r="F940" t="n">
        <v>20668476578</v>
      </c>
    </row>
    <row r="941">
      <c r="A941" t="inlineStr">
        <is>
          <t>2024-01-30</t>
        </is>
      </c>
      <c r="B941" t="n">
        <v>43300.2265625</v>
      </c>
      <c r="C941" t="n">
        <v>43838.9453125</v>
      </c>
      <c r="D941" t="n">
        <v>42711.37109375</v>
      </c>
      <c r="E941" t="n">
        <v>42952.609375</v>
      </c>
      <c r="F941" t="n">
        <v>23842814518</v>
      </c>
    </row>
    <row r="942">
      <c r="A942" t="inlineStr">
        <is>
          <t>2024-01-31</t>
        </is>
      </c>
      <c r="B942" t="n">
        <v>42946.25</v>
      </c>
      <c r="C942" t="n">
        <v>43717.40625</v>
      </c>
      <c r="D942" t="n">
        <v>42298.9453125</v>
      </c>
      <c r="E942" t="n">
        <v>42582.60546875</v>
      </c>
      <c r="F942" t="n">
        <v>24673628793</v>
      </c>
    </row>
    <row r="943">
      <c r="A943" t="inlineStr">
        <is>
          <t>2024-02-01</t>
        </is>
      </c>
      <c r="B943" t="n">
        <v>42569.76171875</v>
      </c>
      <c r="C943" t="n">
        <v>43243.16796875</v>
      </c>
      <c r="D943" t="n">
        <v>41879.19140625</v>
      </c>
      <c r="E943" t="n">
        <v>43075.7734375</v>
      </c>
      <c r="F943" t="n">
        <v>21423953779</v>
      </c>
    </row>
    <row r="944">
      <c r="A944" t="inlineStr">
        <is>
          <t>2024-02-02</t>
        </is>
      </c>
      <c r="B944" t="n">
        <v>43077.640625</v>
      </c>
      <c r="C944" t="n">
        <v>43422.48828125</v>
      </c>
      <c r="D944" t="n">
        <v>42584.3359375</v>
      </c>
      <c r="E944" t="n">
        <v>43185.859375</v>
      </c>
      <c r="F944" t="n">
        <v>18603843039</v>
      </c>
    </row>
    <row r="945">
      <c r="A945" t="inlineStr">
        <is>
          <t>2024-02-03</t>
        </is>
      </c>
      <c r="B945" t="n">
        <v>43184.96484375</v>
      </c>
      <c r="C945" t="n">
        <v>43359.94140625</v>
      </c>
      <c r="D945" t="n">
        <v>42890.80859375</v>
      </c>
      <c r="E945" t="n">
        <v>42992.25</v>
      </c>
      <c r="F945" t="n">
        <v>11169245236</v>
      </c>
    </row>
    <row r="946">
      <c r="A946" t="inlineStr">
        <is>
          <t>2024-02-04</t>
        </is>
      </c>
      <c r="B946" t="n">
        <v>42994.94140625</v>
      </c>
      <c r="C946" t="n">
        <v>43097.64453125</v>
      </c>
      <c r="D946" t="n">
        <v>42374.83203125</v>
      </c>
      <c r="E946" t="n">
        <v>42583.58203125</v>
      </c>
      <c r="F946" t="n">
        <v>14802225490</v>
      </c>
    </row>
    <row r="947">
      <c r="A947" t="inlineStr">
        <is>
          <t>2024-02-05</t>
        </is>
      </c>
      <c r="B947" t="n">
        <v>42577.62109375</v>
      </c>
      <c r="C947" t="n">
        <v>43494.25</v>
      </c>
      <c r="D947" t="n">
        <v>42264.81640625</v>
      </c>
      <c r="E947" t="n">
        <v>42658.66796875</v>
      </c>
      <c r="F947" t="n">
        <v>18715487317</v>
      </c>
    </row>
    <row r="948">
      <c r="A948" t="inlineStr">
        <is>
          <t>2024-02-06</t>
        </is>
      </c>
      <c r="B948" t="n">
        <v>42657.390625</v>
      </c>
      <c r="C948" t="n">
        <v>43344.1484375</v>
      </c>
      <c r="D948" t="n">
        <v>42529.01953125</v>
      </c>
      <c r="E948" t="n">
        <v>43084.671875</v>
      </c>
      <c r="F948" t="n">
        <v>16798476726</v>
      </c>
    </row>
    <row r="949">
      <c r="A949" t="inlineStr">
        <is>
          <t>2024-02-07</t>
        </is>
      </c>
      <c r="B949" t="n">
        <v>43090.01953125</v>
      </c>
      <c r="C949" t="n">
        <v>44341.94921875</v>
      </c>
      <c r="D949" t="n">
        <v>42775.95703125</v>
      </c>
      <c r="E949" t="n">
        <v>44318.22265625</v>
      </c>
      <c r="F949" t="n">
        <v>21126587775</v>
      </c>
    </row>
    <row r="950">
      <c r="A950" t="inlineStr">
        <is>
          <t>2024-02-08</t>
        </is>
      </c>
      <c r="B950" t="n">
        <v>44332.125</v>
      </c>
      <c r="C950" t="n">
        <v>45575.83984375</v>
      </c>
      <c r="D950" t="n">
        <v>44332.125</v>
      </c>
      <c r="E950" t="n">
        <v>45301.56640625</v>
      </c>
      <c r="F950" t="n">
        <v>26154524080</v>
      </c>
    </row>
    <row r="951">
      <c r="A951" t="inlineStr">
        <is>
          <t>2024-02-09</t>
        </is>
      </c>
      <c r="B951" t="n">
        <v>45297.3828125</v>
      </c>
      <c r="C951" t="n">
        <v>48152.49609375</v>
      </c>
      <c r="D951" t="n">
        <v>45260.82421875</v>
      </c>
      <c r="E951" t="n">
        <v>47147.19921875</v>
      </c>
      <c r="F951" t="n">
        <v>39316770844</v>
      </c>
    </row>
    <row r="952">
      <c r="A952" t="inlineStr">
        <is>
          <t>2024-02-10</t>
        </is>
      </c>
      <c r="B952" t="n">
        <v>47153.52734375</v>
      </c>
      <c r="C952" t="n">
        <v>48146.171875</v>
      </c>
      <c r="D952" t="n">
        <v>46905.3203125</v>
      </c>
      <c r="E952" t="n">
        <v>47771.27734375</v>
      </c>
      <c r="F952" t="n">
        <v>16398681570</v>
      </c>
    </row>
    <row r="953">
      <c r="A953" t="inlineStr">
        <is>
          <t>2024-02-11</t>
        </is>
      </c>
      <c r="B953" t="n">
        <v>47768.96875</v>
      </c>
      <c r="C953" t="n">
        <v>48535.9375</v>
      </c>
      <c r="D953" t="n">
        <v>47617.40625</v>
      </c>
      <c r="E953" t="n">
        <v>48293.91796875</v>
      </c>
      <c r="F953" t="n">
        <v>19315867136</v>
      </c>
    </row>
    <row r="954">
      <c r="A954" t="inlineStr">
        <is>
          <t>2024-02-12</t>
        </is>
      </c>
      <c r="B954" t="n">
        <v>48296.38671875</v>
      </c>
      <c r="C954" t="n">
        <v>50280.4765625</v>
      </c>
      <c r="D954" t="n">
        <v>47745.76171875</v>
      </c>
      <c r="E954" t="n">
        <v>49958.22265625</v>
      </c>
      <c r="F954" t="n">
        <v>34511985805</v>
      </c>
    </row>
    <row r="955">
      <c r="A955" t="inlineStr">
        <is>
          <t>2024-02-13</t>
        </is>
      </c>
      <c r="B955" t="n">
        <v>49941.359375</v>
      </c>
      <c r="C955" t="n">
        <v>50358.390625</v>
      </c>
      <c r="D955" t="n">
        <v>48406.49609375</v>
      </c>
      <c r="E955" t="n">
        <v>49742.44140625</v>
      </c>
      <c r="F955" t="n">
        <v>35593051468</v>
      </c>
    </row>
    <row r="956">
      <c r="A956" t="inlineStr">
        <is>
          <t>2024-02-14</t>
        </is>
      </c>
      <c r="B956" t="n">
        <v>49733.4453125</v>
      </c>
      <c r="C956" t="n">
        <v>52021.37109375</v>
      </c>
      <c r="D956" t="n">
        <v>49296.83203125</v>
      </c>
      <c r="E956" t="n">
        <v>51826.6953125</v>
      </c>
      <c r="F956" t="n">
        <v>39105608050</v>
      </c>
    </row>
    <row r="957">
      <c r="A957" t="inlineStr">
        <is>
          <t>2024-02-15</t>
        </is>
      </c>
      <c r="B957" t="n">
        <v>51836.78515625</v>
      </c>
      <c r="C957" t="n">
        <v>52820.06640625</v>
      </c>
      <c r="D957" t="n">
        <v>51371.62890625</v>
      </c>
      <c r="E957" t="n">
        <v>51938.5546875</v>
      </c>
      <c r="F957" t="n">
        <v>38564360533</v>
      </c>
    </row>
    <row r="958">
      <c r="A958" t="inlineStr">
        <is>
          <t>2024-02-16</t>
        </is>
      </c>
      <c r="B958" t="n">
        <v>51937.7265625</v>
      </c>
      <c r="C958" t="n">
        <v>52537.96875</v>
      </c>
      <c r="D958" t="n">
        <v>51641.3671875</v>
      </c>
      <c r="E958" t="n">
        <v>52160.203125</v>
      </c>
      <c r="F958" t="n">
        <v>28180567298</v>
      </c>
    </row>
    <row r="959">
      <c r="A959" t="inlineStr">
        <is>
          <t>2024-02-17</t>
        </is>
      </c>
      <c r="B959" t="n">
        <v>52161.67578125</v>
      </c>
      <c r="C959" t="n">
        <v>52191.9140625</v>
      </c>
      <c r="D959" t="n">
        <v>50669.66796875</v>
      </c>
      <c r="E959" t="n">
        <v>51662.99609375</v>
      </c>
      <c r="F959" t="n">
        <v>20009091006</v>
      </c>
    </row>
    <row r="960">
      <c r="A960" t="inlineStr">
        <is>
          <t>2024-02-18</t>
        </is>
      </c>
      <c r="B960" t="n">
        <v>51661.96875</v>
      </c>
      <c r="C960" t="n">
        <v>52356.96484375</v>
      </c>
      <c r="D960" t="n">
        <v>51233.70703125</v>
      </c>
      <c r="E960" t="n">
        <v>52122.546875</v>
      </c>
      <c r="F960" t="n">
        <v>17595377311</v>
      </c>
    </row>
    <row r="961">
      <c r="A961" t="inlineStr">
        <is>
          <t>2024-02-19</t>
        </is>
      </c>
      <c r="B961" t="n">
        <v>52134.8125</v>
      </c>
      <c r="C961" t="n">
        <v>52483.32421875</v>
      </c>
      <c r="D961" t="n">
        <v>51711.8203125</v>
      </c>
      <c r="E961" t="n">
        <v>51779.14453125</v>
      </c>
      <c r="F961" t="n">
        <v>21362184346</v>
      </c>
    </row>
    <row r="962">
      <c r="A962" t="inlineStr">
        <is>
          <t>2024-02-20</t>
        </is>
      </c>
      <c r="B962" t="n">
        <v>51777.7265625</v>
      </c>
      <c r="C962" t="n">
        <v>52945.05078125</v>
      </c>
      <c r="D962" t="n">
        <v>50792.3125</v>
      </c>
      <c r="E962" t="n">
        <v>52284.875</v>
      </c>
      <c r="F962" t="n">
        <v>33353758256</v>
      </c>
    </row>
    <row r="963">
      <c r="A963" t="inlineStr">
        <is>
          <t>2024-02-21</t>
        </is>
      </c>
      <c r="B963" t="n">
        <v>52273.53515625</v>
      </c>
      <c r="C963" t="n">
        <v>52368.81640625</v>
      </c>
      <c r="D963" t="n">
        <v>50671.7578125</v>
      </c>
      <c r="E963" t="n">
        <v>51839.1796875</v>
      </c>
      <c r="F963" t="n">
        <v>28624907020</v>
      </c>
    </row>
    <row r="964">
      <c r="A964" t="inlineStr">
        <is>
          <t>2024-02-22</t>
        </is>
      </c>
      <c r="B964" t="n">
        <v>51854.64453125</v>
      </c>
      <c r="C964" t="n">
        <v>52009.61328125</v>
      </c>
      <c r="D964" t="n">
        <v>50926.29296875</v>
      </c>
      <c r="E964" t="n">
        <v>51304.97265625</v>
      </c>
      <c r="F964" t="n">
        <v>25413900611</v>
      </c>
    </row>
    <row r="965">
      <c r="A965" t="inlineStr">
        <is>
          <t>2024-02-23</t>
        </is>
      </c>
      <c r="B965" t="n">
        <v>51283.90625</v>
      </c>
      <c r="C965" t="n">
        <v>51497.93359375</v>
      </c>
      <c r="D965" t="n">
        <v>50561.77734375</v>
      </c>
      <c r="E965" t="n">
        <v>50731.94921875</v>
      </c>
      <c r="F965" t="n">
        <v>21427078270</v>
      </c>
    </row>
    <row r="966">
      <c r="A966" t="inlineStr">
        <is>
          <t>2024-02-24</t>
        </is>
      </c>
      <c r="B966" t="n">
        <v>50736.37109375</v>
      </c>
      <c r="C966" t="n">
        <v>51684.1953125</v>
      </c>
      <c r="D966" t="n">
        <v>50585.4453125</v>
      </c>
      <c r="E966" t="n">
        <v>51571.1015625</v>
      </c>
      <c r="F966" t="n">
        <v>15174077879</v>
      </c>
    </row>
    <row r="967">
      <c r="A967" t="inlineStr">
        <is>
          <t>2024-02-25</t>
        </is>
      </c>
      <c r="B967" t="n">
        <v>51565.21484375</v>
      </c>
      <c r="C967" t="n">
        <v>51950.02734375</v>
      </c>
      <c r="D967" t="n">
        <v>51306.171875</v>
      </c>
      <c r="E967" t="n">
        <v>51733.23828125</v>
      </c>
      <c r="F967" t="n">
        <v>15413239245</v>
      </c>
    </row>
    <row r="968">
      <c r="A968" t="inlineStr">
        <is>
          <t>2024-02-26</t>
        </is>
      </c>
      <c r="B968" t="n">
        <v>51730.5390625</v>
      </c>
      <c r="C968" t="n">
        <v>54938.17578125</v>
      </c>
      <c r="D968" t="n">
        <v>50931.03125</v>
      </c>
      <c r="E968" t="n">
        <v>54522.40234375</v>
      </c>
      <c r="F968" t="n">
        <v>34074411896</v>
      </c>
    </row>
    <row r="969">
      <c r="A969" t="inlineStr">
        <is>
          <t>2024-02-27</t>
        </is>
      </c>
      <c r="B969" t="n">
        <v>54519.36328125</v>
      </c>
      <c r="C969" t="n">
        <v>57537.83984375</v>
      </c>
      <c r="D969" t="n">
        <v>54484.19921875</v>
      </c>
      <c r="E969" t="n">
        <v>57085.37109375</v>
      </c>
      <c r="F969" t="n">
        <v>49756832031</v>
      </c>
    </row>
    <row r="970">
      <c r="A970" t="inlineStr">
        <is>
          <t>2024-02-28</t>
        </is>
      </c>
      <c r="B970" t="n">
        <v>57071.09765625</v>
      </c>
      <c r="C970" t="n">
        <v>63913.1328125</v>
      </c>
      <c r="D970" t="n">
        <v>56738.42578125</v>
      </c>
      <c r="E970" t="n">
        <v>62504.7890625</v>
      </c>
      <c r="F970" t="n">
        <v>83239156760</v>
      </c>
    </row>
    <row r="971">
      <c r="A971" t="inlineStr">
        <is>
          <t>2024-02-29</t>
        </is>
      </c>
      <c r="B971" t="n">
        <v>62499.18359375</v>
      </c>
      <c r="C971" t="n">
        <v>63585.64453125</v>
      </c>
      <c r="D971" t="n">
        <v>60498.73046875</v>
      </c>
      <c r="E971" t="n">
        <v>61198.3828125</v>
      </c>
      <c r="F971" t="n">
        <v>65496611844</v>
      </c>
    </row>
    <row r="972">
      <c r="A972" t="inlineStr">
        <is>
          <t>2024-03-01</t>
        </is>
      </c>
      <c r="B972" t="n">
        <v>61168.0625</v>
      </c>
      <c r="C972" t="n">
        <v>63155.1015625</v>
      </c>
      <c r="D972" t="n">
        <v>60802.52734375</v>
      </c>
      <c r="E972" t="n">
        <v>62440.6328125</v>
      </c>
      <c r="F972" t="n">
        <v>40186368423</v>
      </c>
    </row>
    <row r="973">
      <c r="A973" t="inlineStr">
        <is>
          <t>2024-03-02</t>
        </is>
      </c>
      <c r="B973" t="n">
        <v>62431.65234375</v>
      </c>
      <c r="C973" t="n">
        <v>62458.69921875</v>
      </c>
      <c r="D973" t="n">
        <v>61657.2890625</v>
      </c>
      <c r="E973" t="n">
        <v>62029.84765625</v>
      </c>
      <c r="F973" t="n">
        <v>23888473685</v>
      </c>
    </row>
    <row r="974">
      <c r="A974" t="inlineStr">
        <is>
          <t>2024-03-03</t>
        </is>
      </c>
      <c r="B974" t="n">
        <v>62031.578125</v>
      </c>
      <c r="C974" t="n">
        <v>63230.2109375</v>
      </c>
      <c r="D974" t="n">
        <v>61435.0234375</v>
      </c>
      <c r="E974" t="n">
        <v>63167.37109375</v>
      </c>
      <c r="F974" t="n">
        <v>26253811450</v>
      </c>
    </row>
    <row r="975">
      <c r="A975" t="inlineStr">
        <is>
          <t>2024-03-04</t>
        </is>
      </c>
      <c r="B975" t="n">
        <v>63137.00390625</v>
      </c>
      <c r="C975" t="n">
        <v>68537.03125</v>
      </c>
      <c r="D975" t="n">
        <v>62386.51953125</v>
      </c>
      <c r="E975" t="n">
        <v>68330.4140625</v>
      </c>
      <c r="F975" t="n">
        <v>70670471105</v>
      </c>
    </row>
    <row r="976">
      <c r="A976" t="inlineStr">
        <is>
          <t>2024-03-05</t>
        </is>
      </c>
      <c r="B976" t="n">
        <v>68341.0546875</v>
      </c>
      <c r="C976" t="n">
        <v>69170.625</v>
      </c>
      <c r="D976" t="n">
        <v>59323.91015625</v>
      </c>
      <c r="E976" t="n">
        <v>63801.19921875</v>
      </c>
      <c r="F976" t="n">
        <v>102802940877</v>
      </c>
    </row>
    <row r="977">
      <c r="A977" t="inlineStr">
        <is>
          <t>2024-03-06</t>
        </is>
      </c>
      <c r="B977" t="n">
        <v>63776.05078125</v>
      </c>
      <c r="C977" t="n">
        <v>67637.9296875</v>
      </c>
      <c r="D977" t="n">
        <v>62848.671875</v>
      </c>
      <c r="E977" t="n">
        <v>66106.8046875</v>
      </c>
      <c r="F977" t="n">
        <v>68750229073</v>
      </c>
    </row>
    <row r="978">
      <c r="A978" t="inlineStr">
        <is>
          <t>2024-03-07</t>
        </is>
      </c>
      <c r="B978" t="n">
        <v>66099.7421875</v>
      </c>
      <c r="C978" t="n">
        <v>68029.921875</v>
      </c>
      <c r="D978" t="n">
        <v>65655.53125</v>
      </c>
      <c r="E978" t="n">
        <v>66925.484375</v>
      </c>
      <c r="F978" t="n">
        <v>46989543159</v>
      </c>
    </row>
    <row r="979">
      <c r="A979" t="inlineStr">
        <is>
          <t>2024-03-08</t>
        </is>
      </c>
      <c r="B979" t="n">
        <v>66938.09375</v>
      </c>
      <c r="C979" t="n">
        <v>70083.0546875</v>
      </c>
      <c r="D979" t="n">
        <v>66230.453125</v>
      </c>
      <c r="E979" t="n">
        <v>68300.09375</v>
      </c>
      <c r="F979" t="n">
        <v>59202881172</v>
      </c>
    </row>
    <row r="980">
      <c r="A980" t="inlineStr">
        <is>
          <t>2024-03-09</t>
        </is>
      </c>
      <c r="B980" t="n">
        <v>68299.2578125</v>
      </c>
      <c r="C980" t="n">
        <v>68673.0546875</v>
      </c>
      <c r="D980" t="n">
        <v>68053.125</v>
      </c>
      <c r="E980" t="n">
        <v>68498.8828125</v>
      </c>
      <c r="F980" t="n">
        <v>21609650379</v>
      </c>
    </row>
    <row r="981">
      <c r="A981" t="inlineStr">
        <is>
          <t>2024-03-10</t>
        </is>
      </c>
      <c r="B981" t="n">
        <v>68500.2578125</v>
      </c>
      <c r="C981" t="n">
        <v>70005.203125</v>
      </c>
      <c r="D981" t="n">
        <v>68239.9765625</v>
      </c>
      <c r="E981" t="n">
        <v>69019.7890625</v>
      </c>
      <c r="F981" t="n">
        <v>35683977532</v>
      </c>
    </row>
    <row r="982">
      <c r="A982" t="inlineStr">
        <is>
          <t>2024-03-11</t>
        </is>
      </c>
      <c r="B982" t="n">
        <v>69020.546875</v>
      </c>
      <c r="C982" t="n">
        <v>72850.7109375</v>
      </c>
      <c r="D982" t="n">
        <v>67194.8828125</v>
      </c>
      <c r="E982" t="n">
        <v>72123.90625</v>
      </c>
      <c r="F982" t="n">
        <v>65716656765</v>
      </c>
    </row>
    <row r="983">
      <c r="A983" t="inlineStr">
        <is>
          <t>2024-03-12</t>
        </is>
      </c>
      <c r="B983" t="n">
        <v>72125.125</v>
      </c>
      <c r="C983" t="n">
        <v>72825.65625</v>
      </c>
      <c r="D983" t="n">
        <v>68728.8515625</v>
      </c>
      <c r="E983" t="n">
        <v>71481.2890625</v>
      </c>
      <c r="F983" t="n">
        <v>62554434520</v>
      </c>
    </row>
    <row r="984">
      <c r="A984" t="inlineStr">
        <is>
          <t>2024-03-13</t>
        </is>
      </c>
      <c r="B984" t="n">
        <v>71482.1171875</v>
      </c>
      <c r="C984" t="n">
        <v>73637.4765625</v>
      </c>
      <c r="D984" t="n">
        <v>71334.09375</v>
      </c>
      <c r="E984" t="n">
        <v>73083.5</v>
      </c>
      <c r="F984" t="n">
        <v>48212536929</v>
      </c>
    </row>
    <row r="985">
      <c r="A985" t="inlineStr">
        <is>
          <t>2024-03-14</t>
        </is>
      </c>
      <c r="B985" t="n">
        <v>73079.375</v>
      </c>
      <c r="C985" t="n">
        <v>73750.0703125</v>
      </c>
      <c r="D985" t="n">
        <v>68563.0234375</v>
      </c>
      <c r="E985" t="n">
        <v>71396.59375</v>
      </c>
      <c r="F985" t="n">
        <v>59594605698</v>
      </c>
    </row>
    <row r="986">
      <c r="A986" t="inlineStr">
        <is>
          <t>2024-03-15</t>
        </is>
      </c>
      <c r="B986" t="n">
        <v>71387.875</v>
      </c>
      <c r="C986" t="n">
        <v>72357.1328125</v>
      </c>
      <c r="D986" t="n">
        <v>65630.6953125</v>
      </c>
      <c r="E986" t="n">
        <v>69403.7734375</v>
      </c>
      <c r="F986" t="n">
        <v>78320453976</v>
      </c>
    </row>
    <row r="987">
      <c r="A987" t="inlineStr">
        <is>
          <t>2024-03-16</t>
        </is>
      </c>
      <c r="B987" t="n">
        <v>69392.484375</v>
      </c>
      <c r="C987" t="n">
        <v>70046.2734375</v>
      </c>
      <c r="D987" t="n">
        <v>64801.39453125</v>
      </c>
      <c r="E987" t="n">
        <v>65315.1171875</v>
      </c>
      <c r="F987" t="n">
        <v>46842198371</v>
      </c>
    </row>
    <row r="988">
      <c r="A988" t="inlineStr">
        <is>
          <t>2024-03-17</t>
        </is>
      </c>
      <c r="B988" t="n">
        <v>65316.34375</v>
      </c>
      <c r="C988" t="n">
        <v>68845.71875</v>
      </c>
      <c r="D988" t="n">
        <v>64545.31640625</v>
      </c>
      <c r="E988" t="n">
        <v>68390.625</v>
      </c>
      <c r="F988" t="n">
        <v>44716864318</v>
      </c>
    </row>
    <row r="989">
      <c r="A989" t="inlineStr">
        <is>
          <t>2024-03-18</t>
        </is>
      </c>
      <c r="B989" t="n">
        <v>68371.3046875</v>
      </c>
      <c r="C989" t="n">
        <v>68897.1328125</v>
      </c>
      <c r="D989" t="n">
        <v>66594.2265625</v>
      </c>
      <c r="E989" t="n">
        <v>67548.59375</v>
      </c>
      <c r="F989" t="n">
        <v>49261579492</v>
      </c>
    </row>
    <row r="990">
      <c r="A990" t="inlineStr">
        <is>
          <t>2024-03-19</t>
        </is>
      </c>
      <c r="B990" t="n">
        <v>67556.1328125</v>
      </c>
      <c r="C990" t="n">
        <v>68106.9296875</v>
      </c>
      <c r="D990" t="n">
        <v>61536.1796875</v>
      </c>
      <c r="E990" t="n">
        <v>61912.7734375</v>
      </c>
      <c r="F990" t="n">
        <v>74215844794</v>
      </c>
    </row>
    <row r="991">
      <c r="A991" t="inlineStr">
        <is>
          <t>2024-03-20</t>
        </is>
      </c>
      <c r="B991" t="n">
        <v>61930.15625</v>
      </c>
      <c r="C991" t="n">
        <v>68115.2578125</v>
      </c>
      <c r="D991" t="n">
        <v>60807.78515625</v>
      </c>
      <c r="E991" t="n">
        <v>67913.671875</v>
      </c>
      <c r="F991" t="n">
        <v>66792634382</v>
      </c>
    </row>
    <row r="992">
      <c r="A992" t="inlineStr">
        <is>
          <t>2024-03-21</t>
        </is>
      </c>
      <c r="B992" t="n">
        <v>67911.5859375</v>
      </c>
      <c r="C992" t="n">
        <v>68199.9921875</v>
      </c>
      <c r="D992" t="n">
        <v>64580.91796875</v>
      </c>
      <c r="E992" t="n">
        <v>65491.390625</v>
      </c>
      <c r="F992" t="n">
        <v>44480350565</v>
      </c>
    </row>
    <row r="993">
      <c r="A993" t="inlineStr">
        <is>
          <t>2024-03-22</t>
        </is>
      </c>
      <c r="B993" t="n">
        <v>65489.9296875</v>
      </c>
      <c r="C993" t="n">
        <v>66623.75</v>
      </c>
      <c r="D993" t="n">
        <v>62355.37109375</v>
      </c>
      <c r="E993" t="n">
        <v>63778.76171875</v>
      </c>
      <c r="F993" t="n">
        <v>41401116964</v>
      </c>
    </row>
    <row r="994">
      <c r="A994" t="inlineStr">
        <is>
          <t>2024-03-23</t>
        </is>
      </c>
      <c r="B994" t="n">
        <v>63802.72265625</v>
      </c>
      <c r="C994" t="n">
        <v>65976.3984375</v>
      </c>
      <c r="D994" t="n">
        <v>63038.4921875</v>
      </c>
      <c r="E994" t="n">
        <v>64062.203125</v>
      </c>
      <c r="F994" t="n">
        <v>24738964812</v>
      </c>
    </row>
    <row r="995">
      <c r="A995" t="inlineStr">
        <is>
          <t>2024-03-24</t>
        </is>
      </c>
      <c r="B995" t="n">
        <v>64070.75390625</v>
      </c>
      <c r="C995" t="n">
        <v>67622.7578125</v>
      </c>
      <c r="D995" t="n">
        <v>63825.8515625</v>
      </c>
      <c r="E995" t="n">
        <v>67234.171875</v>
      </c>
      <c r="F995" t="n">
        <v>27206630673</v>
      </c>
    </row>
    <row r="996">
      <c r="A996" t="inlineStr">
        <is>
          <t>2024-03-25</t>
        </is>
      </c>
      <c r="B996" t="n">
        <v>67234.09375</v>
      </c>
      <c r="C996" t="n">
        <v>71162.59375</v>
      </c>
      <c r="D996" t="n">
        <v>66414.8359375</v>
      </c>
      <c r="E996" t="n">
        <v>69958.8125</v>
      </c>
      <c r="F996" t="n">
        <v>42700139523</v>
      </c>
    </row>
    <row r="997">
      <c r="A997" t="inlineStr">
        <is>
          <t>2024-03-26</t>
        </is>
      </c>
      <c r="B997" t="n">
        <v>69931.328125</v>
      </c>
      <c r="C997" t="n">
        <v>71535.7421875</v>
      </c>
      <c r="D997" t="n">
        <v>69335.609375</v>
      </c>
      <c r="E997" t="n">
        <v>69987.8359375</v>
      </c>
      <c r="F997" t="n">
        <v>36010437368</v>
      </c>
    </row>
    <row r="998">
      <c r="A998" t="inlineStr">
        <is>
          <t>2024-03-27</t>
        </is>
      </c>
      <c r="B998" t="n">
        <v>69991.8984375</v>
      </c>
      <c r="C998" t="n">
        <v>71727.6875</v>
      </c>
      <c r="D998" t="n">
        <v>68381.9296875</v>
      </c>
      <c r="E998" t="n">
        <v>69455.34375</v>
      </c>
      <c r="F998" t="n">
        <v>40827113309</v>
      </c>
    </row>
    <row r="999">
      <c r="A999" t="inlineStr">
        <is>
          <t>2024-03-28</t>
        </is>
      </c>
      <c r="B999" t="n">
        <v>69452.7734375</v>
      </c>
      <c r="C999" t="n">
        <v>71546.0234375</v>
      </c>
      <c r="D999" t="n">
        <v>68895.5078125</v>
      </c>
      <c r="E999" t="n">
        <v>70744.953125</v>
      </c>
      <c r="F999" t="n">
        <v>34374900617</v>
      </c>
    </row>
    <row r="1000">
      <c r="A1000" t="inlineStr">
        <is>
          <t>2024-03-29</t>
        </is>
      </c>
      <c r="B1000" t="n">
        <v>70744.796875</v>
      </c>
      <c r="C1000" t="n">
        <v>70913.09375</v>
      </c>
      <c r="D1000" t="n">
        <v>69076.65625</v>
      </c>
      <c r="E1000" t="n">
        <v>69892.828125</v>
      </c>
      <c r="F1000" t="n">
        <v>25230851763</v>
      </c>
    </row>
    <row r="1001">
      <c r="A1001" t="inlineStr">
        <is>
          <t>2024-03-30</t>
        </is>
      </c>
      <c r="B1001" t="n">
        <v>69893.4453125</v>
      </c>
      <c r="C1001" t="n">
        <v>70355.4921875</v>
      </c>
      <c r="D1001" t="n">
        <v>69601.0625</v>
      </c>
      <c r="E1001" t="n">
        <v>69645.3046875</v>
      </c>
      <c r="F1001" t="n">
        <v>17130241883</v>
      </c>
    </row>
    <row r="1002">
      <c r="A1002" t="inlineStr">
        <is>
          <t>2024-03-31</t>
        </is>
      </c>
      <c r="B1002" t="n">
        <v>69647.78125</v>
      </c>
      <c r="C1002" t="n">
        <v>71377.78125</v>
      </c>
      <c r="D1002" t="n">
        <v>69624.8671875</v>
      </c>
      <c r="E1002" t="n">
        <v>71333.6484375</v>
      </c>
      <c r="F1002" t="n">
        <v>20050941373</v>
      </c>
    </row>
    <row r="1003">
      <c r="A1003" t="inlineStr">
        <is>
          <t>2024-04-01</t>
        </is>
      </c>
      <c r="B1003" t="n">
        <v>71333.484375</v>
      </c>
      <c r="C1003" t="n">
        <v>71342.09375</v>
      </c>
      <c r="D1003" t="n">
        <v>68110.6953125</v>
      </c>
      <c r="E1003" t="n">
        <v>69702.1484375</v>
      </c>
      <c r="F1003" t="n">
        <v>34873527352</v>
      </c>
    </row>
    <row r="1004">
      <c r="A1004" t="inlineStr">
        <is>
          <t>2024-04-02</t>
        </is>
      </c>
      <c r="B1004" t="n">
        <v>69705.0234375</v>
      </c>
      <c r="C1004" t="n">
        <v>69708.3828125</v>
      </c>
      <c r="D1004" t="n">
        <v>64586.59375</v>
      </c>
      <c r="E1004" t="n">
        <v>65446.97265625</v>
      </c>
      <c r="F1004" t="n">
        <v>50705240709</v>
      </c>
    </row>
    <row r="1005">
      <c r="A1005" t="inlineStr">
        <is>
          <t>2024-04-03</t>
        </is>
      </c>
      <c r="B1005" t="n">
        <v>65446.671875</v>
      </c>
      <c r="C1005" t="n">
        <v>66914.3203125</v>
      </c>
      <c r="D1005" t="n">
        <v>64559.8984375</v>
      </c>
      <c r="E1005" t="n">
        <v>65980.8125</v>
      </c>
      <c r="F1005" t="n">
        <v>34488018367</v>
      </c>
    </row>
    <row r="1006">
      <c r="A1006" t="inlineStr">
        <is>
          <t>2024-04-04</t>
        </is>
      </c>
      <c r="B1006" t="n">
        <v>65975.6953125</v>
      </c>
      <c r="C1006" t="n">
        <v>69291.2578125</v>
      </c>
      <c r="D1006" t="n">
        <v>65113.796875</v>
      </c>
      <c r="E1006" t="n">
        <v>68508.84375</v>
      </c>
      <c r="F1006" t="n">
        <v>34439527442</v>
      </c>
    </row>
    <row r="1007">
      <c r="A1007" t="inlineStr">
        <is>
          <t>2024-04-05</t>
        </is>
      </c>
      <c r="B1007" t="n">
        <v>68515.7578125</v>
      </c>
      <c r="C1007" t="n">
        <v>68725.7578125</v>
      </c>
      <c r="D1007" t="n">
        <v>66011.4765625</v>
      </c>
      <c r="E1007" t="n">
        <v>67837.640625</v>
      </c>
      <c r="F1007" t="n">
        <v>33748230056</v>
      </c>
    </row>
    <row r="1008">
      <c r="A1008" t="inlineStr">
        <is>
          <t>2024-04-06</t>
        </is>
      </c>
      <c r="B1008" t="n">
        <v>67840.5703125</v>
      </c>
      <c r="C1008" t="n">
        <v>69629.6015625</v>
      </c>
      <c r="D1008" t="n">
        <v>67491.71875</v>
      </c>
      <c r="E1008" t="n">
        <v>68896.109375</v>
      </c>
      <c r="F1008" t="n">
        <v>19967785809</v>
      </c>
    </row>
    <row r="1009">
      <c r="A1009" t="inlineStr">
        <is>
          <t>2024-04-07</t>
        </is>
      </c>
      <c r="B1009" t="n">
        <v>68897.109375</v>
      </c>
      <c r="C1009" t="n">
        <v>70284.4296875</v>
      </c>
      <c r="D1009" t="n">
        <v>68851.6328125</v>
      </c>
      <c r="E1009" t="n">
        <v>69362.5546875</v>
      </c>
      <c r="F1009" t="n">
        <v>21204930369</v>
      </c>
    </row>
    <row r="1010">
      <c r="A1010" t="inlineStr">
        <is>
          <t>2024-04-08</t>
        </is>
      </c>
      <c r="B1010" t="n">
        <v>69362.5546875</v>
      </c>
      <c r="C1010" t="n">
        <v>72715.359375</v>
      </c>
      <c r="D1010" t="n">
        <v>69064.2421875</v>
      </c>
      <c r="E1010" t="n">
        <v>71631.359375</v>
      </c>
      <c r="F1010" t="n">
        <v>37261432669</v>
      </c>
    </row>
    <row r="1011">
      <c r="A1011" t="inlineStr">
        <is>
          <t>2024-04-09</t>
        </is>
      </c>
      <c r="B1011" t="n">
        <v>71632.5</v>
      </c>
      <c r="C1011" t="n">
        <v>71742.5078125</v>
      </c>
      <c r="D1011" t="n">
        <v>68212.921875</v>
      </c>
      <c r="E1011" t="n">
        <v>69139.015625</v>
      </c>
      <c r="F1011" t="n">
        <v>36426900409</v>
      </c>
    </row>
    <row r="1012">
      <c r="A1012" t="inlineStr">
        <is>
          <t>2024-04-10</t>
        </is>
      </c>
      <c r="B1012" t="n">
        <v>69140.2421875</v>
      </c>
      <c r="C1012" t="n">
        <v>71093.4296875</v>
      </c>
      <c r="D1012" t="n">
        <v>67503.5625</v>
      </c>
      <c r="E1012" t="n">
        <v>70587.8828125</v>
      </c>
      <c r="F1012" t="n">
        <v>38318601774</v>
      </c>
    </row>
    <row r="1013">
      <c r="A1013" t="inlineStr">
        <is>
          <t>2024-04-11</t>
        </is>
      </c>
      <c r="B1013" t="n">
        <v>70575.734375</v>
      </c>
      <c r="C1013" t="n">
        <v>71256.234375</v>
      </c>
      <c r="D1013" t="n">
        <v>69571.8125</v>
      </c>
      <c r="E1013" t="n">
        <v>70060.609375</v>
      </c>
      <c r="F1013" t="n">
        <v>30153382941</v>
      </c>
    </row>
    <row r="1014">
      <c r="A1014" t="inlineStr">
        <is>
          <t>2024-04-12</t>
        </is>
      </c>
      <c r="B1014" t="n">
        <v>70061.3828125</v>
      </c>
      <c r="C1014" t="n">
        <v>71222.7421875</v>
      </c>
      <c r="D1014" t="n">
        <v>65254.8359375</v>
      </c>
      <c r="E1014" t="n">
        <v>67195.8671875</v>
      </c>
      <c r="F1014" t="n">
        <v>44129299406</v>
      </c>
    </row>
    <row r="1015">
      <c r="A1015" t="inlineStr">
        <is>
          <t>2024-04-13</t>
        </is>
      </c>
      <c r="B1015" t="n">
        <v>67188.375</v>
      </c>
      <c r="C1015" t="n">
        <v>67931.4296875</v>
      </c>
      <c r="D1015" t="n">
        <v>60919.10546875</v>
      </c>
      <c r="E1015" t="n">
        <v>63821.47265625</v>
      </c>
      <c r="F1015" t="n">
        <v>52869738185</v>
      </c>
    </row>
    <row r="1016">
      <c r="A1016" t="inlineStr">
        <is>
          <t>2024-04-14</t>
        </is>
      </c>
      <c r="B1016" t="n">
        <v>63836.23046875</v>
      </c>
      <c r="C1016" t="n">
        <v>65824.4296875</v>
      </c>
      <c r="D1016" t="n">
        <v>62205.8515625</v>
      </c>
      <c r="E1016" t="n">
        <v>65738.7265625</v>
      </c>
      <c r="F1016" t="n">
        <v>49084320047</v>
      </c>
    </row>
    <row r="1017">
      <c r="A1017" t="inlineStr">
        <is>
          <t>2024-04-15</t>
        </is>
      </c>
      <c r="B1017" t="n">
        <v>65739.6484375</v>
      </c>
      <c r="C1017" t="n">
        <v>66878.6484375</v>
      </c>
      <c r="D1017" t="n">
        <v>62332.0703125</v>
      </c>
      <c r="E1017" t="n">
        <v>63426.2109375</v>
      </c>
      <c r="F1017" t="n">
        <v>43595917654</v>
      </c>
    </row>
    <row r="1018">
      <c r="A1018" t="inlineStr">
        <is>
          <t>2024-04-16</t>
        </is>
      </c>
      <c r="B1018" t="n">
        <v>63419.296875</v>
      </c>
      <c r="C1018" t="n">
        <v>64355.66796875</v>
      </c>
      <c r="D1018" t="n">
        <v>61716.40234375</v>
      </c>
      <c r="E1018" t="n">
        <v>63811.86328125</v>
      </c>
      <c r="F1018" t="n">
        <v>42847528078</v>
      </c>
    </row>
    <row r="1019">
      <c r="A1019" t="inlineStr">
        <is>
          <t>2024-04-17</t>
        </is>
      </c>
      <c r="B1019" t="n">
        <v>63831.84765625</v>
      </c>
      <c r="C1019" t="n">
        <v>64486.36328125</v>
      </c>
      <c r="D1019" t="n">
        <v>59768.5859375</v>
      </c>
      <c r="E1019" t="n">
        <v>61276.69140625</v>
      </c>
      <c r="F1019" t="n">
        <v>41915247049</v>
      </c>
    </row>
    <row r="1020">
      <c r="A1020" t="inlineStr">
        <is>
          <t>2024-04-18</t>
        </is>
      </c>
      <c r="B1020" t="n">
        <v>61275.31640625</v>
      </c>
      <c r="C1020" t="n">
        <v>64125.6875</v>
      </c>
      <c r="D1020" t="n">
        <v>60833.48046875</v>
      </c>
      <c r="E1020" t="n">
        <v>63512.75390625</v>
      </c>
      <c r="F1020" t="n">
        <v>36006307335</v>
      </c>
    </row>
    <row r="1021">
      <c r="A1021" t="inlineStr">
        <is>
          <t>2024-04-19</t>
        </is>
      </c>
      <c r="B1021" t="n">
        <v>63510.75</v>
      </c>
      <c r="C1021" t="n">
        <v>65481.59765625</v>
      </c>
      <c r="D1021" t="n">
        <v>59651.390625</v>
      </c>
      <c r="E1021" t="n">
        <v>63843.5703125</v>
      </c>
      <c r="F1021" t="n">
        <v>49920425401</v>
      </c>
    </row>
    <row r="1022">
      <c r="A1022" t="inlineStr">
        <is>
          <t>2024-04-20</t>
        </is>
      </c>
      <c r="B1022" t="n">
        <v>63851.1015625</v>
      </c>
      <c r="C1022" t="n">
        <v>65442.45703125</v>
      </c>
      <c r="D1022" t="n">
        <v>63172.40234375</v>
      </c>
      <c r="E1022" t="n">
        <v>64994.44140625</v>
      </c>
      <c r="F1022" t="n">
        <v>23097485495</v>
      </c>
    </row>
    <row r="1023">
      <c r="A1023" t="inlineStr">
        <is>
          <t>2024-04-21</t>
        </is>
      </c>
      <c r="B1023" t="n">
        <v>64992.81640625</v>
      </c>
      <c r="C1023" t="n">
        <v>65723.2421875</v>
      </c>
      <c r="D1023" t="n">
        <v>64277.72265625</v>
      </c>
      <c r="E1023" t="n">
        <v>64926.64453125</v>
      </c>
      <c r="F1023" t="n">
        <v>20506644853</v>
      </c>
    </row>
    <row r="1024">
      <c r="A1024" t="inlineStr">
        <is>
          <t>2024-04-22</t>
        </is>
      </c>
      <c r="B1024" t="n">
        <v>64935.6328125</v>
      </c>
      <c r="C1024" t="n">
        <v>67233.9609375</v>
      </c>
      <c r="D1024" t="n">
        <v>64548.1796875</v>
      </c>
      <c r="E1024" t="n">
        <v>66837.6796875</v>
      </c>
      <c r="F1024" t="n">
        <v>28282686673</v>
      </c>
    </row>
    <row r="1025">
      <c r="A1025" t="inlineStr">
        <is>
          <t>2024-04-23</t>
        </is>
      </c>
      <c r="B1025" t="n">
        <v>66839.890625</v>
      </c>
      <c r="C1025" t="n">
        <v>67199.2421875</v>
      </c>
      <c r="D1025" t="n">
        <v>65864.8671875</v>
      </c>
      <c r="E1025" t="n">
        <v>66407.2734375</v>
      </c>
      <c r="F1025" t="n">
        <v>24310975583</v>
      </c>
    </row>
    <row r="1026">
      <c r="A1026" t="inlineStr">
        <is>
          <t>2024-04-24</t>
        </is>
      </c>
      <c r="B1026" t="n">
        <v>66408.71875</v>
      </c>
      <c r="C1026" t="n">
        <v>67075.3671875</v>
      </c>
      <c r="D1026" t="n">
        <v>63589.87109375</v>
      </c>
      <c r="E1026" t="n">
        <v>64276.8984375</v>
      </c>
      <c r="F1026" t="n">
        <v>30276655120</v>
      </c>
    </row>
    <row r="1027">
      <c r="A1027" t="inlineStr">
        <is>
          <t>2024-04-25</t>
        </is>
      </c>
      <c r="B1027" t="n">
        <v>64275.01953125</v>
      </c>
      <c r="C1027" t="n">
        <v>65275.20703125</v>
      </c>
      <c r="D1027" t="n">
        <v>62783.6328125</v>
      </c>
      <c r="E1027" t="n">
        <v>64481.70703125</v>
      </c>
      <c r="F1027" t="n">
        <v>32155786816</v>
      </c>
    </row>
    <row r="1028">
      <c r="A1028" t="inlineStr">
        <is>
          <t>2024-04-26</t>
        </is>
      </c>
      <c r="B1028" t="n">
        <v>64485.37109375</v>
      </c>
      <c r="C1028" t="n">
        <v>64789.65625</v>
      </c>
      <c r="D1028" t="n">
        <v>63322.3984375</v>
      </c>
      <c r="E1028" t="n">
        <v>63755.3203125</v>
      </c>
      <c r="F1028" t="n">
        <v>24139372950</v>
      </c>
    </row>
    <row r="1029">
      <c r="A1029" t="inlineStr">
        <is>
          <t>2024-04-27</t>
        </is>
      </c>
      <c r="B1029" t="n">
        <v>63750.98828125</v>
      </c>
      <c r="C1029" t="n">
        <v>63898.36328125</v>
      </c>
      <c r="D1029" t="n">
        <v>62424.71875</v>
      </c>
      <c r="E1029" t="n">
        <v>63419.140625</v>
      </c>
      <c r="F1029" t="n">
        <v>19530783039</v>
      </c>
    </row>
    <row r="1030">
      <c r="A1030" t="inlineStr">
        <is>
          <t>2024-04-28</t>
        </is>
      </c>
      <c r="B1030" t="n">
        <v>63423.515625</v>
      </c>
      <c r="C1030" t="n">
        <v>64321.484375</v>
      </c>
      <c r="D1030" t="n">
        <v>62793.59765625</v>
      </c>
      <c r="E1030" t="n">
        <v>63113.23046875</v>
      </c>
      <c r="F1030" t="n">
        <v>17334827993</v>
      </c>
    </row>
    <row r="1031">
      <c r="A1031" t="inlineStr">
        <is>
          <t>2024-04-29</t>
        </is>
      </c>
      <c r="B1031" t="n">
        <v>63106.36328125</v>
      </c>
      <c r="C1031" t="n">
        <v>64174.87890625</v>
      </c>
      <c r="D1031" t="n">
        <v>61795.45703125</v>
      </c>
      <c r="E1031" t="n">
        <v>63841.12109375</v>
      </c>
      <c r="F1031" t="n">
        <v>26635912073</v>
      </c>
    </row>
    <row r="1032">
      <c r="A1032" t="inlineStr">
        <is>
          <t>2024-04-30</t>
        </is>
      </c>
      <c r="B1032" t="n">
        <v>63839.41796875</v>
      </c>
      <c r="C1032" t="n">
        <v>64703.33203125</v>
      </c>
      <c r="D1032" t="n">
        <v>59120.06640625</v>
      </c>
      <c r="E1032" t="n">
        <v>60636.85546875</v>
      </c>
      <c r="F1032" t="n">
        <v>37840840057</v>
      </c>
    </row>
    <row r="1033">
      <c r="A1033" t="inlineStr">
        <is>
          <t>2024-05-01</t>
        </is>
      </c>
      <c r="B1033" t="n">
        <v>60609.49609375</v>
      </c>
      <c r="C1033" t="n">
        <v>60780.5</v>
      </c>
      <c r="D1033" t="n">
        <v>56555.29296875</v>
      </c>
      <c r="E1033" t="n">
        <v>58254.01171875</v>
      </c>
      <c r="F1033" t="n">
        <v>48439780271</v>
      </c>
    </row>
    <row r="1034">
      <c r="A1034" t="inlineStr">
        <is>
          <t>2024-05-02</t>
        </is>
      </c>
      <c r="B1034" t="n">
        <v>58253.703125</v>
      </c>
      <c r="C1034" t="n">
        <v>59602.296875</v>
      </c>
      <c r="D1034" t="n">
        <v>56937.203125</v>
      </c>
      <c r="E1034" t="n">
        <v>59123.43359375</v>
      </c>
      <c r="F1034" t="n">
        <v>32711813559</v>
      </c>
    </row>
    <row r="1035">
      <c r="A1035" t="inlineStr">
        <is>
          <t>2024-05-03</t>
        </is>
      </c>
      <c r="B1035" t="n">
        <v>59122.30078125</v>
      </c>
      <c r="C1035" t="n">
        <v>63320.50390625</v>
      </c>
      <c r="D1035" t="n">
        <v>58848.3125</v>
      </c>
      <c r="E1035" t="n">
        <v>62889.8359375</v>
      </c>
      <c r="F1035" t="n">
        <v>33172023048</v>
      </c>
    </row>
    <row r="1036">
      <c r="A1036" t="inlineStr">
        <is>
          <t>2024-05-04</t>
        </is>
      </c>
      <c r="B1036" t="n">
        <v>62891.03125</v>
      </c>
      <c r="C1036" t="n">
        <v>64494.95703125</v>
      </c>
      <c r="D1036" t="n">
        <v>62599.3515625</v>
      </c>
      <c r="E1036" t="n">
        <v>63891.47265625</v>
      </c>
      <c r="F1036" t="n">
        <v>20620477992</v>
      </c>
    </row>
    <row r="1037">
      <c r="A1037" t="inlineStr">
        <is>
          <t>2024-05-05</t>
        </is>
      </c>
      <c r="B1037" t="n">
        <v>63892.453125</v>
      </c>
      <c r="C1037" t="n">
        <v>64610.890625</v>
      </c>
      <c r="D1037" t="n">
        <v>62955.3046875</v>
      </c>
      <c r="E1037" t="n">
        <v>64031.1328125</v>
      </c>
      <c r="F1037" t="n">
        <v>18296164805</v>
      </c>
    </row>
    <row r="1038">
      <c r="A1038" t="inlineStr">
        <is>
          <t>2024-05-06</t>
        </is>
      </c>
      <c r="B1038" t="n">
        <v>64038.3125</v>
      </c>
      <c r="C1038" t="n">
        <v>65494.90234375</v>
      </c>
      <c r="D1038" t="n">
        <v>62746.23828125</v>
      </c>
      <c r="E1038" t="n">
        <v>63161.94921875</v>
      </c>
      <c r="F1038" t="n">
        <v>28697928697</v>
      </c>
    </row>
    <row r="1039">
      <c r="A1039" t="inlineStr">
        <is>
          <t>2024-05-07</t>
        </is>
      </c>
      <c r="B1039" t="n">
        <v>63162.76171875</v>
      </c>
      <c r="C1039" t="n">
        <v>64390.45703125</v>
      </c>
      <c r="D1039" t="n">
        <v>62285.98046875</v>
      </c>
      <c r="E1039" t="n">
        <v>62334.81640625</v>
      </c>
      <c r="F1039" t="n">
        <v>25930730982</v>
      </c>
    </row>
    <row r="1040">
      <c r="A1040" t="inlineStr">
        <is>
          <t>2024-05-08</t>
        </is>
      </c>
      <c r="B1040" t="n">
        <v>62332.640625</v>
      </c>
      <c r="C1040" t="n">
        <v>62986.0859375</v>
      </c>
      <c r="D1040" t="n">
        <v>60877.12890625</v>
      </c>
      <c r="E1040" t="n">
        <v>61187.94140625</v>
      </c>
      <c r="F1040" t="n">
        <v>26088172222</v>
      </c>
    </row>
    <row r="1041">
      <c r="A1041" t="inlineStr">
        <is>
          <t>2024-05-09</t>
        </is>
      </c>
      <c r="B1041" t="n">
        <v>61191.19921875</v>
      </c>
      <c r="C1041" t="n">
        <v>63404.9140625</v>
      </c>
      <c r="D1041" t="n">
        <v>60648.07421875</v>
      </c>
      <c r="E1041" t="n">
        <v>63049.9609375</v>
      </c>
      <c r="F1041" t="n">
        <v>25453338161</v>
      </c>
    </row>
    <row r="1042">
      <c r="A1042" t="inlineStr">
        <is>
          <t>2024-05-10</t>
        </is>
      </c>
      <c r="B1042" t="n">
        <v>63055.19140625</v>
      </c>
      <c r="C1042" t="n">
        <v>63446.7421875</v>
      </c>
      <c r="D1042" t="n">
        <v>60208.78125</v>
      </c>
      <c r="E1042" t="n">
        <v>60792.77734375</v>
      </c>
      <c r="F1042" t="n">
        <v>27804954694</v>
      </c>
    </row>
    <row r="1043">
      <c r="A1043" t="inlineStr">
        <is>
          <t>2024-05-11</t>
        </is>
      </c>
      <c r="B1043" t="n">
        <v>60793.35546875</v>
      </c>
      <c r="C1043" t="n">
        <v>61451.15234375</v>
      </c>
      <c r="D1043" t="n">
        <v>60492.625</v>
      </c>
      <c r="E1043" t="n">
        <v>60793.7109375</v>
      </c>
      <c r="F1043" t="n">
        <v>13842272968</v>
      </c>
    </row>
    <row r="1044">
      <c r="A1044" t="inlineStr">
        <is>
          <t>2024-05-12</t>
        </is>
      </c>
      <c r="B1044" t="n">
        <v>60793.50390625</v>
      </c>
      <c r="C1044" t="n">
        <v>61818.15625</v>
      </c>
      <c r="D1044" t="n">
        <v>60632.6015625</v>
      </c>
      <c r="E1044" t="n">
        <v>61448.39453125</v>
      </c>
      <c r="F1044" t="n">
        <v>13800459405</v>
      </c>
    </row>
    <row r="1045">
      <c r="A1045" t="inlineStr">
        <is>
          <t>2024-05-13</t>
        </is>
      </c>
      <c r="B1045" t="n">
        <v>61451.21875</v>
      </c>
      <c r="C1045" t="n">
        <v>63422.66015625</v>
      </c>
      <c r="D1045" t="n">
        <v>60769.83984375</v>
      </c>
      <c r="E1045" t="n">
        <v>62901.44921875</v>
      </c>
      <c r="F1045" t="n">
        <v>27889181179</v>
      </c>
    </row>
    <row r="1046">
      <c r="A1046" t="inlineStr">
        <is>
          <t>2024-05-14</t>
        </is>
      </c>
      <c r="B1046" t="n">
        <v>62900.7734375</v>
      </c>
      <c r="C1046" t="n">
        <v>63092.125</v>
      </c>
      <c r="D1046" t="n">
        <v>61123.765625</v>
      </c>
      <c r="E1046" t="n">
        <v>61552.7890625</v>
      </c>
      <c r="F1046" t="n">
        <v>28186271527</v>
      </c>
    </row>
    <row r="1047">
      <c r="A1047" t="inlineStr">
        <is>
          <t>2024-05-15</t>
        </is>
      </c>
      <c r="B1047" t="n">
        <v>61553.98828125</v>
      </c>
      <c r="C1047" t="n">
        <v>66454.453125</v>
      </c>
      <c r="D1047" t="n">
        <v>61330.41015625</v>
      </c>
      <c r="E1047" t="n">
        <v>66267.4921875</v>
      </c>
      <c r="F1047" t="n">
        <v>39815167074</v>
      </c>
    </row>
    <row r="1048">
      <c r="A1048" t="inlineStr">
        <is>
          <t>2024-05-16</t>
        </is>
      </c>
      <c r="B1048" t="n">
        <v>66256.109375</v>
      </c>
      <c r="C1048" t="n">
        <v>66712.4296875</v>
      </c>
      <c r="D1048" t="n">
        <v>64613.0546875</v>
      </c>
      <c r="E1048" t="n">
        <v>65231.58203125</v>
      </c>
      <c r="F1048" t="n">
        <v>31573077994</v>
      </c>
    </row>
    <row r="1049">
      <c r="A1049" t="inlineStr">
        <is>
          <t>2024-05-17</t>
        </is>
      </c>
      <c r="B1049" t="n">
        <v>65231.296875</v>
      </c>
      <c r="C1049" t="n">
        <v>67459.4609375</v>
      </c>
      <c r="D1049" t="n">
        <v>65119.31640625</v>
      </c>
      <c r="E1049" t="n">
        <v>67051.875</v>
      </c>
      <c r="F1049" t="n">
        <v>28031279310</v>
      </c>
    </row>
    <row r="1050">
      <c r="A1050" t="inlineStr">
        <is>
          <t>2024-05-18</t>
        </is>
      </c>
      <c r="B1050" t="n">
        <v>67066.2109375</v>
      </c>
      <c r="C1050" t="n">
        <v>67387.328125</v>
      </c>
      <c r="D1050" t="n">
        <v>66663.5</v>
      </c>
      <c r="E1050" t="n">
        <v>66940.8046875</v>
      </c>
      <c r="F1050" t="n">
        <v>16712277406</v>
      </c>
    </row>
    <row r="1051">
      <c r="A1051" t="inlineStr">
        <is>
          <t>2024-05-19</t>
        </is>
      </c>
      <c r="B1051" t="n">
        <v>66937.9296875</v>
      </c>
      <c r="C1051" t="n">
        <v>67694.296875</v>
      </c>
      <c r="D1051" t="n">
        <v>65937.1796875</v>
      </c>
      <c r="E1051" t="n">
        <v>66278.3671875</v>
      </c>
      <c r="F1051" t="n">
        <v>19249094538</v>
      </c>
    </row>
    <row r="1052">
      <c r="A1052" t="inlineStr">
        <is>
          <t>2024-05-20</t>
        </is>
      </c>
      <c r="B1052" t="n">
        <v>66278.7421875</v>
      </c>
      <c r="C1052" t="n">
        <v>71483.5625</v>
      </c>
      <c r="D1052" t="n">
        <v>66086.171875</v>
      </c>
      <c r="E1052" t="n">
        <v>71448.1953125</v>
      </c>
      <c r="F1052" t="n">
        <v>43850655717</v>
      </c>
    </row>
    <row r="1053">
      <c r="A1053" t="inlineStr">
        <is>
          <t>2024-05-21</t>
        </is>
      </c>
      <c r="B1053" t="n">
        <v>71443.0625</v>
      </c>
      <c r="C1053" t="n">
        <v>71946.4609375</v>
      </c>
      <c r="D1053" t="n">
        <v>69191.125</v>
      </c>
      <c r="E1053" t="n">
        <v>70136.53125</v>
      </c>
      <c r="F1053" t="n">
        <v>46932005990</v>
      </c>
    </row>
    <row r="1054">
      <c r="A1054" t="inlineStr">
        <is>
          <t>2024-05-22</t>
        </is>
      </c>
      <c r="B1054" t="n">
        <v>70135.3203125</v>
      </c>
      <c r="C1054" t="n">
        <v>70623.6953125</v>
      </c>
      <c r="D1054" t="n">
        <v>68977.6953125</v>
      </c>
      <c r="E1054" t="n">
        <v>69122.3359375</v>
      </c>
      <c r="F1054" t="n">
        <v>32802561717</v>
      </c>
    </row>
    <row r="1055">
      <c r="A1055" t="inlineStr">
        <is>
          <t>2024-05-23</t>
        </is>
      </c>
      <c r="B1055" t="n">
        <v>69121.3046875</v>
      </c>
      <c r="C1055" t="n">
        <v>70041.2734375</v>
      </c>
      <c r="D1055" t="n">
        <v>66356.953125</v>
      </c>
      <c r="E1055" t="n">
        <v>67929.5625</v>
      </c>
      <c r="F1055" t="n">
        <v>41895680979</v>
      </c>
    </row>
    <row r="1056">
      <c r="A1056" t="inlineStr">
        <is>
          <t>2024-05-24</t>
        </is>
      </c>
      <c r="B1056" t="n">
        <v>67928.1328125</v>
      </c>
      <c r="C1056" t="n">
        <v>69220.296875</v>
      </c>
      <c r="D1056" t="n">
        <v>66622.671875</v>
      </c>
      <c r="E1056" t="n">
        <v>68526.1015625</v>
      </c>
      <c r="F1056" t="n">
        <v>29197308153</v>
      </c>
    </row>
    <row r="1057">
      <c r="A1057" t="inlineStr">
        <is>
          <t>2024-05-25</t>
        </is>
      </c>
      <c r="B1057" t="n">
        <v>68526.921875</v>
      </c>
      <c r="C1057" t="n">
        <v>69579.3203125</v>
      </c>
      <c r="D1057" t="n">
        <v>68515.8203125</v>
      </c>
      <c r="E1057" t="n">
        <v>69265.9453125</v>
      </c>
      <c r="F1057" t="n">
        <v>15473071741</v>
      </c>
    </row>
    <row r="1058">
      <c r="A1058" t="inlineStr">
        <is>
          <t>2024-05-26</t>
        </is>
      </c>
      <c r="B1058" t="n">
        <v>69264.2890625</v>
      </c>
      <c r="C1058" t="n">
        <v>69506.2265625</v>
      </c>
      <c r="D1058" t="n">
        <v>68183.890625</v>
      </c>
      <c r="E1058" t="n">
        <v>68518.09375</v>
      </c>
      <c r="F1058" t="n">
        <v>15628433737</v>
      </c>
    </row>
    <row r="1059">
      <c r="A1059" t="inlineStr">
        <is>
          <t>2024-05-27</t>
        </is>
      </c>
      <c r="B1059" t="n">
        <v>68512.1796875</v>
      </c>
      <c r="C1059" t="n">
        <v>70597.8828125</v>
      </c>
      <c r="D1059" t="n">
        <v>68232.5</v>
      </c>
      <c r="E1059" t="n">
        <v>69394.5546875</v>
      </c>
      <c r="F1059" t="n">
        <v>25870990717</v>
      </c>
    </row>
    <row r="1060">
      <c r="A1060" t="inlineStr">
        <is>
          <t>2024-05-28</t>
        </is>
      </c>
      <c r="B1060" t="n">
        <v>69392.1953125</v>
      </c>
      <c r="C1060" t="n">
        <v>69514.640625</v>
      </c>
      <c r="D1060" t="n">
        <v>67227.15625</v>
      </c>
      <c r="E1060" t="n">
        <v>68296.21875</v>
      </c>
      <c r="F1060" t="n">
        <v>32722265965</v>
      </c>
    </row>
    <row r="1061">
      <c r="A1061" t="inlineStr">
        <is>
          <t>2024-05-29</t>
        </is>
      </c>
      <c r="B1061" t="n">
        <v>68296.3515625</v>
      </c>
      <c r="C1061" t="n">
        <v>68852.4609375</v>
      </c>
      <c r="D1061" t="n">
        <v>67101.4921875</v>
      </c>
      <c r="E1061" t="n">
        <v>67578.09375</v>
      </c>
      <c r="F1061" t="n">
        <v>26707072906</v>
      </c>
    </row>
    <row r="1062">
      <c r="A1062" t="inlineStr">
        <is>
          <t>2024-05-30</t>
        </is>
      </c>
      <c r="B1062" t="n">
        <v>67576.0859375</v>
      </c>
      <c r="C1062" t="n">
        <v>69500.5390625</v>
      </c>
      <c r="D1062" t="n">
        <v>67118.078125</v>
      </c>
      <c r="E1062" t="n">
        <v>68364.9921875</v>
      </c>
      <c r="F1062" t="n">
        <v>29509712534</v>
      </c>
    </row>
    <row r="1063">
      <c r="A1063" t="inlineStr">
        <is>
          <t>2024-05-31</t>
        </is>
      </c>
      <c r="B1063" t="n">
        <v>68362.515625</v>
      </c>
      <c r="C1063" t="n">
        <v>68999.5625</v>
      </c>
      <c r="D1063" t="n">
        <v>66633.421875</v>
      </c>
      <c r="E1063" t="n">
        <v>67491.4140625</v>
      </c>
      <c r="F1063" t="n">
        <v>27387283769</v>
      </c>
    </row>
    <row r="1064">
      <c r="A1064" t="inlineStr">
        <is>
          <t>2024-06-01</t>
        </is>
      </c>
      <c r="B1064" t="n">
        <v>67489.609375</v>
      </c>
      <c r="C1064" t="n">
        <v>67839.765625</v>
      </c>
      <c r="D1064" t="n">
        <v>67386.1953125</v>
      </c>
      <c r="E1064" t="n">
        <v>67706.9375</v>
      </c>
      <c r="F1064" t="n">
        <v>11641495604</v>
      </c>
    </row>
    <row r="1065">
      <c r="A1065" t="inlineStr">
        <is>
          <t>2024-06-02</t>
        </is>
      </c>
      <c r="B1065" t="n">
        <v>67710.2734375</v>
      </c>
      <c r="C1065" t="n">
        <v>68409.1640625</v>
      </c>
      <c r="D1065" t="n">
        <v>67315.5234375</v>
      </c>
      <c r="E1065" t="n">
        <v>67751.6015625</v>
      </c>
      <c r="F1065" t="n">
        <v>17110588415</v>
      </c>
    </row>
    <row r="1066">
      <c r="A1066" t="inlineStr">
        <is>
          <t>2024-06-03</t>
        </is>
      </c>
      <c r="B1066" t="n">
        <v>67753.8984375</v>
      </c>
      <c r="C1066" t="n">
        <v>70230.8203125</v>
      </c>
      <c r="D1066" t="n">
        <v>67589.8359375</v>
      </c>
      <c r="E1066" t="n">
        <v>68804.78125</v>
      </c>
      <c r="F1066" t="n">
        <v>32401285324</v>
      </c>
    </row>
    <row r="1067">
      <c r="A1067" t="inlineStr">
        <is>
          <t>2024-06-04</t>
        </is>
      </c>
      <c r="B1067" t="n">
        <v>68804.5703125</v>
      </c>
      <c r="C1067" t="n">
        <v>71047.40625</v>
      </c>
      <c r="D1067" t="n">
        <v>68564.640625</v>
      </c>
      <c r="E1067" t="n">
        <v>70567.765625</v>
      </c>
      <c r="F1067" t="n">
        <v>33149696545</v>
      </c>
    </row>
    <row r="1068">
      <c r="A1068" t="inlineStr">
        <is>
          <t>2024-06-05</t>
        </is>
      </c>
      <c r="B1068" t="n">
        <v>70568.3515625</v>
      </c>
      <c r="C1068" t="n">
        <v>71735.4140625</v>
      </c>
      <c r="D1068" t="n">
        <v>70390.7109375</v>
      </c>
      <c r="E1068" t="n">
        <v>71082.8203125</v>
      </c>
      <c r="F1068" t="n">
        <v>32810771409</v>
      </c>
    </row>
    <row r="1069">
      <c r="A1069" t="inlineStr">
        <is>
          <t>2024-06-06</t>
        </is>
      </c>
      <c r="B1069" t="n">
        <v>71082.84375</v>
      </c>
      <c r="C1069" t="n">
        <v>71625.734375</v>
      </c>
      <c r="D1069" t="n">
        <v>70119.125</v>
      </c>
      <c r="E1069" t="n">
        <v>70757.1640625</v>
      </c>
      <c r="F1069" t="n">
        <v>25223152007</v>
      </c>
    </row>
    <row r="1070">
      <c r="A1070" t="inlineStr">
        <is>
          <t>2024-06-07</t>
        </is>
      </c>
      <c r="B1070" t="n">
        <v>70759.1875</v>
      </c>
      <c r="C1070" t="n">
        <v>71907.8515625</v>
      </c>
      <c r="D1070" t="n">
        <v>68507.2578125</v>
      </c>
      <c r="E1070" t="n">
        <v>69342.5859375</v>
      </c>
      <c r="F1070" t="n">
        <v>36188381096</v>
      </c>
    </row>
    <row r="1071">
      <c r="A1071" t="inlineStr">
        <is>
          <t>2024-06-08</t>
        </is>
      </c>
      <c r="B1071" t="n">
        <v>69324.1796875</v>
      </c>
      <c r="C1071" t="n">
        <v>69533.3203125</v>
      </c>
      <c r="D1071" t="n">
        <v>69210.7421875</v>
      </c>
      <c r="E1071" t="n">
        <v>69305.7734375</v>
      </c>
      <c r="F1071" t="n">
        <v>14262185861</v>
      </c>
    </row>
    <row r="1072">
      <c r="A1072" t="inlineStr">
        <is>
          <t>2024-06-09</t>
        </is>
      </c>
      <c r="B1072" t="n">
        <v>69297.4921875</v>
      </c>
      <c r="C1072" t="n">
        <v>69817.5234375</v>
      </c>
      <c r="D1072" t="n">
        <v>69160.84375</v>
      </c>
      <c r="E1072" t="n">
        <v>69647.9921875</v>
      </c>
      <c r="F1072" t="n">
        <v>13534028500</v>
      </c>
    </row>
    <row r="1073">
      <c r="A1073" t="inlineStr">
        <is>
          <t>2024-06-10</t>
        </is>
      </c>
      <c r="B1073" t="n">
        <v>69644.3125</v>
      </c>
      <c r="C1073" t="n">
        <v>70146.0703125</v>
      </c>
      <c r="D1073" t="n">
        <v>69232.421875</v>
      </c>
      <c r="E1073" t="n">
        <v>69512.28125</v>
      </c>
      <c r="F1073" t="n">
        <v>20597699541</v>
      </c>
    </row>
    <row r="1074">
      <c r="A1074" t="inlineStr">
        <is>
          <t>2024-06-11</t>
        </is>
      </c>
      <c r="B1074" t="n">
        <v>69508.078125</v>
      </c>
      <c r="C1074" t="n">
        <v>69549.4140625</v>
      </c>
      <c r="D1074" t="n">
        <v>66123.6015625</v>
      </c>
      <c r="E1074" t="n">
        <v>67332.03125</v>
      </c>
      <c r="F1074" t="n">
        <v>37116136345</v>
      </c>
    </row>
    <row r="1075">
      <c r="A1075" t="inlineStr">
        <is>
          <t>2024-06-12</t>
        </is>
      </c>
      <c r="B1075" t="n">
        <v>67321.375</v>
      </c>
      <c r="C1075" t="n">
        <v>69977.890625</v>
      </c>
      <c r="D1075" t="n">
        <v>66902.453125</v>
      </c>
      <c r="E1075" t="n">
        <v>68241.1875</v>
      </c>
      <c r="F1075" t="n">
        <v>34497940694</v>
      </c>
    </row>
    <row r="1076">
      <c r="A1076" t="inlineStr">
        <is>
          <t>2024-06-13</t>
        </is>
      </c>
      <c r="B1076" t="n">
        <v>68243.1015625</v>
      </c>
      <c r="C1076" t="n">
        <v>68365.78125</v>
      </c>
      <c r="D1076" t="n">
        <v>66304.5625</v>
      </c>
      <c r="E1076" t="n">
        <v>66756.3984375</v>
      </c>
      <c r="F1076" t="n">
        <v>28955204146</v>
      </c>
    </row>
    <row r="1077">
      <c r="A1077" t="inlineStr">
        <is>
          <t>2024-06-14</t>
        </is>
      </c>
      <c r="B1077" t="n">
        <v>66747.5703125</v>
      </c>
      <c r="C1077" t="n">
        <v>67294.6484375</v>
      </c>
      <c r="D1077" t="n">
        <v>65056.89453125</v>
      </c>
      <c r="E1077" t="n">
        <v>66011.09375</v>
      </c>
      <c r="F1077" t="n">
        <v>27403884779</v>
      </c>
    </row>
    <row r="1078">
      <c r="A1078" t="inlineStr">
        <is>
          <t>2024-06-15</t>
        </is>
      </c>
      <c r="B1078" t="n">
        <v>66006.7421875</v>
      </c>
      <c r="C1078" t="n">
        <v>66402.1875</v>
      </c>
      <c r="D1078" t="n">
        <v>65871.7734375</v>
      </c>
      <c r="E1078" t="n">
        <v>66191</v>
      </c>
      <c r="F1078" t="n">
        <v>14121265576</v>
      </c>
    </row>
    <row r="1079">
      <c r="A1079" t="inlineStr">
        <is>
          <t>2024-06-16</t>
        </is>
      </c>
      <c r="B1079" t="n">
        <v>66189.359375</v>
      </c>
      <c r="C1079" t="n">
        <v>66894.84375</v>
      </c>
      <c r="D1079" t="n">
        <v>66018.25</v>
      </c>
      <c r="E1079" t="n">
        <v>66639.046875</v>
      </c>
      <c r="F1079" t="n">
        <v>13281140541</v>
      </c>
    </row>
    <row r="1080">
      <c r="A1080" t="inlineStr">
        <is>
          <t>2024-06-17</t>
        </is>
      </c>
      <c r="B1080" t="n">
        <v>66636.515625</v>
      </c>
      <c r="C1080" t="n">
        <v>67188.3203125</v>
      </c>
      <c r="D1080" t="n">
        <v>65094.96484375</v>
      </c>
      <c r="E1080" t="n">
        <v>66490.296875</v>
      </c>
      <c r="F1080" t="n">
        <v>30006354476</v>
      </c>
    </row>
    <row r="1081">
      <c r="A1081" t="inlineStr">
        <is>
          <t>2024-06-18</t>
        </is>
      </c>
      <c r="B1081" t="n">
        <v>66490.9765625</v>
      </c>
      <c r="C1081" t="n">
        <v>66556.703125</v>
      </c>
      <c r="D1081" t="n">
        <v>64066.95703125</v>
      </c>
      <c r="E1081" t="n">
        <v>65140.74609375</v>
      </c>
      <c r="F1081" t="n">
        <v>39481285950</v>
      </c>
    </row>
    <row r="1082">
      <c r="A1082" t="inlineStr">
        <is>
          <t>2024-06-19</t>
        </is>
      </c>
      <c r="B1082" t="n">
        <v>65146.66015625</v>
      </c>
      <c r="C1082" t="n">
        <v>65695.3515625</v>
      </c>
      <c r="D1082" t="n">
        <v>64693.30078125</v>
      </c>
      <c r="E1082" t="n">
        <v>64960.296875</v>
      </c>
      <c r="F1082" t="n">
        <v>21103423504</v>
      </c>
    </row>
    <row r="1083">
      <c r="A1083" t="inlineStr">
        <is>
          <t>2024-06-20</t>
        </is>
      </c>
      <c r="B1083" t="n">
        <v>64960.296875</v>
      </c>
      <c r="C1083" t="n">
        <v>66438.9609375</v>
      </c>
      <c r="D1083" t="n">
        <v>64547.84765625</v>
      </c>
      <c r="E1083" t="n">
        <v>64828.65625</v>
      </c>
      <c r="F1083" t="n">
        <v>25641109124</v>
      </c>
    </row>
    <row r="1084">
      <c r="A1084" t="inlineStr">
        <is>
          <t>2024-06-21</t>
        </is>
      </c>
      <c r="B1084" t="n">
        <v>64837.98828125</v>
      </c>
      <c r="C1084" t="n">
        <v>65007.546875</v>
      </c>
      <c r="D1084" t="n">
        <v>63378.89453125</v>
      </c>
      <c r="E1084" t="n">
        <v>64096.19921875</v>
      </c>
      <c r="F1084" t="n">
        <v>26188171739</v>
      </c>
    </row>
    <row r="1085">
      <c r="A1085" t="inlineStr">
        <is>
          <t>2024-06-22</t>
        </is>
      </c>
      <c r="B1085" t="n">
        <v>64113.86328125</v>
      </c>
      <c r="C1085" t="n">
        <v>64475.46875</v>
      </c>
      <c r="D1085" t="n">
        <v>63929.7578125</v>
      </c>
      <c r="E1085" t="n">
        <v>64252.578125</v>
      </c>
      <c r="F1085" t="n">
        <v>9858198793</v>
      </c>
    </row>
    <row r="1086">
      <c r="A1086" t="inlineStr">
        <is>
          <t>2024-06-23</t>
        </is>
      </c>
      <c r="B1086" t="n">
        <v>64248.96484375</v>
      </c>
      <c r="C1086" t="n">
        <v>64491.703125</v>
      </c>
      <c r="D1086" t="n">
        <v>63180.796875</v>
      </c>
      <c r="E1086" t="n">
        <v>63180.796875</v>
      </c>
      <c r="F1086" t="n">
        <v>11170471802</v>
      </c>
    </row>
    <row r="1087">
      <c r="A1087" t="inlineStr">
        <is>
          <t>2024-06-24</t>
        </is>
      </c>
      <c r="B1087" t="n">
        <v>63173.3515625</v>
      </c>
      <c r="C1087" t="n">
        <v>63292.52734375</v>
      </c>
      <c r="D1087" t="n">
        <v>58601.69921875</v>
      </c>
      <c r="E1087" t="n">
        <v>60277.4140625</v>
      </c>
      <c r="F1087" t="n">
        <v>43152133651</v>
      </c>
    </row>
    <row r="1088">
      <c r="A1088" t="inlineStr">
        <is>
          <t>2024-06-25</t>
        </is>
      </c>
      <c r="B1088" t="n">
        <v>60266.28125</v>
      </c>
      <c r="C1088" t="n">
        <v>62258.26171875</v>
      </c>
      <c r="D1088" t="n">
        <v>60239.75</v>
      </c>
      <c r="E1088" t="n">
        <v>61804.640625</v>
      </c>
      <c r="F1088" t="n">
        <v>29201215431</v>
      </c>
    </row>
    <row r="1089">
      <c r="A1089" t="inlineStr">
        <is>
          <t>2024-06-26</t>
        </is>
      </c>
      <c r="B1089" t="n">
        <v>61789.67578125</v>
      </c>
      <c r="C1089" t="n">
        <v>62434.13671875</v>
      </c>
      <c r="D1089" t="n">
        <v>60695.1875</v>
      </c>
      <c r="E1089" t="n">
        <v>60811.27734375</v>
      </c>
      <c r="F1089" t="n">
        <v>22506003064</v>
      </c>
    </row>
    <row r="1090">
      <c r="A1090" t="inlineStr">
        <is>
          <t>2024-06-27</t>
        </is>
      </c>
      <c r="B1090" t="n">
        <v>60811.2265625</v>
      </c>
      <c r="C1090" t="n">
        <v>62293.86328125</v>
      </c>
      <c r="D1090" t="n">
        <v>60585.33203125</v>
      </c>
      <c r="E1090" t="n">
        <v>61604.80078125</v>
      </c>
      <c r="F1090" t="n">
        <v>21231745045</v>
      </c>
    </row>
    <row r="1091">
      <c r="A1091" t="inlineStr">
        <is>
          <t>2024-06-28</t>
        </is>
      </c>
      <c r="B1091" t="n">
        <v>61612.8046875</v>
      </c>
      <c r="C1091" t="n">
        <v>62126.09765625</v>
      </c>
      <c r="D1091" t="n">
        <v>59985.40234375</v>
      </c>
      <c r="E1091" t="n">
        <v>60320.13671875</v>
      </c>
      <c r="F1091" t="n">
        <v>24952866877</v>
      </c>
    </row>
    <row r="1092">
      <c r="A1092" t="inlineStr">
        <is>
          <t>2024-06-29</t>
        </is>
      </c>
      <c r="B1092" t="n">
        <v>60319.875</v>
      </c>
      <c r="C1092" t="n">
        <v>61097.62109375</v>
      </c>
      <c r="D1092" t="n">
        <v>60300.96484375</v>
      </c>
      <c r="E1092" t="n">
        <v>60887.37890625</v>
      </c>
      <c r="F1092" t="n">
        <v>12652903396</v>
      </c>
    </row>
    <row r="1093">
      <c r="A1093" t="inlineStr">
        <is>
          <t>2024-06-30</t>
        </is>
      </c>
      <c r="B1093" t="n">
        <v>60888.4453125</v>
      </c>
      <c r="C1093" t="n">
        <v>62892.828125</v>
      </c>
      <c r="D1093" t="n">
        <v>60632.94921875</v>
      </c>
      <c r="E1093" t="n">
        <v>62678.29296875</v>
      </c>
      <c r="F1093" t="n">
        <v>17333226409</v>
      </c>
    </row>
    <row r="1094">
      <c r="A1094" t="inlineStr">
        <is>
          <t>2024-07-01</t>
        </is>
      </c>
      <c r="B1094" t="n">
        <v>62673.60546875</v>
      </c>
      <c r="C1094" t="n">
        <v>63777.2265625</v>
      </c>
      <c r="D1094" t="n">
        <v>62495.51171875</v>
      </c>
      <c r="E1094" t="n">
        <v>62851.98046875</v>
      </c>
      <c r="F1094" t="n">
        <v>25468379421</v>
      </c>
    </row>
    <row r="1095">
      <c r="A1095" t="inlineStr">
        <is>
          <t>2024-07-02</t>
        </is>
      </c>
      <c r="B1095" t="n">
        <v>62844.41015625</v>
      </c>
      <c r="C1095" t="n">
        <v>63203.359375</v>
      </c>
      <c r="D1095" t="n">
        <v>61752.74609375</v>
      </c>
      <c r="E1095" t="n">
        <v>62029.015625</v>
      </c>
      <c r="F1095" t="n">
        <v>20151616992</v>
      </c>
    </row>
    <row r="1096">
      <c r="A1096" t="inlineStr">
        <is>
          <t>2024-07-03</t>
        </is>
      </c>
      <c r="B1096" t="n">
        <v>62034.33203125</v>
      </c>
      <c r="C1096" t="n">
        <v>62187.703125</v>
      </c>
      <c r="D1096" t="n">
        <v>59419.38671875</v>
      </c>
      <c r="E1096" t="n">
        <v>60173.921875</v>
      </c>
      <c r="F1096" t="n">
        <v>29756701685</v>
      </c>
    </row>
    <row r="1097">
      <c r="A1097" t="inlineStr">
        <is>
          <t>2024-07-04</t>
        </is>
      </c>
      <c r="B1097" t="n">
        <v>60147.13671875</v>
      </c>
      <c r="C1097" t="n">
        <v>60399.67578125</v>
      </c>
      <c r="D1097" t="n">
        <v>56777.8046875</v>
      </c>
      <c r="E1097" t="n">
        <v>56977.703125</v>
      </c>
      <c r="F1097" t="n">
        <v>41149609230</v>
      </c>
    </row>
    <row r="1098">
      <c r="A1098" t="inlineStr">
        <is>
          <t>2024-07-05</t>
        </is>
      </c>
      <c r="B1098" t="n">
        <v>57022.80859375</v>
      </c>
      <c r="C1098" t="n">
        <v>57497.15234375</v>
      </c>
      <c r="D1098" t="n">
        <v>53717.375</v>
      </c>
      <c r="E1098" t="n">
        <v>56662.375</v>
      </c>
      <c r="F1098" t="n">
        <v>55417544033</v>
      </c>
    </row>
    <row r="1099">
      <c r="A1099" t="inlineStr">
        <is>
          <t>2024-07-06</t>
        </is>
      </c>
      <c r="B1099" t="n">
        <v>56659.07421875</v>
      </c>
      <c r="C1099" t="n">
        <v>58472.546875</v>
      </c>
      <c r="D1099" t="n">
        <v>56038.9609375</v>
      </c>
      <c r="E1099" t="n">
        <v>58303.5390625</v>
      </c>
      <c r="F1099" t="n">
        <v>20610320577</v>
      </c>
    </row>
    <row r="1100">
      <c r="A1100" t="inlineStr">
        <is>
          <t>2024-07-07</t>
        </is>
      </c>
      <c r="B1100" t="n">
        <v>58239.4296875</v>
      </c>
      <c r="C1100" t="n">
        <v>58371.12109375</v>
      </c>
      <c r="D1100" t="n">
        <v>55793.32421875</v>
      </c>
      <c r="E1100" t="n">
        <v>55849.109375</v>
      </c>
      <c r="F1100" t="n">
        <v>20553359505</v>
      </c>
    </row>
    <row r="1101">
      <c r="A1101" t="inlineStr">
        <is>
          <t>2024-07-08</t>
        </is>
      </c>
      <c r="B1101" t="n">
        <v>55849.57421875</v>
      </c>
      <c r="C1101" t="n">
        <v>58131.3359375</v>
      </c>
      <c r="D1101" t="n">
        <v>54321.01953125</v>
      </c>
      <c r="E1101" t="n">
        <v>56705.09765625</v>
      </c>
      <c r="F1101" t="n">
        <v>39766159899</v>
      </c>
    </row>
    <row r="1102">
      <c r="A1102" t="inlineStr">
        <is>
          <t>2024-07-09</t>
        </is>
      </c>
      <c r="B1102" t="n">
        <v>56704.59765625</v>
      </c>
      <c r="C1102" t="n">
        <v>58239.1953125</v>
      </c>
      <c r="D1102" t="n">
        <v>56316.875</v>
      </c>
      <c r="E1102" t="n">
        <v>58009.2265625</v>
      </c>
      <c r="F1102" t="n">
        <v>27849512607</v>
      </c>
    </row>
    <row r="1103">
      <c r="A1103" t="inlineStr">
        <is>
          <t>2024-07-10</t>
        </is>
      </c>
      <c r="B1103" t="n">
        <v>58033.8828125</v>
      </c>
      <c r="C1103" t="n">
        <v>59359.43359375</v>
      </c>
      <c r="D1103" t="n">
        <v>57178.4140625</v>
      </c>
      <c r="E1103" t="n">
        <v>57742.49609375</v>
      </c>
      <c r="F1103" t="n">
        <v>26175260526</v>
      </c>
    </row>
    <row r="1104">
      <c r="A1104" t="inlineStr">
        <is>
          <t>2024-07-11</t>
        </is>
      </c>
      <c r="B1104" t="n">
        <v>57729.890625</v>
      </c>
      <c r="C1104" t="n">
        <v>59299.43359375</v>
      </c>
      <c r="D1104" t="n">
        <v>57120.37890625</v>
      </c>
      <c r="E1104" t="n">
        <v>57344.9140625</v>
      </c>
      <c r="F1104" t="n">
        <v>28707803842</v>
      </c>
    </row>
    <row r="1105">
      <c r="A1105" t="inlineStr">
        <is>
          <t>2024-07-12</t>
        </is>
      </c>
      <c r="B1105" t="n">
        <v>57341.1953125</v>
      </c>
      <c r="C1105" t="n">
        <v>58532.5546875</v>
      </c>
      <c r="D1105" t="n">
        <v>56590.17578125</v>
      </c>
      <c r="E1105" t="n">
        <v>57899.46484375</v>
      </c>
      <c r="F1105" t="n">
        <v>25604805221</v>
      </c>
    </row>
    <row r="1106">
      <c r="A1106" t="inlineStr">
        <is>
          <t>2024-07-13</t>
        </is>
      </c>
      <c r="B1106" t="n">
        <v>57908.73828125</v>
      </c>
      <c r="C1106" t="n">
        <v>59787.078125</v>
      </c>
      <c r="D1106" t="n">
        <v>57796.44140625</v>
      </c>
      <c r="E1106" t="n">
        <v>59231.953125</v>
      </c>
      <c r="F1106" t="n">
        <v>17080061806</v>
      </c>
    </row>
    <row r="1107">
      <c r="A1107" t="inlineStr">
        <is>
          <t>2024-07-14</t>
        </is>
      </c>
      <c r="B1107" t="n">
        <v>59225.25</v>
      </c>
      <c r="C1107" t="n">
        <v>61329.52734375</v>
      </c>
      <c r="D1107" t="n">
        <v>59225.25</v>
      </c>
      <c r="E1107" t="n">
        <v>60787.79296875</v>
      </c>
      <c r="F1107" t="n">
        <v>22223416061</v>
      </c>
    </row>
    <row r="1108">
      <c r="A1108" t="inlineStr">
        <is>
          <t>2024-07-15</t>
        </is>
      </c>
      <c r="B1108" t="n">
        <v>60815.45703125</v>
      </c>
      <c r="C1108" t="n">
        <v>64870.15234375</v>
      </c>
      <c r="D1108" t="n">
        <v>60704.9296875</v>
      </c>
      <c r="E1108" t="n">
        <v>64870.15234375</v>
      </c>
      <c r="F1108" t="n">
        <v>38094526099</v>
      </c>
    </row>
    <row r="1109">
      <c r="A1109" t="inlineStr">
        <is>
          <t>2024-07-16</t>
        </is>
      </c>
      <c r="B1109" t="n">
        <v>64784.41796875</v>
      </c>
      <c r="C1109" t="n">
        <v>65354.33984375</v>
      </c>
      <c r="D1109" t="n">
        <v>62487.96875</v>
      </c>
      <c r="E1109" t="n">
        <v>65097.1484375</v>
      </c>
      <c r="F1109" t="n">
        <v>41617346768</v>
      </c>
    </row>
    <row r="1110">
      <c r="A1110" t="inlineStr">
        <is>
          <t>2024-07-17</t>
        </is>
      </c>
      <c r="B1110" t="n">
        <v>65091.83203125</v>
      </c>
      <c r="C1110" t="n">
        <v>66066.734375</v>
      </c>
      <c r="D1110" t="n">
        <v>63896.0859375</v>
      </c>
      <c r="E1110" t="n">
        <v>64118.79296875</v>
      </c>
      <c r="F1110" t="n">
        <v>32525071311</v>
      </c>
    </row>
    <row r="1111">
      <c r="A1111" t="inlineStr">
        <is>
          <t>2024-07-18</t>
        </is>
      </c>
      <c r="B1111" t="n">
        <v>64104.73828125</v>
      </c>
      <c r="C1111" t="n">
        <v>65104.66015625</v>
      </c>
      <c r="D1111" t="n">
        <v>63246.1640625</v>
      </c>
      <c r="E1111" t="n">
        <v>63974.06640625</v>
      </c>
      <c r="F1111" t="n">
        <v>27239305337</v>
      </c>
    </row>
    <row r="1112">
      <c r="A1112" t="inlineStr">
        <is>
          <t>2024-07-19</t>
        </is>
      </c>
      <c r="B1112" t="n">
        <v>63972.32421875</v>
      </c>
      <c r="C1112" t="n">
        <v>67442.640625</v>
      </c>
      <c r="D1112" t="n">
        <v>63329.34375</v>
      </c>
      <c r="E1112" t="n">
        <v>66710.15625</v>
      </c>
      <c r="F1112" t="n">
        <v>37003855410</v>
      </c>
    </row>
    <row r="1113">
      <c r="A1113" t="inlineStr">
        <is>
          <t>2024-07-20</t>
        </is>
      </c>
      <c r="B1113" t="n">
        <v>66709.921875</v>
      </c>
      <c r="C1113" t="n">
        <v>67610.734375</v>
      </c>
      <c r="D1113" t="n">
        <v>66299.6171875</v>
      </c>
      <c r="E1113" t="n">
        <v>67163.6484375</v>
      </c>
      <c r="F1113" t="n">
        <v>19029581250</v>
      </c>
    </row>
    <row r="1114">
      <c r="A1114" t="inlineStr">
        <is>
          <t>2024-07-21</t>
        </is>
      </c>
      <c r="B1114" t="n">
        <v>67164.9140625</v>
      </c>
      <c r="C1114" t="n">
        <v>68372.90625</v>
      </c>
      <c r="D1114" t="n">
        <v>65842.296875</v>
      </c>
      <c r="E1114" t="n">
        <v>68154.5234375</v>
      </c>
      <c r="F1114" t="n">
        <v>26652190004</v>
      </c>
    </row>
    <row r="1115">
      <c r="A1115" t="inlineStr">
        <is>
          <t>2024-07-22</t>
        </is>
      </c>
      <c r="B1115" t="n">
        <v>68152.9765625</v>
      </c>
      <c r="C1115" t="n">
        <v>68480.0625</v>
      </c>
      <c r="D1115" t="n">
        <v>66611.296875</v>
      </c>
      <c r="E1115" t="n">
        <v>67585.25</v>
      </c>
      <c r="F1115" t="n">
        <v>42649109453</v>
      </c>
    </row>
    <row r="1116">
      <c r="A1116" t="inlineStr">
        <is>
          <t>2024-07-23</t>
        </is>
      </c>
      <c r="B1116" t="n">
        <v>67584.8046875</v>
      </c>
      <c r="C1116" t="n">
        <v>67779.015625</v>
      </c>
      <c r="D1116" t="n">
        <v>65484.4609375</v>
      </c>
      <c r="E1116" t="n">
        <v>65927.671875</v>
      </c>
      <c r="F1116" t="n">
        <v>35605668666</v>
      </c>
    </row>
    <row r="1117">
      <c r="A1117" t="inlineStr">
        <is>
          <t>2024-07-24</t>
        </is>
      </c>
      <c r="B1117" t="n">
        <v>65927.859375</v>
      </c>
      <c r="C1117" t="n">
        <v>67113.984375</v>
      </c>
      <c r="D1117" t="n">
        <v>65146.99609375</v>
      </c>
      <c r="E1117" t="n">
        <v>65372.1328125</v>
      </c>
      <c r="F1117" t="n">
        <v>27470942309</v>
      </c>
    </row>
    <row r="1118">
      <c r="A1118" t="inlineStr">
        <is>
          <t>2024-07-25</t>
        </is>
      </c>
      <c r="B1118" t="n">
        <v>65375.875</v>
      </c>
      <c r="C1118" t="n">
        <v>66112.421875</v>
      </c>
      <c r="D1118" t="n">
        <v>63473.47265625</v>
      </c>
      <c r="E1118" t="n">
        <v>65777.2265625</v>
      </c>
      <c r="F1118" t="n">
        <v>38315761670</v>
      </c>
    </row>
    <row r="1119">
      <c r="A1119" t="inlineStr">
        <is>
          <t>2024-07-26</t>
        </is>
      </c>
      <c r="B1119" t="n">
        <v>65771.8125</v>
      </c>
      <c r="C1119" t="n">
        <v>68207.6015625</v>
      </c>
      <c r="D1119" t="n">
        <v>65743.765625</v>
      </c>
      <c r="E1119" t="n">
        <v>67912.0625</v>
      </c>
      <c r="F1119" t="n">
        <v>30488630457</v>
      </c>
    </row>
    <row r="1120">
      <c r="A1120" t="inlineStr">
        <is>
          <t>2024-07-27</t>
        </is>
      </c>
      <c r="B1120" t="n">
        <v>67911.8125</v>
      </c>
      <c r="C1120" t="n">
        <v>69398.5078125</v>
      </c>
      <c r="D1120" t="n">
        <v>66705.21875</v>
      </c>
      <c r="E1120" t="n">
        <v>67813.3359375</v>
      </c>
      <c r="F1120" t="n">
        <v>34691905492</v>
      </c>
    </row>
    <row r="1121">
      <c r="A1121" t="inlineStr">
        <is>
          <t>2024-07-28</t>
        </is>
      </c>
      <c r="B1121" t="n">
        <v>67808.65625</v>
      </c>
      <c r="C1121" t="n">
        <v>68301.8515625</v>
      </c>
      <c r="D1121" t="n">
        <v>67085.828125</v>
      </c>
      <c r="E1121" t="n">
        <v>68255.8671875</v>
      </c>
      <c r="F1121" t="n">
        <v>18043166945</v>
      </c>
    </row>
    <row r="1122">
      <c r="A1122" t="inlineStr">
        <is>
          <t>2024-07-29</t>
        </is>
      </c>
      <c r="B1122" t="n">
        <v>68259.0546875</v>
      </c>
      <c r="C1122" t="n">
        <v>69987.5390625</v>
      </c>
      <c r="D1122" t="n">
        <v>66532.59375</v>
      </c>
      <c r="E1122" t="n">
        <v>66819.9140625</v>
      </c>
      <c r="F1122" t="n">
        <v>40780682628</v>
      </c>
    </row>
    <row r="1123">
      <c r="A1123" t="inlineStr">
        <is>
          <t>2024-07-30</t>
        </is>
      </c>
      <c r="B1123" t="n">
        <v>66819.0546875</v>
      </c>
      <c r="C1123" t="n">
        <v>66987.671875</v>
      </c>
      <c r="D1123" t="n">
        <v>65323.19140625</v>
      </c>
      <c r="E1123" t="n">
        <v>66201.015625</v>
      </c>
      <c r="F1123" t="n">
        <v>31380492109</v>
      </c>
    </row>
    <row r="1124">
      <c r="A1124" t="inlineStr">
        <is>
          <t>2024-07-31</t>
        </is>
      </c>
      <c r="B1124" t="n">
        <v>66201.2734375</v>
      </c>
      <c r="C1124" t="n">
        <v>66810.2109375</v>
      </c>
      <c r="D1124" t="n">
        <v>64532.046875</v>
      </c>
      <c r="E1124" t="n">
        <v>64619.25</v>
      </c>
      <c r="F1124" t="n">
        <v>31292785994</v>
      </c>
    </row>
    <row r="1125">
      <c r="A1125" t="inlineStr">
        <is>
          <t>2024-08-01</t>
        </is>
      </c>
      <c r="B1125" t="n">
        <v>64625.83984375</v>
      </c>
      <c r="C1125" t="n">
        <v>65593.2421875</v>
      </c>
      <c r="D1125" t="n">
        <v>62248.94140625</v>
      </c>
      <c r="E1125" t="n">
        <v>65357.5</v>
      </c>
      <c r="F1125" t="n">
        <v>40975554494</v>
      </c>
    </row>
    <row r="1126">
      <c r="A1126" t="inlineStr">
        <is>
          <t>2024-08-02</t>
        </is>
      </c>
      <c r="B1126" t="n">
        <v>65353.5</v>
      </c>
      <c r="C1126" t="n">
        <v>65523.22265625</v>
      </c>
      <c r="D1126" t="n">
        <v>61184.89453125</v>
      </c>
      <c r="E1126" t="n">
        <v>61415.06640625</v>
      </c>
      <c r="F1126" t="n">
        <v>43060875727</v>
      </c>
    </row>
    <row r="1127">
      <c r="A1127" t="inlineStr">
        <is>
          <t>2024-08-03</t>
        </is>
      </c>
      <c r="B1127" t="n">
        <v>61414.80859375</v>
      </c>
      <c r="C1127" t="n">
        <v>62148.37109375</v>
      </c>
      <c r="D1127" t="n">
        <v>59836.52734375</v>
      </c>
      <c r="E1127" t="n">
        <v>60680.09375</v>
      </c>
      <c r="F1127" t="n">
        <v>31753030589</v>
      </c>
    </row>
    <row r="1128">
      <c r="A1128" t="inlineStr">
        <is>
          <t>2024-08-04</t>
        </is>
      </c>
      <c r="B1128" t="n">
        <v>60676.09375</v>
      </c>
      <c r="C1128" t="n">
        <v>61062.98828125</v>
      </c>
      <c r="D1128" t="n">
        <v>57210.8046875</v>
      </c>
      <c r="E1128" t="n">
        <v>58116.9765625</v>
      </c>
      <c r="F1128" t="n">
        <v>31758917219</v>
      </c>
    </row>
    <row r="1129">
      <c r="A1129" t="inlineStr">
        <is>
          <t>2024-08-05</t>
        </is>
      </c>
      <c r="B1129" t="n">
        <v>58110.296875</v>
      </c>
      <c r="C1129" t="n">
        <v>58268.828125</v>
      </c>
      <c r="D1129" t="n">
        <v>49121.23828125</v>
      </c>
      <c r="E1129" t="n">
        <v>53991.45703125</v>
      </c>
      <c r="F1129" t="n">
        <v>108991085584</v>
      </c>
    </row>
    <row r="1130">
      <c r="A1130" t="inlineStr">
        <is>
          <t>2024-08-06</t>
        </is>
      </c>
      <c r="B1130" t="n">
        <v>53991.34765625</v>
      </c>
      <c r="C1130" t="n">
        <v>57059.91796875</v>
      </c>
      <c r="D1130" t="n">
        <v>53973.2734375</v>
      </c>
      <c r="E1130" t="n">
        <v>56034.31640625</v>
      </c>
      <c r="F1130" t="n">
        <v>49300484106</v>
      </c>
    </row>
    <row r="1131">
      <c r="A1131" t="inlineStr">
        <is>
          <t>2024-08-07</t>
        </is>
      </c>
      <c r="B1131" t="n">
        <v>56040.6328125</v>
      </c>
      <c r="C1131" t="n">
        <v>57726.8828125</v>
      </c>
      <c r="D1131" t="n">
        <v>54620.5078125</v>
      </c>
      <c r="E1131" t="n">
        <v>55027.4609375</v>
      </c>
      <c r="F1131" t="n">
        <v>41637562185</v>
      </c>
    </row>
    <row r="1132">
      <c r="A1132" t="inlineStr">
        <is>
          <t>2024-08-08</t>
        </is>
      </c>
      <c r="B1132" t="n">
        <v>55030.02734375</v>
      </c>
      <c r="C1132" t="n">
        <v>62673.765625</v>
      </c>
      <c r="D1132" t="n">
        <v>54766.7265625</v>
      </c>
      <c r="E1132" t="n">
        <v>61710.13671875</v>
      </c>
      <c r="F1132" t="n">
        <v>45298472567</v>
      </c>
    </row>
    <row r="1133">
      <c r="A1133" t="inlineStr">
        <is>
          <t>2024-08-09</t>
        </is>
      </c>
      <c r="B1133" t="n">
        <v>61728.20703125</v>
      </c>
      <c r="C1133" t="n">
        <v>61751.86328125</v>
      </c>
      <c r="D1133" t="n">
        <v>59587.859375</v>
      </c>
      <c r="E1133" t="n">
        <v>60880.11328125</v>
      </c>
      <c r="F1133" t="n">
        <v>33425553115</v>
      </c>
    </row>
    <row r="1134">
      <c r="A1134" t="inlineStr">
        <is>
          <t>2024-08-10</t>
        </is>
      </c>
      <c r="B1134" t="n">
        <v>60881.23046875</v>
      </c>
      <c r="C1134" t="n">
        <v>61464.51171875</v>
      </c>
      <c r="D1134" t="n">
        <v>60287.56640625</v>
      </c>
      <c r="E1134" t="n">
        <v>60945.8125</v>
      </c>
      <c r="F1134" t="n">
        <v>15745822278</v>
      </c>
    </row>
    <row r="1135">
      <c r="A1135" t="inlineStr">
        <is>
          <t>2024-08-11</t>
        </is>
      </c>
      <c r="B1135" t="n">
        <v>60944.890625</v>
      </c>
      <c r="C1135" t="n">
        <v>61778.66015625</v>
      </c>
      <c r="D1135" t="n">
        <v>58348.82421875</v>
      </c>
      <c r="E1135" t="n">
        <v>58719.484375</v>
      </c>
      <c r="F1135" t="n">
        <v>22759754812</v>
      </c>
    </row>
    <row r="1136">
      <c r="A1136" t="inlineStr">
        <is>
          <t>2024-08-12</t>
        </is>
      </c>
      <c r="B1136" t="n">
        <v>58719.39453125</v>
      </c>
      <c r="C1136" t="n">
        <v>60680.33203125</v>
      </c>
      <c r="D1136" t="n">
        <v>57688.8984375</v>
      </c>
      <c r="E1136" t="n">
        <v>59354.515625</v>
      </c>
      <c r="F1136" t="n">
        <v>37078637820</v>
      </c>
    </row>
    <row r="1137">
      <c r="A1137" t="inlineStr">
        <is>
          <t>2024-08-13</t>
        </is>
      </c>
      <c r="B1137" t="n">
        <v>59356.20703125</v>
      </c>
      <c r="C1137" t="n">
        <v>61572.3984375</v>
      </c>
      <c r="D1137" t="n">
        <v>58506.25390625</v>
      </c>
      <c r="E1137" t="n">
        <v>60609.56640625</v>
      </c>
      <c r="F1137" t="n">
        <v>30327698167</v>
      </c>
    </row>
    <row r="1138">
      <c r="A1138" t="inlineStr">
        <is>
          <t>2024-08-14</t>
        </is>
      </c>
      <c r="B1138" t="n">
        <v>60611.05078125</v>
      </c>
      <c r="C1138" t="n">
        <v>61687.7578125</v>
      </c>
      <c r="D1138" t="n">
        <v>58472.875</v>
      </c>
      <c r="E1138" t="n">
        <v>58737.26953125</v>
      </c>
      <c r="F1138" t="n">
        <v>29961696180</v>
      </c>
    </row>
    <row r="1139">
      <c r="A1139" t="inlineStr">
        <is>
          <t>2024-08-15</t>
        </is>
      </c>
      <c r="B1139" t="n">
        <v>58733.26171875</v>
      </c>
      <c r="C1139" t="n">
        <v>59838.6484375</v>
      </c>
      <c r="D1139" t="n">
        <v>56161.59375</v>
      </c>
      <c r="E1139" t="n">
        <v>57560.09765625</v>
      </c>
      <c r="F1139" t="n">
        <v>35682112440</v>
      </c>
    </row>
    <row r="1140">
      <c r="A1140" t="inlineStr">
        <is>
          <t>2024-08-16</t>
        </is>
      </c>
      <c r="B1140" t="n">
        <v>57560.2734375</v>
      </c>
      <c r="C1140" t="n">
        <v>59847.359375</v>
      </c>
      <c r="D1140" t="n">
        <v>57110.01953125</v>
      </c>
      <c r="E1140" t="n">
        <v>58894.10546875</v>
      </c>
      <c r="F1140" t="n">
        <v>29350938673</v>
      </c>
    </row>
    <row r="1141">
      <c r="A1141" t="inlineStr">
        <is>
          <t>2024-08-17</t>
        </is>
      </c>
      <c r="B1141" t="n">
        <v>58893.53125</v>
      </c>
      <c r="C1141" t="n">
        <v>59694.66796875</v>
      </c>
      <c r="D1141" t="n">
        <v>58814.83203125</v>
      </c>
      <c r="E1141" t="n">
        <v>59478.97265625</v>
      </c>
      <c r="F1141" t="n">
        <v>13589684021</v>
      </c>
    </row>
    <row r="1142">
      <c r="A1142" t="inlineStr">
        <is>
          <t>2024-08-18</t>
        </is>
      </c>
      <c r="B1142" t="n">
        <v>59468.1328125</v>
      </c>
      <c r="C1142" t="n">
        <v>60262.71875</v>
      </c>
      <c r="D1142" t="n">
        <v>58445.40234375</v>
      </c>
      <c r="E1142" t="n">
        <v>58483.96484375</v>
      </c>
      <c r="F1142" t="n">
        <v>17740625837</v>
      </c>
    </row>
    <row r="1143">
      <c r="A1143" t="inlineStr">
        <is>
          <t>2024-08-19</t>
        </is>
      </c>
      <c r="B1143" t="n">
        <v>58480.7109375</v>
      </c>
      <c r="C1143" t="n">
        <v>59612.66015625</v>
      </c>
      <c r="D1143" t="n">
        <v>57864.7109375</v>
      </c>
      <c r="E1143" t="n">
        <v>59493.453125</v>
      </c>
      <c r="F1143" t="n">
        <v>25911207712</v>
      </c>
    </row>
    <row r="1144">
      <c r="A1144" t="inlineStr">
        <is>
          <t>2024-08-20</t>
        </is>
      </c>
      <c r="B1144" t="n">
        <v>59493.453125</v>
      </c>
      <c r="C1144" t="n">
        <v>61396.328125</v>
      </c>
      <c r="D1144" t="n">
        <v>58610.8828125</v>
      </c>
      <c r="E1144" t="n">
        <v>59012.79296875</v>
      </c>
      <c r="F1144" t="n">
        <v>31613400008</v>
      </c>
    </row>
    <row r="1145">
      <c r="A1145" t="inlineStr">
        <is>
          <t>2024-08-21</t>
        </is>
      </c>
      <c r="B1145" t="n">
        <v>59014.98828125</v>
      </c>
      <c r="C1145" t="n">
        <v>61834.3515625</v>
      </c>
      <c r="D1145" t="n">
        <v>58823.4453125</v>
      </c>
      <c r="E1145" t="n">
        <v>61175.19140625</v>
      </c>
      <c r="F1145" t="n">
        <v>32731154072</v>
      </c>
    </row>
    <row r="1146">
      <c r="A1146" t="inlineStr">
        <is>
          <t>2024-08-22</t>
        </is>
      </c>
      <c r="B1146" t="n">
        <v>61168.31640625</v>
      </c>
      <c r="C1146" t="n">
        <v>61408.109375</v>
      </c>
      <c r="D1146" t="n">
        <v>59815.25390625</v>
      </c>
      <c r="E1146" t="n">
        <v>60381.9140625</v>
      </c>
      <c r="F1146" t="n">
        <v>27625734377</v>
      </c>
    </row>
    <row r="1147">
      <c r="A1147" t="inlineStr">
        <is>
          <t>2024-08-23</t>
        </is>
      </c>
      <c r="B1147" t="n">
        <v>60380.953125</v>
      </c>
      <c r="C1147" t="n">
        <v>64947.0625</v>
      </c>
      <c r="D1147" t="n">
        <v>60372.05078125</v>
      </c>
      <c r="E1147" t="n">
        <v>64094.35546875</v>
      </c>
      <c r="F1147" t="n">
        <v>42530509233</v>
      </c>
    </row>
    <row r="1148">
      <c r="A1148" t="inlineStr">
        <is>
          <t>2024-08-24</t>
        </is>
      </c>
      <c r="B1148" t="n">
        <v>64103.87109375</v>
      </c>
      <c r="C1148" t="n">
        <v>64513.7890625</v>
      </c>
      <c r="D1148" t="n">
        <v>63619.91796875</v>
      </c>
      <c r="E1148" t="n">
        <v>64178.9921875</v>
      </c>
      <c r="F1148" t="n">
        <v>21430585163</v>
      </c>
    </row>
    <row r="1149">
      <c r="A1149" t="inlineStr">
        <is>
          <t>2024-08-25</t>
        </is>
      </c>
      <c r="B1149" t="n">
        <v>64176.3671875</v>
      </c>
      <c r="C1149" t="n">
        <v>64996.421875</v>
      </c>
      <c r="D1149" t="n">
        <v>63833.51953125</v>
      </c>
      <c r="E1149" t="n">
        <v>64333.54296875</v>
      </c>
      <c r="F1149" t="n">
        <v>18827683555</v>
      </c>
    </row>
    <row r="1150">
      <c r="A1150" t="inlineStr">
        <is>
          <t>2024-08-26</t>
        </is>
      </c>
      <c r="B1150" t="n">
        <v>64342.2265625</v>
      </c>
      <c r="C1150" t="n">
        <v>64489.70703125</v>
      </c>
      <c r="D1150" t="n">
        <v>62849.55859375</v>
      </c>
      <c r="E1150" t="n">
        <v>62880.66015625</v>
      </c>
      <c r="F1150" t="n">
        <v>27682040631</v>
      </c>
    </row>
    <row r="1151">
      <c r="A1151" t="inlineStr">
        <is>
          <t>2024-08-27</t>
        </is>
      </c>
      <c r="B1151" t="n">
        <v>62879.70703125</v>
      </c>
      <c r="C1151" t="n">
        <v>63210.796875</v>
      </c>
      <c r="D1151" t="n">
        <v>58116.75</v>
      </c>
      <c r="E1151" t="n">
        <v>59504.1328125</v>
      </c>
      <c r="F1151" t="n">
        <v>39103882198</v>
      </c>
    </row>
    <row r="1152">
      <c r="A1152" t="inlineStr">
        <is>
          <t>2024-08-28</t>
        </is>
      </c>
      <c r="B1152" t="n">
        <v>59507.92578125</v>
      </c>
      <c r="C1152" t="n">
        <v>60236.44921875</v>
      </c>
      <c r="D1152" t="n">
        <v>57890.67578125</v>
      </c>
      <c r="E1152" t="n">
        <v>59027.625</v>
      </c>
      <c r="F1152" t="n">
        <v>40289564698</v>
      </c>
    </row>
    <row r="1153">
      <c r="A1153" t="inlineStr">
        <is>
          <t>2024-08-29</t>
        </is>
      </c>
      <c r="B1153" t="n">
        <v>59027.46875</v>
      </c>
      <c r="C1153" t="n">
        <v>61184.08203125</v>
      </c>
      <c r="D1153" t="n">
        <v>58786.2265625</v>
      </c>
      <c r="E1153" t="n">
        <v>59388.1796875</v>
      </c>
      <c r="F1153" t="n">
        <v>32224990582</v>
      </c>
    </row>
    <row r="1154">
      <c r="A1154" t="inlineStr">
        <is>
          <t>2024-08-30</t>
        </is>
      </c>
      <c r="B1154" t="n">
        <v>59388.6015625</v>
      </c>
      <c r="C1154" t="n">
        <v>59896.88671875</v>
      </c>
      <c r="D1154" t="n">
        <v>57768.53125</v>
      </c>
      <c r="E1154" t="n">
        <v>59119.4765625</v>
      </c>
      <c r="F1154" t="n">
        <v>32292756405</v>
      </c>
    </row>
    <row r="1155">
      <c r="A1155" t="inlineStr">
        <is>
          <t>2024-08-31</t>
        </is>
      </c>
      <c r="B1155" t="n">
        <v>59117.48046875</v>
      </c>
      <c r="C1155" t="n">
        <v>59432.59375</v>
      </c>
      <c r="D1155" t="n">
        <v>58768.78515625</v>
      </c>
      <c r="E1155" t="n">
        <v>58969.8984375</v>
      </c>
      <c r="F1155" t="n">
        <v>12403470760</v>
      </c>
    </row>
    <row r="1156">
      <c r="A1156" t="inlineStr">
        <is>
          <t>2024-09-01</t>
        </is>
      </c>
      <c r="B1156" t="n">
        <v>58969.80078125</v>
      </c>
      <c r="C1156" t="n">
        <v>59062.0703125</v>
      </c>
      <c r="D1156" t="n">
        <v>57217.82421875</v>
      </c>
      <c r="E1156" t="n">
        <v>57325.48828125</v>
      </c>
      <c r="F1156" t="n">
        <v>24592449997</v>
      </c>
    </row>
    <row r="1157">
      <c r="A1157" t="inlineStr">
        <is>
          <t>2024-09-02</t>
        </is>
      </c>
      <c r="B1157" t="n">
        <v>57326.96875</v>
      </c>
      <c r="C1157" t="n">
        <v>59403.0703125</v>
      </c>
      <c r="D1157" t="n">
        <v>57136.02734375</v>
      </c>
      <c r="E1157" t="n">
        <v>59112.48046875</v>
      </c>
      <c r="F1157" t="n">
        <v>27036454524</v>
      </c>
    </row>
    <row r="1158">
      <c r="A1158" t="inlineStr">
        <is>
          <t>2024-09-03</t>
        </is>
      </c>
      <c r="B1158" t="n">
        <v>59106.19140625</v>
      </c>
      <c r="C1158" t="n">
        <v>59815.05859375</v>
      </c>
      <c r="D1158" t="n">
        <v>57425.16796875</v>
      </c>
      <c r="E1158" t="n">
        <v>57431.0234375</v>
      </c>
      <c r="F1158" t="n">
        <v>26666961053</v>
      </c>
    </row>
    <row r="1159">
      <c r="A1159" t="inlineStr">
        <is>
          <t>2024-09-04</t>
        </is>
      </c>
      <c r="B1159" t="n">
        <v>57430.34765625</v>
      </c>
      <c r="C1159" t="n">
        <v>58511.5703125</v>
      </c>
      <c r="D1159" t="n">
        <v>55673.1640625</v>
      </c>
      <c r="E1159" t="n">
        <v>57971.5390625</v>
      </c>
      <c r="F1159" t="n">
        <v>35627680312</v>
      </c>
    </row>
    <row r="1160">
      <c r="A1160" t="inlineStr">
        <is>
          <t>2024-09-05</t>
        </is>
      </c>
      <c r="B1160" t="n">
        <v>57971.703125</v>
      </c>
      <c r="C1160" t="n">
        <v>58300.58203125</v>
      </c>
      <c r="D1160" t="n">
        <v>55712.453125</v>
      </c>
      <c r="E1160" t="n">
        <v>56160.48828125</v>
      </c>
      <c r="F1160" t="n">
        <v>31030280656</v>
      </c>
    </row>
    <row r="1161">
      <c r="A1161" t="inlineStr">
        <is>
          <t>2024-09-06</t>
        </is>
      </c>
      <c r="B1161" t="n">
        <v>56160.19140625</v>
      </c>
      <c r="C1161" t="n">
        <v>56976.109375</v>
      </c>
      <c r="D1161" t="n">
        <v>52598.69921875</v>
      </c>
      <c r="E1161" t="n">
        <v>53948.75390625</v>
      </c>
      <c r="F1161" t="n">
        <v>49361693566</v>
      </c>
    </row>
    <row r="1162">
      <c r="A1162" t="inlineStr">
        <is>
          <t>2024-09-07</t>
        </is>
      </c>
      <c r="B1162" t="n">
        <v>53949.0859375</v>
      </c>
      <c r="C1162" t="n">
        <v>54838.14453125</v>
      </c>
      <c r="D1162" t="n">
        <v>53740.0703125</v>
      </c>
      <c r="E1162" t="n">
        <v>54139.6875</v>
      </c>
      <c r="F1162" t="n">
        <v>19061486526</v>
      </c>
    </row>
    <row r="1163">
      <c r="A1163" t="inlineStr">
        <is>
          <t>2024-09-08</t>
        </is>
      </c>
      <c r="B1163" t="n">
        <v>54147.93359375</v>
      </c>
      <c r="C1163" t="n">
        <v>55300.859375</v>
      </c>
      <c r="D1163" t="n">
        <v>53653.7578125</v>
      </c>
      <c r="E1163" t="n">
        <v>54841.56640625</v>
      </c>
      <c r="F1163" t="n">
        <v>18268287531</v>
      </c>
    </row>
    <row r="1164">
      <c r="A1164" t="inlineStr">
        <is>
          <t>2024-09-09</t>
        </is>
      </c>
      <c r="B1164" t="n">
        <v>54851.88671875</v>
      </c>
      <c r="C1164" t="n">
        <v>58041.125</v>
      </c>
      <c r="D1164" t="n">
        <v>54598.43359375</v>
      </c>
      <c r="E1164" t="n">
        <v>57019.53515625</v>
      </c>
      <c r="F1164" t="n">
        <v>34618096173</v>
      </c>
    </row>
    <row r="1165">
      <c r="A1165" t="inlineStr">
        <is>
          <t>2024-09-10</t>
        </is>
      </c>
      <c r="B1165" t="n">
        <v>57020.09765625</v>
      </c>
      <c r="C1165" t="n">
        <v>58029.9765625</v>
      </c>
      <c r="D1165" t="n">
        <v>56419.4140625</v>
      </c>
      <c r="E1165" t="n">
        <v>57648.7109375</v>
      </c>
      <c r="F1165" t="n">
        <v>28857630507</v>
      </c>
    </row>
    <row r="1166">
      <c r="A1166" t="inlineStr">
        <is>
          <t>2024-09-11</t>
        </is>
      </c>
      <c r="B1166" t="n">
        <v>57650.2890625</v>
      </c>
      <c r="C1166" t="n">
        <v>57991.3203125</v>
      </c>
      <c r="D1166" t="n">
        <v>55567.33984375</v>
      </c>
      <c r="E1166" t="n">
        <v>57343.171875</v>
      </c>
      <c r="F1166" t="n">
        <v>37049062672</v>
      </c>
    </row>
    <row r="1167">
      <c r="A1167" t="inlineStr">
        <is>
          <t>2024-09-12</t>
        </is>
      </c>
      <c r="B1167" t="n">
        <v>57343.171875</v>
      </c>
      <c r="C1167" t="n">
        <v>58534.359375</v>
      </c>
      <c r="D1167" t="n">
        <v>57330.1015625</v>
      </c>
      <c r="E1167" t="n">
        <v>58127.01171875</v>
      </c>
      <c r="F1167" t="n">
        <v>33835707949</v>
      </c>
    </row>
    <row r="1168">
      <c r="A1168" t="inlineStr">
        <is>
          <t>2024-09-13</t>
        </is>
      </c>
      <c r="B1168" t="n">
        <v>58130.32421875</v>
      </c>
      <c r="C1168" t="n">
        <v>60648.0234375</v>
      </c>
      <c r="D1168" t="n">
        <v>57650.11328125</v>
      </c>
      <c r="E1168" t="n">
        <v>60571.30078125</v>
      </c>
      <c r="F1168" t="n">
        <v>32490528356</v>
      </c>
    </row>
    <row r="1169">
      <c r="A1169" t="inlineStr">
        <is>
          <t>2024-09-14</t>
        </is>
      </c>
      <c r="B1169" t="n">
        <v>60569.1171875</v>
      </c>
      <c r="C1169" t="n">
        <v>60656.72265625</v>
      </c>
      <c r="D1169" t="n">
        <v>59517.8828125</v>
      </c>
      <c r="E1169" t="n">
        <v>60005.12109375</v>
      </c>
      <c r="F1169" t="n">
        <v>16428405496</v>
      </c>
    </row>
    <row r="1170">
      <c r="A1170" t="inlineStr">
        <is>
          <t>2024-09-15</t>
        </is>
      </c>
      <c r="B1170" t="n">
        <v>60000.7265625</v>
      </c>
      <c r="C1170" t="n">
        <v>60381.91796875</v>
      </c>
      <c r="D1170" t="n">
        <v>58696.30859375</v>
      </c>
      <c r="E1170" t="n">
        <v>59182.8359375</v>
      </c>
      <c r="F1170" t="n">
        <v>18120960867</v>
      </c>
    </row>
    <row r="1171">
      <c r="A1171" t="inlineStr">
        <is>
          <t>2024-09-16</t>
        </is>
      </c>
      <c r="B1171" t="n">
        <v>59185.2265625</v>
      </c>
      <c r="C1171" t="n">
        <v>59205.51171875</v>
      </c>
      <c r="D1171" t="n">
        <v>57501.33984375</v>
      </c>
      <c r="E1171" t="n">
        <v>58192.5078125</v>
      </c>
      <c r="F1171" t="n">
        <v>32032822113</v>
      </c>
    </row>
    <row r="1172">
      <c r="A1172" t="inlineStr">
        <is>
          <t>2024-09-17</t>
        </is>
      </c>
      <c r="B1172" t="n">
        <v>58192.5078125</v>
      </c>
      <c r="C1172" t="n">
        <v>61316.08984375</v>
      </c>
      <c r="D1172" t="n">
        <v>57628.0703125</v>
      </c>
      <c r="E1172" t="n">
        <v>60308.5390625</v>
      </c>
      <c r="F1172" t="n">
        <v>38075570118</v>
      </c>
    </row>
    <row r="1173">
      <c r="A1173" t="inlineStr">
        <is>
          <t>2024-09-18</t>
        </is>
      </c>
      <c r="B1173" t="n">
        <v>60309</v>
      </c>
      <c r="C1173" t="n">
        <v>61664.06640625</v>
      </c>
      <c r="D1173" t="n">
        <v>59218.25390625</v>
      </c>
      <c r="E1173" t="n">
        <v>61649.6796875</v>
      </c>
      <c r="F1173" t="n">
        <v>40990702891</v>
      </c>
    </row>
    <row r="1174">
      <c r="A1174" t="inlineStr">
        <is>
          <t>2024-09-19</t>
        </is>
      </c>
      <c r="B1174" t="n">
        <v>61651.15625</v>
      </c>
      <c r="C1174" t="n">
        <v>63872.44140625</v>
      </c>
      <c r="D1174" t="n">
        <v>61609.8671875</v>
      </c>
      <c r="E1174" t="n">
        <v>62940.45703125</v>
      </c>
      <c r="F1174" t="n">
        <v>42710252573</v>
      </c>
    </row>
    <row r="1175">
      <c r="A1175" t="inlineStr">
        <is>
          <t>2024-09-20</t>
        </is>
      </c>
      <c r="B1175" t="n">
        <v>62941.42578125</v>
      </c>
      <c r="C1175" t="n">
        <v>64119.53125</v>
      </c>
      <c r="D1175" t="n">
        <v>62364.60546875</v>
      </c>
      <c r="E1175" t="n">
        <v>63192.9765625</v>
      </c>
      <c r="F1175" t="n">
        <v>35177164222</v>
      </c>
    </row>
    <row r="1176">
      <c r="A1176" t="inlineStr">
        <is>
          <t>2024-09-21</t>
        </is>
      </c>
      <c r="B1176" t="n">
        <v>63184.33984375</v>
      </c>
      <c r="C1176" t="n">
        <v>63543.359375</v>
      </c>
      <c r="D1176" t="n">
        <v>62783.10546875</v>
      </c>
      <c r="E1176" t="n">
        <v>63394.83984375</v>
      </c>
      <c r="F1176" t="n">
        <v>14408616220</v>
      </c>
    </row>
    <row r="1177">
      <c r="A1177" t="inlineStr">
        <is>
          <t>2024-09-22</t>
        </is>
      </c>
      <c r="B1177" t="n">
        <v>63396.8046875</v>
      </c>
      <c r="C1177" t="n">
        <v>63993.421875</v>
      </c>
      <c r="D1177" t="n">
        <v>62440.7265625</v>
      </c>
      <c r="E1177" t="n">
        <v>63648.7109375</v>
      </c>
      <c r="F1177" t="n">
        <v>20183348802</v>
      </c>
    </row>
    <row r="1178">
      <c r="A1178" t="inlineStr">
        <is>
          <t>2024-09-23</t>
        </is>
      </c>
      <c r="B1178" t="n">
        <v>63643.1015625</v>
      </c>
      <c r="C1178" t="n">
        <v>64733.55859375</v>
      </c>
      <c r="D1178" t="n">
        <v>62628.078125</v>
      </c>
      <c r="E1178" t="n">
        <v>63329.80078125</v>
      </c>
      <c r="F1178" t="n">
        <v>31400285425</v>
      </c>
    </row>
    <row r="1179">
      <c r="A1179" t="inlineStr">
        <is>
          <t>2024-09-24</t>
        </is>
      </c>
      <c r="B1179" t="n">
        <v>63326.83984375</v>
      </c>
      <c r="C1179" t="n">
        <v>64695.21484375</v>
      </c>
      <c r="D1179" t="n">
        <v>62737.41796875</v>
      </c>
      <c r="E1179" t="n">
        <v>64301.96875</v>
      </c>
      <c r="F1179" t="n">
        <v>29938335243</v>
      </c>
    </row>
    <row r="1180">
      <c r="A1180" t="inlineStr">
        <is>
          <t>2024-09-25</t>
        </is>
      </c>
      <c r="B1180" t="n">
        <v>64302.58984375</v>
      </c>
      <c r="C1180" t="n">
        <v>64804.50390625</v>
      </c>
      <c r="D1180" t="n">
        <v>62945.375</v>
      </c>
      <c r="E1180" t="n">
        <v>63143.14453125</v>
      </c>
      <c r="F1180" t="n">
        <v>25078377700</v>
      </c>
    </row>
    <row r="1181">
      <c r="A1181" t="inlineStr">
        <is>
          <t>2024-09-26</t>
        </is>
      </c>
      <c r="B1181" t="n">
        <v>63138.546875</v>
      </c>
      <c r="C1181" t="n">
        <v>65790.796875</v>
      </c>
      <c r="D1181" t="n">
        <v>62669.26953125</v>
      </c>
      <c r="E1181" t="n">
        <v>65181.01953125</v>
      </c>
      <c r="F1181" t="n">
        <v>36873129847</v>
      </c>
    </row>
    <row r="1182">
      <c r="A1182" t="inlineStr">
        <is>
          <t>2024-09-27</t>
        </is>
      </c>
      <c r="B1182" t="n">
        <v>65180.6640625</v>
      </c>
      <c r="C1182" t="n">
        <v>66480.6953125</v>
      </c>
      <c r="D1182" t="n">
        <v>64852.9921875</v>
      </c>
      <c r="E1182" t="n">
        <v>65790.6640625</v>
      </c>
      <c r="F1182" t="n">
        <v>32058813449</v>
      </c>
    </row>
    <row r="1183">
      <c r="A1183" t="inlineStr">
        <is>
          <t>2024-09-28</t>
        </is>
      </c>
      <c r="B1183" t="n">
        <v>65792.1796875</v>
      </c>
      <c r="C1183" t="n">
        <v>66255.53125</v>
      </c>
      <c r="D1183" t="n">
        <v>65458.03515625</v>
      </c>
      <c r="E1183" t="n">
        <v>65887.6484375</v>
      </c>
      <c r="F1183" t="n">
        <v>15243637984</v>
      </c>
    </row>
    <row r="1184">
      <c r="A1184" t="inlineStr">
        <is>
          <t>2024-09-29</t>
        </is>
      </c>
      <c r="B1184" t="n">
        <v>65888.8984375</v>
      </c>
      <c r="C1184" t="n">
        <v>66069.34375</v>
      </c>
      <c r="D1184" t="n">
        <v>65450.015625</v>
      </c>
      <c r="E1184" t="n">
        <v>65635.3046875</v>
      </c>
      <c r="F1184" t="n">
        <v>14788214575</v>
      </c>
    </row>
    <row r="1185">
      <c r="A1185" t="inlineStr">
        <is>
          <t>2024-09-30</t>
        </is>
      </c>
      <c r="B1185" t="n">
        <v>65634.65625</v>
      </c>
      <c r="C1185" t="n">
        <v>65635.0546875</v>
      </c>
      <c r="D1185" t="n">
        <v>62873.6171875</v>
      </c>
      <c r="E1185" t="n">
        <v>63329.5</v>
      </c>
      <c r="F1185" t="n">
        <v>37112957475</v>
      </c>
    </row>
    <row r="1186">
      <c r="A1186" t="inlineStr">
        <is>
          <t>2024-10-01</t>
        </is>
      </c>
      <c r="B1186" t="n">
        <v>63335.60546875</v>
      </c>
      <c r="C1186" t="n">
        <v>64110.98046875</v>
      </c>
      <c r="D1186" t="n">
        <v>60189.27734375</v>
      </c>
      <c r="E1186" t="n">
        <v>60837.0078125</v>
      </c>
      <c r="F1186" t="n">
        <v>50220923500</v>
      </c>
    </row>
    <row r="1187">
      <c r="A1187" t="inlineStr">
        <is>
          <t>2024-10-02</t>
        </is>
      </c>
      <c r="B1187" t="n">
        <v>60836.32421875</v>
      </c>
      <c r="C1187" t="n">
        <v>62357.6875</v>
      </c>
      <c r="D1187" t="n">
        <v>59996.94921875</v>
      </c>
      <c r="E1187" t="n">
        <v>60632.78515625</v>
      </c>
      <c r="F1187" t="n">
        <v>40762722398</v>
      </c>
    </row>
    <row r="1188">
      <c r="A1188" t="inlineStr">
        <is>
          <t>2024-10-03</t>
        </is>
      </c>
      <c r="B1188" t="n">
        <v>60632.484375</v>
      </c>
      <c r="C1188" t="n">
        <v>61469.0390625</v>
      </c>
      <c r="D1188" t="n">
        <v>59878.8046875</v>
      </c>
      <c r="E1188" t="n">
        <v>60759.40234375</v>
      </c>
      <c r="F1188" t="n">
        <v>36106447279</v>
      </c>
    </row>
    <row r="1189">
      <c r="A1189" t="inlineStr">
        <is>
          <t>2024-10-04</t>
        </is>
      </c>
      <c r="B1189" t="n">
        <v>60754.625</v>
      </c>
      <c r="C1189" t="n">
        <v>62465.9921875</v>
      </c>
      <c r="D1189" t="n">
        <v>60459.94140625</v>
      </c>
      <c r="E1189" t="n">
        <v>62067.4765625</v>
      </c>
      <c r="F1189" t="n">
        <v>29585472513</v>
      </c>
    </row>
    <row r="1190">
      <c r="A1190" t="inlineStr">
        <is>
          <t>2024-10-05</t>
        </is>
      </c>
      <c r="B1190" t="n">
        <v>62067.609375</v>
      </c>
      <c r="C1190" t="n">
        <v>62371.0234375</v>
      </c>
      <c r="D1190" t="n">
        <v>61689.58203125</v>
      </c>
      <c r="E1190" t="n">
        <v>62089.94921875</v>
      </c>
      <c r="F1190" t="n">
        <v>13305410749</v>
      </c>
    </row>
    <row r="1191">
      <c r="A1191" t="inlineStr">
        <is>
          <t>2024-10-06</t>
        </is>
      </c>
      <c r="B1191" t="n">
        <v>62084.98828125</v>
      </c>
      <c r="C1191" t="n">
        <v>62959.5703125</v>
      </c>
      <c r="D1191" t="n">
        <v>61833.1484375</v>
      </c>
      <c r="E1191" t="n">
        <v>62818.953125</v>
      </c>
      <c r="F1191" t="n">
        <v>14776233667</v>
      </c>
    </row>
    <row r="1192">
      <c r="A1192" t="inlineStr">
        <is>
          <t>2024-10-07</t>
        </is>
      </c>
      <c r="B1192" t="n">
        <v>62819.109375</v>
      </c>
      <c r="C1192" t="n">
        <v>64443.70703125</v>
      </c>
      <c r="D1192" t="n">
        <v>62152.55078125</v>
      </c>
      <c r="E1192" t="n">
        <v>62236.66015625</v>
      </c>
      <c r="F1192" t="n">
        <v>34253562610</v>
      </c>
    </row>
    <row r="1193">
      <c r="A1193" t="inlineStr">
        <is>
          <t>2024-10-08</t>
        </is>
      </c>
      <c r="B1193" t="n">
        <v>62221.64453125</v>
      </c>
      <c r="C1193" t="n">
        <v>63174.3046875</v>
      </c>
      <c r="D1193" t="n">
        <v>61843.5625</v>
      </c>
      <c r="E1193" t="n">
        <v>62131.96875</v>
      </c>
      <c r="F1193" t="n">
        <v>28134475157</v>
      </c>
    </row>
    <row r="1194">
      <c r="A1194" t="inlineStr">
        <is>
          <t>2024-10-09</t>
        </is>
      </c>
      <c r="B1194" t="n">
        <v>62131.7265625</v>
      </c>
      <c r="C1194" t="n">
        <v>62508.8359375</v>
      </c>
      <c r="D1194" t="n">
        <v>60314.61328125</v>
      </c>
      <c r="E1194" t="n">
        <v>60582.1015625</v>
      </c>
      <c r="F1194" t="n">
        <v>27670982363</v>
      </c>
    </row>
    <row r="1195">
      <c r="A1195" t="inlineStr">
        <is>
          <t>2024-10-10</t>
        </is>
      </c>
      <c r="B1195" t="n">
        <v>60581.9296875</v>
      </c>
      <c r="C1195" t="n">
        <v>61236.72265625</v>
      </c>
      <c r="D1195" t="n">
        <v>58895.20703125</v>
      </c>
      <c r="E1195" t="n">
        <v>60274.5</v>
      </c>
      <c r="F1195" t="n">
        <v>30452813570</v>
      </c>
    </row>
    <row r="1196">
      <c r="A1196" t="inlineStr">
        <is>
          <t>2024-10-11</t>
        </is>
      </c>
      <c r="B1196" t="n">
        <v>60275.4609375</v>
      </c>
      <c r="C1196" t="n">
        <v>63400.87109375</v>
      </c>
      <c r="D1196" t="n">
        <v>60046.125</v>
      </c>
      <c r="E1196" t="n">
        <v>62445.08984375</v>
      </c>
      <c r="F1196" t="n">
        <v>30327141594</v>
      </c>
    </row>
    <row r="1197">
      <c r="A1197" t="inlineStr">
        <is>
          <t>2024-10-12</t>
        </is>
      </c>
      <c r="B1197" t="n">
        <v>62444.6171875</v>
      </c>
      <c r="C1197" t="n">
        <v>63448.78515625</v>
      </c>
      <c r="D1197" t="n">
        <v>62443.26953125</v>
      </c>
      <c r="E1197" t="n">
        <v>63193.0234375</v>
      </c>
      <c r="F1197" t="n">
        <v>16744110886</v>
      </c>
    </row>
    <row r="1198">
      <c r="A1198" t="inlineStr">
        <is>
          <t>2024-10-13</t>
        </is>
      </c>
      <c r="B1198" t="n">
        <v>63192.9453125</v>
      </c>
      <c r="C1198" t="n">
        <v>63272.65234375</v>
      </c>
      <c r="D1198" t="n">
        <v>62035.63671875</v>
      </c>
      <c r="E1198" t="n">
        <v>62851.375</v>
      </c>
      <c r="F1198" t="n">
        <v>18177529690</v>
      </c>
    </row>
    <row r="1199">
      <c r="A1199" t="inlineStr">
        <is>
          <t>2024-10-14</t>
        </is>
      </c>
      <c r="B1199" t="n">
        <v>62848.3984375</v>
      </c>
      <c r="C1199" t="n">
        <v>66482.4921875</v>
      </c>
      <c r="D1199" t="n">
        <v>62442.15234375</v>
      </c>
      <c r="E1199" t="n">
        <v>66046.125</v>
      </c>
      <c r="F1199" t="n">
        <v>43706958056</v>
      </c>
    </row>
    <row r="1200">
      <c r="A1200" t="inlineStr">
        <is>
          <t>2024-10-15</t>
        </is>
      </c>
      <c r="B1200" t="n">
        <v>66050.3671875</v>
      </c>
      <c r="C1200" t="n">
        <v>67881.6796875</v>
      </c>
      <c r="D1200" t="n">
        <v>64809.1953125</v>
      </c>
      <c r="E1200" t="n">
        <v>67041.109375</v>
      </c>
      <c r="F1200" t="n">
        <v>48863870879</v>
      </c>
    </row>
    <row r="1201">
      <c r="A1201" t="inlineStr">
        <is>
          <t>2024-10-16</t>
        </is>
      </c>
      <c r="B1201" t="n">
        <v>67042.4609375</v>
      </c>
      <c r="C1201" t="n">
        <v>68375.2890625</v>
      </c>
      <c r="D1201" t="n">
        <v>66758.7265625</v>
      </c>
      <c r="E1201" t="n">
        <v>67612.71875</v>
      </c>
      <c r="F1201" t="n">
        <v>38195189534</v>
      </c>
    </row>
    <row r="1202">
      <c r="A1202" t="inlineStr">
        <is>
          <t>2024-10-17</t>
        </is>
      </c>
      <c r="B1202" t="n">
        <v>67617.078125</v>
      </c>
      <c r="C1202" t="n">
        <v>67912.2109375</v>
      </c>
      <c r="D1202" t="n">
        <v>66647.390625</v>
      </c>
      <c r="E1202" t="n">
        <v>67399.8359375</v>
      </c>
      <c r="F1202" t="n">
        <v>32790898511</v>
      </c>
    </row>
    <row r="1203">
      <c r="A1203" t="inlineStr">
        <is>
          <t>2024-10-18</t>
        </is>
      </c>
      <c r="B1203" t="n">
        <v>67419.109375</v>
      </c>
      <c r="C1203" t="n">
        <v>68969.75</v>
      </c>
      <c r="D1203" t="n">
        <v>67177.8203125</v>
      </c>
      <c r="E1203" t="n">
        <v>68418.7890625</v>
      </c>
      <c r="F1203" t="n">
        <v>36857165014</v>
      </c>
    </row>
    <row r="1204">
      <c r="A1204" t="inlineStr">
        <is>
          <t>2024-10-19</t>
        </is>
      </c>
      <c r="B1204" t="n">
        <v>68418.9765625</v>
      </c>
      <c r="C1204" t="n">
        <v>68668.0078125</v>
      </c>
      <c r="D1204" t="n">
        <v>68024.640625</v>
      </c>
      <c r="E1204" t="n">
        <v>68362.734375</v>
      </c>
      <c r="F1204" t="n">
        <v>14443497908</v>
      </c>
    </row>
    <row r="1205">
      <c r="A1205" t="inlineStr">
        <is>
          <t>2024-10-20</t>
        </is>
      </c>
      <c r="B1205" t="n">
        <v>68364.1796875</v>
      </c>
      <c r="C1205" t="n">
        <v>69359.0078125</v>
      </c>
      <c r="D1205" t="n">
        <v>68105.71875</v>
      </c>
      <c r="E1205" t="n">
        <v>69001.703125</v>
      </c>
      <c r="F1205" t="n">
        <v>18975847518</v>
      </c>
    </row>
    <row r="1206">
      <c r="A1206" t="inlineStr">
        <is>
          <t>2024-10-21</t>
        </is>
      </c>
      <c r="B1206" t="n">
        <v>69002</v>
      </c>
      <c r="C1206" t="n">
        <v>69462.734375</v>
      </c>
      <c r="D1206" t="n">
        <v>66829.8515625</v>
      </c>
      <c r="E1206" t="n">
        <v>67367.8515625</v>
      </c>
      <c r="F1206" t="n">
        <v>37498611780</v>
      </c>
    </row>
    <row r="1207">
      <c r="A1207" t="inlineStr">
        <is>
          <t>2024-10-22</t>
        </is>
      </c>
      <c r="B1207" t="n">
        <v>67360.703125</v>
      </c>
      <c r="C1207" t="n">
        <v>67801.578125</v>
      </c>
      <c r="D1207" t="n">
        <v>66581.3671875</v>
      </c>
      <c r="E1207" t="n">
        <v>67361.40625</v>
      </c>
      <c r="F1207" t="n">
        <v>31808472566</v>
      </c>
    </row>
    <row r="1208">
      <c r="A1208" t="inlineStr">
        <is>
          <t>2024-10-23</t>
        </is>
      </c>
      <c r="B1208" t="n">
        <v>67362.375</v>
      </c>
      <c r="C1208" t="n">
        <v>67402.7421875</v>
      </c>
      <c r="D1208" t="n">
        <v>65188.03515625</v>
      </c>
      <c r="E1208" t="n">
        <v>66432.1953125</v>
      </c>
      <c r="F1208" t="n">
        <v>32263980353</v>
      </c>
    </row>
    <row r="1209">
      <c r="A1209" t="inlineStr">
        <is>
          <t>2024-10-24</t>
        </is>
      </c>
      <c r="B1209" t="n">
        <v>66653.703125</v>
      </c>
      <c r="C1209" t="n">
        <v>68798.9609375</v>
      </c>
      <c r="D1209" t="n">
        <v>66454.1015625</v>
      </c>
      <c r="E1209" t="n">
        <v>68161.0546875</v>
      </c>
      <c r="F1209" t="n">
        <v>31414428647</v>
      </c>
    </row>
    <row r="1210">
      <c r="A1210" t="inlineStr">
        <is>
          <t>2024-10-25</t>
        </is>
      </c>
      <c r="B1210" t="n">
        <v>68165.296875</v>
      </c>
      <c r="C1210" t="n">
        <v>68722.15625</v>
      </c>
      <c r="D1210" t="n">
        <v>65521.79296875</v>
      </c>
      <c r="E1210" t="n">
        <v>66642.4140625</v>
      </c>
      <c r="F1210" t="n">
        <v>41469984306</v>
      </c>
    </row>
    <row r="1211">
      <c r="A1211" t="inlineStr">
        <is>
          <t>2024-10-26</t>
        </is>
      </c>
      <c r="B1211" t="n">
        <v>66628.734375</v>
      </c>
      <c r="C1211" t="n">
        <v>67317.921875</v>
      </c>
      <c r="D1211" t="n">
        <v>66360.59375</v>
      </c>
      <c r="E1211" t="n">
        <v>67014.6953125</v>
      </c>
      <c r="F1211" t="n">
        <v>19588098156</v>
      </c>
    </row>
    <row r="1212">
      <c r="A1212" t="inlineStr">
        <is>
          <t>2024-10-27</t>
        </is>
      </c>
      <c r="B1212" t="n">
        <v>67023.4765625</v>
      </c>
      <c r="C1212" t="n">
        <v>68221.3125</v>
      </c>
      <c r="D1212" t="n">
        <v>66847.2265625</v>
      </c>
      <c r="E1212" t="n">
        <v>67929.296875</v>
      </c>
      <c r="F1212" t="n">
        <v>16721307878</v>
      </c>
    </row>
    <row r="1213">
      <c r="A1213" t="inlineStr">
        <is>
          <t>2024-10-28</t>
        </is>
      </c>
      <c r="B1213" t="n">
        <v>67922.671875</v>
      </c>
      <c r="C1213" t="n">
        <v>70212.265625</v>
      </c>
      <c r="D1213" t="n">
        <v>67535.1328125</v>
      </c>
      <c r="E1213" t="n">
        <v>69907.7578125</v>
      </c>
      <c r="F1213" t="n">
        <v>38799856657</v>
      </c>
    </row>
    <row r="1214">
      <c r="A1214" t="inlineStr">
        <is>
          <t>2024-10-29</t>
        </is>
      </c>
      <c r="B1214" t="n">
        <v>69910.046875</v>
      </c>
      <c r="C1214" t="n">
        <v>73577.2109375</v>
      </c>
      <c r="D1214" t="n">
        <v>69729.9140625</v>
      </c>
      <c r="E1214" t="n">
        <v>72720.4921875</v>
      </c>
      <c r="F1214" t="n">
        <v>58541874402</v>
      </c>
    </row>
    <row r="1215">
      <c r="A1215" t="inlineStr">
        <is>
          <t>2024-10-30</t>
        </is>
      </c>
      <c r="B1215" t="n">
        <v>72715.3671875</v>
      </c>
      <c r="C1215" t="n">
        <v>72905.296875</v>
      </c>
      <c r="D1215" t="n">
        <v>71411.734375</v>
      </c>
      <c r="E1215" t="n">
        <v>72339.5390625</v>
      </c>
      <c r="F1215" t="n">
        <v>40646637831</v>
      </c>
    </row>
    <row r="1216">
      <c r="A1216" t="inlineStr">
        <is>
          <t>2024-10-31</t>
        </is>
      </c>
      <c r="B1216" t="n">
        <v>72335.046875</v>
      </c>
      <c r="C1216" t="n">
        <v>72662.3125</v>
      </c>
      <c r="D1216" t="n">
        <v>69590.5</v>
      </c>
      <c r="E1216" t="n">
        <v>70215.1875</v>
      </c>
      <c r="F1216" t="n">
        <v>40627912076</v>
      </c>
    </row>
    <row r="1217">
      <c r="A1217" t="inlineStr">
        <is>
          <t>2024-11-01</t>
        </is>
      </c>
      <c r="B1217" t="n">
        <v>70216.8984375</v>
      </c>
      <c r="C1217" t="n">
        <v>71559.015625</v>
      </c>
      <c r="D1217" t="n">
        <v>68779.703125</v>
      </c>
      <c r="E1217" t="n">
        <v>69482.46875</v>
      </c>
      <c r="F1217" t="n">
        <v>49989795365</v>
      </c>
    </row>
    <row r="1218">
      <c r="A1218" t="inlineStr">
        <is>
          <t>2024-11-02</t>
        </is>
      </c>
      <c r="B1218" t="n">
        <v>69486.0234375</v>
      </c>
      <c r="C1218" t="n">
        <v>69867.3515625</v>
      </c>
      <c r="D1218" t="n">
        <v>69033.71875</v>
      </c>
      <c r="E1218" t="n">
        <v>69289.2734375</v>
      </c>
      <c r="F1218" t="n">
        <v>18184612091</v>
      </c>
    </row>
    <row r="1219">
      <c r="A1219" t="inlineStr">
        <is>
          <t>2024-11-03</t>
        </is>
      </c>
      <c r="B1219" t="n">
        <v>69296.3828125</v>
      </c>
      <c r="C1219" t="n">
        <v>69361.65625</v>
      </c>
      <c r="D1219" t="n">
        <v>67482.5234375</v>
      </c>
      <c r="E1219" t="n">
        <v>68741.1171875</v>
      </c>
      <c r="F1219" t="n">
        <v>34868307655</v>
      </c>
    </row>
    <row r="1220">
      <c r="A1220" t="inlineStr">
        <is>
          <t>2024-11-04</t>
        </is>
      </c>
      <c r="B1220" t="n">
        <v>68742.1328125</v>
      </c>
      <c r="C1220" t="n">
        <v>69433.1796875</v>
      </c>
      <c r="D1220" t="n">
        <v>66803.6484375</v>
      </c>
      <c r="E1220" t="n">
        <v>67811.5078125</v>
      </c>
      <c r="F1220" t="n">
        <v>41184819348</v>
      </c>
    </row>
    <row r="1221">
      <c r="A1221" t="inlineStr">
        <is>
          <t>2024-11-05</t>
        </is>
      </c>
      <c r="B1221" t="n">
        <v>67811.171875</v>
      </c>
      <c r="C1221" t="n">
        <v>70522.7890625</v>
      </c>
      <c r="D1221" t="n">
        <v>67458.8671875</v>
      </c>
      <c r="E1221" t="n">
        <v>69359.5625</v>
      </c>
      <c r="F1221" t="n">
        <v>46046889204</v>
      </c>
    </row>
    <row r="1222">
      <c r="A1222" t="inlineStr">
        <is>
          <t>2024-11-06</t>
        </is>
      </c>
      <c r="B1222" t="n">
        <v>69358.5</v>
      </c>
      <c r="C1222" t="n">
        <v>76460.15625</v>
      </c>
      <c r="D1222" t="n">
        <v>69322.03125</v>
      </c>
      <c r="E1222" t="n">
        <v>75639.078125</v>
      </c>
      <c r="F1222" t="n">
        <v>118592653963</v>
      </c>
    </row>
    <row r="1223">
      <c r="A1223" t="inlineStr">
        <is>
          <t>2024-11-07</t>
        </is>
      </c>
      <c r="B1223" t="n">
        <v>75637.0859375</v>
      </c>
      <c r="C1223" t="n">
        <v>76943.1171875</v>
      </c>
      <c r="D1223" t="n">
        <v>74480.421875</v>
      </c>
      <c r="E1223" t="n">
        <v>75904.859375</v>
      </c>
      <c r="F1223" t="n">
        <v>63467654989</v>
      </c>
    </row>
    <row r="1224">
      <c r="A1224" t="inlineStr">
        <is>
          <t>2024-11-08</t>
        </is>
      </c>
      <c r="B1224" t="n">
        <v>75902.8359375</v>
      </c>
      <c r="C1224" t="n">
        <v>77252.75</v>
      </c>
      <c r="D1224" t="n">
        <v>75648.7421875</v>
      </c>
      <c r="E1224" t="n">
        <v>76545.4765625</v>
      </c>
      <c r="F1224" t="n">
        <v>55176858003</v>
      </c>
    </row>
    <row r="1225">
      <c r="A1225" t="inlineStr">
        <is>
          <t>2024-11-09</t>
        </is>
      </c>
      <c r="B1225" t="n">
        <v>76556.1875</v>
      </c>
      <c r="C1225" t="n">
        <v>76932.765625</v>
      </c>
      <c r="D1225" t="n">
        <v>75773.7890625</v>
      </c>
      <c r="E1225" t="n">
        <v>76778.8671875</v>
      </c>
      <c r="F1225" t="n">
        <v>29009480361</v>
      </c>
    </row>
    <row r="1226">
      <c r="A1226" t="inlineStr">
        <is>
          <t>2024-11-10</t>
        </is>
      </c>
      <c r="B1226" t="n">
        <v>76775.546875</v>
      </c>
      <c r="C1226" t="n">
        <v>81474.421875</v>
      </c>
      <c r="D1226" t="n">
        <v>76565.4296875</v>
      </c>
      <c r="E1226" t="n">
        <v>80474.1875</v>
      </c>
      <c r="F1226" t="n">
        <v>82570594495</v>
      </c>
    </row>
    <row r="1227">
      <c r="A1227" t="inlineStr">
        <is>
          <t>2024-11-11</t>
        </is>
      </c>
      <c r="B1227" t="n">
        <v>80471.4140625</v>
      </c>
      <c r="C1227" t="n">
        <v>89604.5</v>
      </c>
      <c r="D1227" t="n">
        <v>80283.25</v>
      </c>
      <c r="E1227" t="n">
        <v>88701.484375</v>
      </c>
      <c r="F1227" t="n">
        <v>117966845037</v>
      </c>
    </row>
    <row r="1228">
      <c r="A1228" t="inlineStr">
        <is>
          <t>2024-11-12</t>
        </is>
      </c>
      <c r="B1228" t="n">
        <v>88705.5625</v>
      </c>
      <c r="C1228" t="n">
        <v>89956.8828125</v>
      </c>
      <c r="D1228" t="n">
        <v>85155.109375</v>
      </c>
      <c r="E1228" t="n">
        <v>87955.8125</v>
      </c>
      <c r="F1228" t="n">
        <v>133673285375</v>
      </c>
    </row>
    <row r="1229">
      <c r="A1229" t="inlineStr">
        <is>
          <t>2024-11-13</t>
        </is>
      </c>
      <c r="B1229" t="n">
        <v>87929.96875</v>
      </c>
      <c r="C1229" t="n">
        <v>93434.3515625</v>
      </c>
      <c r="D1229" t="n">
        <v>86256.9296875</v>
      </c>
      <c r="E1229" t="n">
        <v>90584.1640625</v>
      </c>
      <c r="F1229" t="n">
        <v>123559027869</v>
      </c>
    </row>
    <row r="1230">
      <c r="A1230" t="inlineStr">
        <is>
          <t>2024-11-14</t>
        </is>
      </c>
      <c r="B1230" t="n">
        <v>90574.8828125</v>
      </c>
      <c r="C1230" t="n">
        <v>91765.21875</v>
      </c>
      <c r="D1230" t="n">
        <v>86682.8125</v>
      </c>
      <c r="E1230" t="n">
        <v>87250.4296875</v>
      </c>
      <c r="F1230" t="n">
        <v>87616705248</v>
      </c>
    </row>
    <row r="1231">
      <c r="A1231" t="inlineStr">
        <is>
          <t>2024-11-15</t>
        </is>
      </c>
      <c r="B1231" t="n">
        <v>87284.1796875</v>
      </c>
      <c r="C1231" t="n">
        <v>91868.7421875</v>
      </c>
      <c r="D1231" t="n">
        <v>87124.8984375</v>
      </c>
      <c r="E1231" t="n">
        <v>91066.0078125</v>
      </c>
      <c r="F1231" t="n">
        <v>78243109518</v>
      </c>
    </row>
    <row r="1232">
      <c r="A1232" t="inlineStr">
        <is>
          <t>2024-11-16</t>
        </is>
      </c>
      <c r="B1232" t="n">
        <v>91064.3671875</v>
      </c>
      <c r="C1232" t="n">
        <v>91763.9453125</v>
      </c>
      <c r="D1232" t="n">
        <v>90094.2265625</v>
      </c>
      <c r="E1232" t="n">
        <v>90558.4765625</v>
      </c>
      <c r="F1232" t="n">
        <v>44333192814</v>
      </c>
    </row>
    <row r="1233">
      <c r="A1233" t="inlineStr">
        <is>
          <t>2024-11-17</t>
        </is>
      </c>
      <c r="B1233" t="n">
        <v>90558.4609375</v>
      </c>
      <c r="C1233" t="n">
        <v>91433.0390625</v>
      </c>
      <c r="D1233" t="n">
        <v>88741.6640625</v>
      </c>
      <c r="E1233" t="n">
        <v>89845.8515625</v>
      </c>
      <c r="F1233" t="n">
        <v>46350159305</v>
      </c>
    </row>
    <row r="1234">
      <c r="A1234" t="inlineStr">
        <is>
          <t>2024-11-18</t>
        </is>
      </c>
      <c r="B1234" t="n">
        <v>89843.71875</v>
      </c>
      <c r="C1234" t="n">
        <v>92596.7890625</v>
      </c>
      <c r="D1234" t="n">
        <v>89393.59375</v>
      </c>
      <c r="E1234" t="n">
        <v>90542.640625</v>
      </c>
      <c r="F1234" t="n">
        <v>75535775084</v>
      </c>
    </row>
    <row r="1235">
      <c r="A1235" t="inlineStr">
        <is>
          <t>2024-11-19</t>
        </is>
      </c>
      <c r="B1235" t="n">
        <v>90536.8125</v>
      </c>
      <c r="C1235" t="n">
        <v>94002.8671875</v>
      </c>
      <c r="D1235" t="n">
        <v>90426.984375</v>
      </c>
      <c r="E1235" t="n">
        <v>92343.7890625</v>
      </c>
      <c r="F1235" t="n">
        <v>74521048295</v>
      </c>
    </row>
    <row r="1236">
      <c r="A1236" t="inlineStr">
        <is>
          <t>2024-11-20</t>
        </is>
      </c>
      <c r="B1236" t="n">
        <v>92341.890625</v>
      </c>
      <c r="C1236" t="n">
        <v>94902.0234375</v>
      </c>
      <c r="D1236" t="n">
        <v>91619.5</v>
      </c>
      <c r="E1236" t="n">
        <v>94339.4921875</v>
      </c>
      <c r="F1236" t="n">
        <v>71730956426</v>
      </c>
    </row>
    <row r="1237">
      <c r="A1237" t="inlineStr">
        <is>
          <t>2024-11-21</t>
        </is>
      </c>
      <c r="B1237" t="n">
        <v>94334.640625</v>
      </c>
      <c r="C1237" t="n">
        <v>99014.21875</v>
      </c>
      <c r="D1237" t="n">
        <v>94132.6015625</v>
      </c>
      <c r="E1237" t="n">
        <v>98504.7265625</v>
      </c>
      <c r="F1237" t="n">
        <v>106024505582</v>
      </c>
    </row>
    <row r="1238">
      <c r="A1238" t="inlineStr">
        <is>
          <t>2024-11-22</t>
        </is>
      </c>
      <c r="B1238" t="n">
        <v>98496.4296875</v>
      </c>
      <c r="C1238" t="n">
        <v>99655.5</v>
      </c>
      <c r="D1238" t="n">
        <v>97222.6640625</v>
      </c>
      <c r="E1238" t="n">
        <v>98997.6640625</v>
      </c>
      <c r="F1238" t="n">
        <v>78473580551</v>
      </c>
    </row>
    <row r="1239">
      <c r="A1239" t="inlineStr">
        <is>
          <t>2024-11-23</t>
        </is>
      </c>
      <c r="B1239" t="n">
        <v>99006.7421875</v>
      </c>
      <c r="C1239" t="n">
        <v>99014.6796875</v>
      </c>
      <c r="D1239" t="n">
        <v>97232.890625</v>
      </c>
      <c r="E1239" t="n">
        <v>97777.28125</v>
      </c>
      <c r="F1239" t="n">
        <v>44414644677</v>
      </c>
    </row>
    <row r="1240">
      <c r="A1240" t="inlineStr">
        <is>
          <t>2024-11-24</t>
        </is>
      </c>
      <c r="B1240" t="n">
        <v>97778.09375</v>
      </c>
      <c r="C1240" t="n">
        <v>98647.1796875</v>
      </c>
      <c r="D1240" t="n">
        <v>95788.078125</v>
      </c>
      <c r="E1240" t="n">
        <v>98013.8203125</v>
      </c>
      <c r="F1240" t="n">
        <v>51712020623</v>
      </c>
    </row>
    <row r="1241">
      <c r="A1241" t="inlineStr">
        <is>
          <t>2024-11-25</t>
        </is>
      </c>
      <c r="B1241" t="n">
        <v>98033.4453125</v>
      </c>
      <c r="C1241" t="n">
        <v>98935.03125</v>
      </c>
      <c r="D1241" t="n">
        <v>92642.9140625</v>
      </c>
      <c r="E1241" t="n">
        <v>93102.296875</v>
      </c>
      <c r="F1241" t="n">
        <v>80909462490</v>
      </c>
    </row>
    <row r="1242">
      <c r="A1242" t="inlineStr">
        <is>
          <t>2024-11-26</t>
        </is>
      </c>
      <c r="B1242" t="n">
        <v>93087.28125</v>
      </c>
      <c r="C1242" t="n">
        <v>94991.75</v>
      </c>
      <c r="D1242" t="n">
        <v>90770.8125</v>
      </c>
      <c r="E1242" t="n">
        <v>91985.3203125</v>
      </c>
      <c r="F1242" t="n">
        <v>91656519855</v>
      </c>
    </row>
    <row r="1243">
      <c r="A1243" t="inlineStr">
        <is>
          <t>2024-11-27</t>
        </is>
      </c>
      <c r="B1243" t="n">
        <v>91978.140625</v>
      </c>
      <c r="C1243" t="n">
        <v>97361.1796875</v>
      </c>
      <c r="D1243" t="n">
        <v>91778.6640625</v>
      </c>
      <c r="E1243" t="n">
        <v>95962.53125</v>
      </c>
      <c r="F1243" t="n">
        <v>71133452438</v>
      </c>
    </row>
    <row r="1244">
      <c r="A1244" t="inlineStr">
        <is>
          <t>2024-11-28</t>
        </is>
      </c>
      <c r="B1244" t="n">
        <v>95954.9453125</v>
      </c>
      <c r="C1244" t="n">
        <v>96650.203125</v>
      </c>
      <c r="D1244" t="n">
        <v>94677.3515625</v>
      </c>
      <c r="E1244" t="n">
        <v>95652.46875</v>
      </c>
      <c r="F1244" t="n">
        <v>52260008261</v>
      </c>
    </row>
    <row r="1245">
      <c r="A1245" t="inlineStr">
        <is>
          <t>2024-11-29</t>
        </is>
      </c>
      <c r="B1245" t="n">
        <v>95653.953125</v>
      </c>
      <c r="C1245" t="n">
        <v>98693.171875</v>
      </c>
      <c r="D1245" t="n">
        <v>95407.8828125</v>
      </c>
      <c r="E1245" t="n">
        <v>97461.5234375</v>
      </c>
      <c r="F1245" t="n">
        <v>54968682476</v>
      </c>
    </row>
    <row r="1246">
      <c r="A1246" t="inlineStr">
        <is>
          <t>2024-11-30</t>
        </is>
      </c>
      <c r="B1246" t="n">
        <v>97468.8125</v>
      </c>
      <c r="C1246" t="n">
        <v>97499.34375</v>
      </c>
      <c r="D1246" t="n">
        <v>96144.21875</v>
      </c>
      <c r="E1246" t="n">
        <v>96449.0546875</v>
      </c>
      <c r="F1246" t="n">
        <v>31634227866</v>
      </c>
    </row>
    <row r="1247">
      <c r="A1247" t="inlineStr">
        <is>
          <t>2024-12-01</t>
        </is>
      </c>
      <c r="B1247" t="n">
        <v>96461.3359375</v>
      </c>
      <c r="C1247" t="n">
        <v>97888.125</v>
      </c>
      <c r="D1247" t="n">
        <v>95770.1875</v>
      </c>
      <c r="E1247" t="n">
        <v>97279.7890625</v>
      </c>
      <c r="F1247" t="n">
        <v>36590695296</v>
      </c>
    </row>
    <row r="1248">
      <c r="A1248" t="inlineStr">
        <is>
          <t>2024-12-02</t>
        </is>
      </c>
      <c r="B1248" t="n">
        <v>97276.0078125</v>
      </c>
      <c r="C1248" t="n">
        <v>98152.6015625</v>
      </c>
      <c r="D1248" t="n">
        <v>94482.8671875</v>
      </c>
      <c r="E1248" t="n">
        <v>95865.3046875</v>
      </c>
      <c r="F1248" t="n">
        <v>72680784305</v>
      </c>
    </row>
    <row r="1249">
      <c r="A1249" t="inlineStr">
        <is>
          <t>2024-12-03</t>
        </is>
      </c>
      <c r="B1249" t="n">
        <v>95854.59375</v>
      </c>
      <c r="C1249" t="n">
        <v>96297.203125</v>
      </c>
      <c r="D1249" t="n">
        <v>93629.5625</v>
      </c>
      <c r="E1249" t="n">
        <v>96002.1640625</v>
      </c>
      <c r="F1249" t="n">
        <v>67067810961</v>
      </c>
    </row>
    <row r="1250">
      <c r="A1250" t="inlineStr">
        <is>
          <t>2024-12-04</t>
        </is>
      </c>
      <c r="B1250" t="n">
        <v>95988.53125</v>
      </c>
      <c r="C1250" t="n">
        <v>99207.328125</v>
      </c>
      <c r="D1250" t="n">
        <v>94660.5234375</v>
      </c>
      <c r="E1250" t="n">
        <v>98768.53125</v>
      </c>
      <c r="F1250" t="n">
        <v>77199817112</v>
      </c>
    </row>
    <row r="1251">
      <c r="A1251" t="inlineStr">
        <is>
          <t>2024-12-05</t>
        </is>
      </c>
      <c r="B1251" t="n">
        <v>98741.5390625</v>
      </c>
      <c r="C1251" t="n">
        <v>103900.46875</v>
      </c>
      <c r="D1251" t="n">
        <v>91998.78125</v>
      </c>
      <c r="E1251" t="n">
        <v>96593.5703125</v>
      </c>
      <c r="F1251" t="n">
        <v>149218945580</v>
      </c>
    </row>
    <row r="1252">
      <c r="A1252" t="inlineStr">
        <is>
          <t>2024-12-06</t>
        </is>
      </c>
      <c r="B1252" t="n">
        <v>97074.2265625</v>
      </c>
      <c r="C1252" t="n">
        <v>102039.8828125</v>
      </c>
      <c r="D1252" t="n">
        <v>96514.875</v>
      </c>
      <c r="E1252" t="n">
        <v>99920.7109375</v>
      </c>
      <c r="F1252" t="n">
        <v>94534772658</v>
      </c>
    </row>
    <row r="1253">
      <c r="A1253" t="inlineStr">
        <is>
          <t>2024-12-07</t>
        </is>
      </c>
      <c r="B1253" t="n">
        <v>99916.7109375</v>
      </c>
      <c r="C1253" t="n">
        <v>100563.3828125</v>
      </c>
      <c r="D1253" t="n">
        <v>99030.8828125</v>
      </c>
      <c r="E1253" t="n">
        <v>99923.3359375</v>
      </c>
      <c r="F1253" t="n">
        <v>44177510897</v>
      </c>
    </row>
    <row r="1254">
      <c r="A1254" t="inlineStr">
        <is>
          <t>2024-12-08</t>
        </is>
      </c>
      <c r="B1254" t="n">
        <v>99921.9140625</v>
      </c>
      <c r="C1254" t="n">
        <v>101399.9921875</v>
      </c>
      <c r="D1254" t="n">
        <v>98771.515625</v>
      </c>
      <c r="E1254" t="n">
        <v>101236.015625</v>
      </c>
      <c r="F1254" t="n">
        <v>44125751925</v>
      </c>
    </row>
    <row r="1255">
      <c r="A1255" t="inlineStr">
        <is>
          <t>2024-12-09</t>
        </is>
      </c>
      <c r="B1255" t="n">
        <v>101237.0625</v>
      </c>
      <c r="C1255" t="n">
        <v>101272.5078125</v>
      </c>
      <c r="D1255" t="n">
        <v>94355.9140625</v>
      </c>
      <c r="E1255" t="n">
        <v>97432.71875</v>
      </c>
      <c r="F1255" t="n">
        <v>110676473908</v>
      </c>
    </row>
    <row r="1256">
      <c r="A1256" t="inlineStr">
        <is>
          <t>2024-12-10</t>
        </is>
      </c>
      <c r="B1256" t="n">
        <v>97441.234375</v>
      </c>
      <c r="C1256" t="n">
        <v>98270.15625</v>
      </c>
      <c r="D1256" t="n">
        <v>94321.2578125</v>
      </c>
      <c r="E1256" t="n">
        <v>96675.4296875</v>
      </c>
      <c r="F1256" t="n">
        <v>104823780634</v>
      </c>
    </row>
    <row r="1257">
      <c r="A1257" t="inlineStr">
        <is>
          <t>2024-12-11</t>
        </is>
      </c>
      <c r="B1257" t="n">
        <v>96656.0625</v>
      </c>
      <c r="C1257" t="n">
        <v>101913.359375</v>
      </c>
      <c r="D1257" t="n">
        <v>95747.2265625</v>
      </c>
      <c r="E1257" t="n">
        <v>101173.03125</v>
      </c>
      <c r="F1257" t="n">
        <v>85391409936</v>
      </c>
    </row>
    <row r="1258">
      <c r="A1258" t="inlineStr">
        <is>
          <t>2024-12-12</t>
        </is>
      </c>
      <c r="B1258" t="n">
        <v>101167.8046875</v>
      </c>
      <c r="C1258" t="n">
        <v>102524.9140625</v>
      </c>
      <c r="D1258" t="n">
        <v>99339.953125</v>
      </c>
      <c r="E1258" t="n">
        <v>100043</v>
      </c>
      <c r="F1258" t="n">
        <v>72073983533</v>
      </c>
    </row>
    <row r="1259">
      <c r="A1259" t="inlineStr">
        <is>
          <t>2024-12-13</t>
        </is>
      </c>
      <c r="B1259" t="n">
        <v>100046.6484375</v>
      </c>
      <c r="C1259" t="n">
        <v>101888.8046875</v>
      </c>
      <c r="D1259" t="n">
        <v>99233.28125</v>
      </c>
      <c r="E1259" t="n">
        <v>101459.2578125</v>
      </c>
      <c r="F1259" t="n">
        <v>56894751583</v>
      </c>
    </row>
    <row r="1260">
      <c r="A1260" t="inlineStr">
        <is>
          <t>2024-12-14</t>
        </is>
      </c>
      <c r="B1260" t="n">
        <v>101451.4375</v>
      </c>
      <c r="C1260" t="n">
        <v>102618.8828125</v>
      </c>
      <c r="D1260" t="n">
        <v>100634.0546875</v>
      </c>
      <c r="E1260" t="n">
        <v>101372.96875</v>
      </c>
      <c r="F1260" t="n">
        <v>40422968793</v>
      </c>
    </row>
    <row r="1261">
      <c r="A1261" t="inlineStr">
        <is>
          <t>2024-12-15</t>
        </is>
      </c>
      <c r="B1261" t="n">
        <v>101373.53125</v>
      </c>
      <c r="C1261" t="n">
        <v>105047.5390625</v>
      </c>
      <c r="D1261" t="n">
        <v>101227.03125</v>
      </c>
      <c r="E1261" t="n">
        <v>104298.6953125</v>
      </c>
      <c r="F1261" t="n">
        <v>51145914137</v>
      </c>
    </row>
    <row r="1262">
      <c r="A1262" t="inlineStr">
        <is>
          <t>2024-12-16</t>
        </is>
      </c>
      <c r="B1262" t="n">
        <v>104293.578125</v>
      </c>
      <c r="C1262" t="n">
        <v>107780.578125</v>
      </c>
      <c r="D1262" t="n">
        <v>103322.984375</v>
      </c>
      <c r="E1262" t="n">
        <v>106029.71875</v>
      </c>
      <c r="F1262" t="n">
        <v>91020417816</v>
      </c>
    </row>
    <row r="1263">
      <c r="A1263" t="inlineStr">
        <is>
          <t>2024-12-17</t>
        </is>
      </c>
      <c r="B1263" t="n">
        <v>106030.6875</v>
      </c>
      <c r="C1263" t="n">
        <v>108268.4453125</v>
      </c>
      <c r="D1263" t="n">
        <v>105291.734375</v>
      </c>
      <c r="E1263" t="n">
        <v>106140.6015625</v>
      </c>
      <c r="F1263" t="n">
        <v>68589364868</v>
      </c>
    </row>
    <row r="1264">
      <c r="A1264" t="inlineStr">
        <is>
          <t>2024-12-18</t>
        </is>
      </c>
      <c r="B1264" t="n">
        <v>106147.296875</v>
      </c>
      <c r="C1264" t="n">
        <v>106470.609375</v>
      </c>
      <c r="D1264" t="n">
        <v>100041.5390625</v>
      </c>
      <c r="E1264" t="n">
        <v>100041.5390625</v>
      </c>
      <c r="F1264" t="n">
        <v>93865656139</v>
      </c>
    </row>
    <row r="1265">
      <c r="A1265" t="inlineStr">
        <is>
          <t>2024-12-19</t>
        </is>
      </c>
      <c r="B1265" t="n">
        <v>100070.6875</v>
      </c>
      <c r="C1265" t="n">
        <v>102748.1484375</v>
      </c>
      <c r="D1265" t="n">
        <v>95587.6796875</v>
      </c>
      <c r="E1265" t="n">
        <v>97490.953125</v>
      </c>
      <c r="F1265" t="n">
        <v>97221662392</v>
      </c>
    </row>
    <row r="1266">
      <c r="A1266" t="inlineStr">
        <is>
          <t>2024-12-20</t>
        </is>
      </c>
      <c r="B1266" t="n">
        <v>97484.6953125</v>
      </c>
      <c r="C1266" t="n">
        <v>98098.9140625</v>
      </c>
      <c r="D1266" t="n">
        <v>92175.1796875</v>
      </c>
      <c r="E1266" t="n">
        <v>97755.9296875</v>
      </c>
      <c r="F1266" t="n">
        <v>105634083408</v>
      </c>
    </row>
    <row r="1267">
      <c r="A1267" t="inlineStr">
        <is>
          <t>2024-12-21</t>
        </is>
      </c>
      <c r="B1267" t="n">
        <v>97756.1953125</v>
      </c>
      <c r="C1267" t="n">
        <v>99507.1015625</v>
      </c>
      <c r="D1267" t="n">
        <v>96426.5234375</v>
      </c>
      <c r="E1267" t="n">
        <v>97224.7265625</v>
      </c>
      <c r="F1267" t="n">
        <v>51765334294</v>
      </c>
    </row>
    <row r="1268">
      <c r="A1268" t="inlineStr">
        <is>
          <t>2024-12-22</t>
        </is>
      </c>
      <c r="B1268" t="n">
        <v>97218.3203125</v>
      </c>
      <c r="C1268" t="n">
        <v>97360.265625</v>
      </c>
      <c r="D1268" t="n">
        <v>94202.1875</v>
      </c>
      <c r="E1268" t="n">
        <v>95104.9375</v>
      </c>
      <c r="F1268" t="n">
        <v>43147981314</v>
      </c>
    </row>
    <row r="1269">
      <c r="A1269" t="inlineStr">
        <is>
          <t>2024-12-23</t>
        </is>
      </c>
      <c r="B1269" t="n">
        <v>95099.390625</v>
      </c>
      <c r="C1269" t="n">
        <v>96416.2109375</v>
      </c>
      <c r="D1269" t="n">
        <v>92403.1328125</v>
      </c>
      <c r="E1269" t="n">
        <v>94686.2421875</v>
      </c>
      <c r="F1269" t="n">
        <v>65239002919</v>
      </c>
    </row>
    <row r="1270">
      <c r="A1270" t="inlineStr">
        <is>
          <t>2024-12-24</t>
        </is>
      </c>
      <c r="B1270" t="n">
        <v>94684.34375</v>
      </c>
      <c r="C1270" t="n">
        <v>99404.0625</v>
      </c>
      <c r="D1270" t="n">
        <v>93448.015625</v>
      </c>
      <c r="E1270" t="n">
        <v>98676.09375</v>
      </c>
      <c r="F1270" t="n">
        <v>47114953674</v>
      </c>
    </row>
    <row r="1271">
      <c r="A1271" t="inlineStr">
        <is>
          <t>2024-12-25</t>
        </is>
      </c>
      <c r="B1271" t="n">
        <v>98675.9140625</v>
      </c>
      <c r="C1271" t="n">
        <v>99478.75</v>
      </c>
      <c r="D1271" t="n">
        <v>97593.46875</v>
      </c>
      <c r="E1271" t="n">
        <v>99299.1953125</v>
      </c>
      <c r="F1271" t="n">
        <v>33700394629</v>
      </c>
    </row>
    <row r="1272">
      <c r="A1272" t="inlineStr">
        <is>
          <t>2024-12-26</t>
        </is>
      </c>
      <c r="B1272" t="n">
        <v>99297.6953125</v>
      </c>
      <c r="C1272" t="n">
        <v>99884.5703125</v>
      </c>
      <c r="D1272" t="n">
        <v>95137.8828125</v>
      </c>
      <c r="E1272" t="n">
        <v>95795.515625</v>
      </c>
      <c r="F1272" t="n">
        <v>47054980873</v>
      </c>
    </row>
    <row r="1273">
      <c r="A1273" t="inlineStr">
        <is>
          <t>2024-12-27</t>
        </is>
      </c>
      <c r="B1273" t="n">
        <v>95704.9765625</v>
      </c>
      <c r="C1273" t="n">
        <v>97294.84375</v>
      </c>
      <c r="D1273" t="n">
        <v>93310.7421875</v>
      </c>
      <c r="E1273" t="n">
        <v>94164.859375</v>
      </c>
      <c r="F1273" t="n">
        <v>52419934565</v>
      </c>
    </row>
    <row r="1274">
      <c r="A1274" t="inlineStr">
        <is>
          <t>2024-12-28</t>
        </is>
      </c>
      <c r="B1274" t="n">
        <v>94160.1875</v>
      </c>
      <c r="C1274" t="n">
        <v>95525.8984375</v>
      </c>
      <c r="D1274" t="n">
        <v>94014.2890625</v>
      </c>
      <c r="E1274" t="n">
        <v>95163.9296875</v>
      </c>
      <c r="F1274" t="n">
        <v>24107436185</v>
      </c>
    </row>
    <row r="1275">
      <c r="A1275" t="inlineStr">
        <is>
          <t>2024-12-29</t>
        </is>
      </c>
      <c r="B1275" t="n">
        <v>95174.0546875</v>
      </c>
      <c r="C1275" t="n">
        <v>95174.875</v>
      </c>
      <c r="D1275" t="n">
        <v>92881.7890625</v>
      </c>
      <c r="E1275" t="n">
        <v>93530.2265625</v>
      </c>
      <c r="F1275" t="n">
        <v>29635885267</v>
      </c>
    </row>
    <row r="1276">
      <c r="A1276" t="inlineStr">
        <is>
          <t>2024-12-30</t>
        </is>
      </c>
      <c r="B1276" t="n">
        <v>93527.1953125</v>
      </c>
      <c r="C1276" t="n">
        <v>94903.3203125</v>
      </c>
      <c r="D1276" t="n">
        <v>91317.1328125</v>
      </c>
      <c r="E1276" t="n">
        <v>92643.2109375</v>
      </c>
      <c r="F1276" t="n">
        <v>56188003691</v>
      </c>
    </row>
    <row r="1277">
      <c r="A1277" t="inlineStr">
        <is>
          <t>2024-12-31</t>
        </is>
      </c>
      <c r="B1277" t="n">
        <v>92643.25</v>
      </c>
      <c r="C1277" t="n">
        <v>96090.6015625</v>
      </c>
      <c r="D1277" t="n">
        <v>91914.03125</v>
      </c>
      <c r="E1277" t="n">
        <v>93429.203125</v>
      </c>
      <c r="F1277" t="n">
        <v>43625106843</v>
      </c>
    </row>
    <row r="1278">
      <c r="A1278" t="inlineStr">
        <is>
          <t>2025-01-01</t>
        </is>
      </c>
      <c r="B1278" t="n">
        <v>93425.1015625</v>
      </c>
      <c r="C1278" t="n">
        <v>94929.8671875</v>
      </c>
      <c r="D1278" t="n">
        <v>92788.125</v>
      </c>
      <c r="E1278" t="n">
        <v>94419.7578125</v>
      </c>
      <c r="F1278" t="n">
        <v>24519888919</v>
      </c>
    </row>
    <row r="1279">
      <c r="A1279" t="inlineStr">
        <is>
          <t>2025-01-02</t>
        </is>
      </c>
      <c r="B1279" t="n">
        <v>94416.2890625</v>
      </c>
      <c r="C1279" t="n">
        <v>97739.8203125</v>
      </c>
      <c r="D1279" t="n">
        <v>94201.5703125</v>
      </c>
      <c r="E1279" t="n">
        <v>96886.875</v>
      </c>
      <c r="F1279" t="n">
        <v>46009564411</v>
      </c>
    </row>
    <row r="1280">
      <c r="A1280" t="inlineStr">
        <is>
          <t>2025-01-03</t>
        </is>
      </c>
      <c r="B1280" t="n">
        <v>96881.7265625</v>
      </c>
      <c r="C1280" t="n">
        <v>98956.9140625</v>
      </c>
      <c r="D1280" t="n">
        <v>96034.6171875</v>
      </c>
      <c r="E1280" t="n">
        <v>98107.4296875</v>
      </c>
      <c r="F1280" t="n">
        <v>35611391163</v>
      </c>
    </row>
    <row r="1281">
      <c r="A1281" t="inlineStr">
        <is>
          <t>2025-01-04</t>
        </is>
      </c>
      <c r="B1281" t="n">
        <v>98106.9921875</v>
      </c>
      <c r="C1281" t="n">
        <v>98734.4296875</v>
      </c>
      <c r="D1281" t="n">
        <v>97562.9765625</v>
      </c>
      <c r="E1281" t="n">
        <v>98236.2265625</v>
      </c>
      <c r="F1281" t="n">
        <v>22342608078</v>
      </c>
    </row>
    <row r="1282">
      <c r="A1282" t="inlineStr">
        <is>
          <t>2025-01-05</t>
        </is>
      </c>
      <c r="B1282" t="n">
        <v>98233.90625</v>
      </c>
      <c r="C1282" t="n">
        <v>98813.3046875</v>
      </c>
      <c r="D1282" t="n">
        <v>97291.765625</v>
      </c>
      <c r="E1282" t="n">
        <v>98314.9609375</v>
      </c>
      <c r="F1282" t="n">
        <v>20525254825</v>
      </c>
    </row>
    <row r="1283">
      <c r="A1283" t="inlineStr">
        <is>
          <t>2025-01-06</t>
        </is>
      </c>
      <c r="B1283" t="n">
        <v>98314.953125</v>
      </c>
      <c r="C1283" t="n">
        <v>102482.875</v>
      </c>
      <c r="D1283" t="n">
        <v>97926.1484375</v>
      </c>
      <c r="E1283" t="n">
        <v>102078.0859375</v>
      </c>
      <c r="F1283" t="n">
        <v>51823432705</v>
      </c>
    </row>
    <row r="1284">
      <c r="A1284" t="inlineStr">
        <is>
          <t>2025-01-07</t>
        </is>
      </c>
      <c r="B1284" t="n">
        <v>102248.8515625</v>
      </c>
      <c r="C1284" t="n">
        <v>102712.484375</v>
      </c>
      <c r="D1284" t="n">
        <v>96132.875</v>
      </c>
      <c r="E1284" t="n">
        <v>96922.703125</v>
      </c>
      <c r="F1284" t="n">
        <v>58685738547</v>
      </c>
    </row>
    <row r="1285">
      <c r="A1285" t="inlineStr">
        <is>
          <t>2025-01-08</t>
        </is>
      </c>
      <c r="B1285" t="n">
        <v>96924.1640625</v>
      </c>
      <c r="C1285" t="n">
        <v>97258.3203125</v>
      </c>
      <c r="D1285" t="n">
        <v>92525.84375</v>
      </c>
      <c r="E1285" t="n">
        <v>95043.5234375</v>
      </c>
      <c r="F1285" t="n">
        <v>63875859171</v>
      </c>
    </row>
    <row r="1286">
      <c r="A1286" t="inlineStr">
        <is>
          <t>2025-01-09</t>
        </is>
      </c>
      <c r="B1286" t="n">
        <v>95043.484375</v>
      </c>
      <c r="C1286" t="n">
        <v>95349.71875</v>
      </c>
      <c r="D1286" t="n">
        <v>91220.84375</v>
      </c>
      <c r="E1286" t="n">
        <v>92484.0390625</v>
      </c>
      <c r="F1286" t="n">
        <v>62777261693</v>
      </c>
    </row>
    <row r="1287">
      <c r="A1287" t="inlineStr">
        <is>
          <t>2025-01-10</t>
        </is>
      </c>
      <c r="B1287" t="n">
        <v>92494.4921875</v>
      </c>
      <c r="C1287" t="n">
        <v>95770.609375</v>
      </c>
      <c r="D1287" t="n">
        <v>92250.09375</v>
      </c>
      <c r="E1287" t="n">
        <v>94701.453125</v>
      </c>
      <c r="F1287" t="n">
        <v>62058693684</v>
      </c>
    </row>
    <row r="1288">
      <c r="A1288" t="inlineStr">
        <is>
          <t>2025-01-11</t>
        </is>
      </c>
      <c r="B1288" t="n">
        <v>94700.8359375</v>
      </c>
      <c r="C1288" t="n">
        <v>94977.6875</v>
      </c>
      <c r="D1288" t="n">
        <v>93840.046875</v>
      </c>
      <c r="E1288" t="n">
        <v>94566.59375</v>
      </c>
      <c r="F1288" t="n">
        <v>18860894100</v>
      </c>
    </row>
    <row r="1289">
      <c r="A1289" t="inlineStr">
        <is>
          <t>2025-01-12</t>
        </is>
      </c>
      <c r="B1289" t="n">
        <v>94565.7265625</v>
      </c>
      <c r="C1289" t="n">
        <v>95367.5390625</v>
      </c>
      <c r="D1289" t="n">
        <v>93712.5078125</v>
      </c>
      <c r="E1289" t="n">
        <v>94488.4375</v>
      </c>
      <c r="F1289" t="n">
        <v>20885130965</v>
      </c>
    </row>
    <row r="1290">
      <c r="A1290" t="inlineStr">
        <is>
          <t>2025-01-13</t>
        </is>
      </c>
      <c r="B1290" t="n">
        <v>94488.890625</v>
      </c>
      <c r="C1290" t="n">
        <v>95837</v>
      </c>
      <c r="D1290" t="n">
        <v>89260.1015625</v>
      </c>
      <c r="E1290" t="n">
        <v>94516.5234375</v>
      </c>
      <c r="F1290" t="n">
        <v>72978998252</v>
      </c>
    </row>
    <row r="1291">
      <c r="A1291" t="inlineStr">
        <is>
          <t>2025-01-14</t>
        </is>
      </c>
      <c r="B1291" t="n">
        <v>94519.0078125</v>
      </c>
      <c r="C1291" t="n">
        <v>97352.6640625</v>
      </c>
      <c r="D1291" t="n">
        <v>94322.15625</v>
      </c>
      <c r="E1291" t="n">
        <v>96534.046875</v>
      </c>
      <c r="F1291" t="n">
        <v>53769675818</v>
      </c>
    </row>
    <row r="1292">
      <c r="A1292" t="inlineStr">
        <is>
          <t>2025-01-15</t>
        </is>
      </c>
      <c r="B1292" t="n">
        <v>96534.046875</v>
      </c>
      <c r="C1292" t="n">
        <v>100697.234375</v>
      </c>
      <c r="D1292" t="n">
        <v>96501.640625</v>
      </c>
      <c r="E1292" t="n">
        <v>100504.4921875</v>
      </c>
      <c r="F1292" t="n">
        <v>57805923627</v>
      </c>
    </row>
    <row r="1293">
      <c r="A1293" t="inlineStr">
        <is>
          <t>2025-01-16</t>
        </is>
      </c>
      <c r="B1293" t="n">
        <v>100505.296875</v>
      </c>
      <c r="C1293" t="n">
        <v>100781.5859375</v>
      </c>
      <c r="D1293" t="n">
        <v>97364.4453125</v>
      </c>
      <c r="E1293" t="n">
        <v>99756.90625</v>
      </c>
      <c r="F1293" t="n">
        <v>54103781805</v>
      </c>
    </row>
    <row r="1294">
      <c r="A1294" t="inlineStr">
        <is>
          <t>2025-01-17</t>
        </is>
      </c>
      <c r="B1294" t="n">
        <v>100025.765625</v>
      </c>
      <c r="C1294" t="n">
        <v>105884.2265625</v>
      </c>
      <c r="D1294" t="n">
        <v>99948.90625</v>
      </c>
      <c r="E1294" t="n">
        <v>104462.0390625</v>
      </c>
      <c r="F1294" t="n">
        <v>71888972663</v>
      </c>
    </row>
    <row r="1295">
      <c r="A1295" t="inlineStr">
        <is>
          <t>2025-01-18</t>
        </is>
      </c>
      <c r="B1295" t="n">
        <v>104124.953125</v>
      </c>
      <c r="C1295" t="n">
        <v>104913.203125</v>
      </c>
      <c r="D1295" t="n">
        <v>102226.6171875</v>
      </c>
      <c r="E1295" t="n">
        <v>104408.0703125</v>
      </c>
      <c r="F1295" t="n">
        <v>50445655726</v>
      </c>
    </row>
    <row r="1296">
      <c r="A1296" t="inlineStr">
        <is>
          <t>2025-01-19</t>
        </is>
      </c>
      <c r="B1296" t="n">
        <v>104411.2890625</v>
      </c>
      <c r="C1296" t="n">
        <v>106299.796875</v>
      </c>
      <c r="D1296" t="n">
        <v>99570.53125</v>
      </c>
      <c r="E1296" t="n">
        <v>101089.609375</v>
      </c>
      <c r="F1296" t="n">
        <v>76789928525</v>
      </c>
    </row>
    <row r="1297">
      <c r="A1297" t="inlineStr">
        <is>
          <t>2025-01-20</t>
        </is>
      </c>
      <c r="B1297" t="n">
        <v>101083.75</v>
      </c>
      <c r="C1297" t="n">
        <v>109114.8828125</v>
      </c>
      <c r="D1297" t="n">
        <v>99471.359375</v>
      </c>
      <c r="E1297" t="n">
        <v>102016.6640625</v>
      </c>
      <c r="F1297" t="n">
        <v>126279678351</v>
      </c>
    </row>
    <row r="1298">
      <c r="A1298" t="inlineStr">
        <is>
          <t>2025-01-21</t>
        </is>
      </c>
      <c r="B1298" t="n">
        <v>102052.578125</v>
      </c>
      <c r="C1298" t="n">
        <v>107180.921875</v>
      </c>
      <c r="D1298" t="n">
        <v>100103.953125</v>
      </c>
      <c r="E1298" t="n">
        <v>106146.265625</v>
      </c>
      <c r="F1298" t="n">
        <v>88733878242</v>
      </c>
    </row>
    <row r="1299">
      <c r="A1299" t="inlineStr">
        <is>
          <t>2025-01-22</t>
        </is>
      </c>
      <c r="B1299" t="n">
        <v>106136.3828125</v>
      </c>
      <c r="C1299" t="n">
        <v>106294.34375</v>
      </c>
      <c r="D1299" t="n">
        <v>103360.265625</v>
      </c>
      <c r="E1299" t="n">
        <v>103653.0703125</v>
      </c>
      <c r="F1299" t="n">
        <v>53878181052</v>
      </c>
    </row>
    <row r="1300">
      <c r="A1300" t="inlineStr">
        <is>
          <t>2025-01-23</t>
        </is>
      </c>
      <c r="B1300" t="n">
        <v>103657.671875</v>
      </c>
      <c r="C1300" t="n">
        <v>106820.328125</v>
      </c>
      <c r="D1300" t="n">
        <v>101257.8046875</v>
      </c>
      <c r="E1300" t="n">
        <v>103960.171875</v>
      </c>
      <c r="F1300" t="n">
        <v>104104515428</v>
      </c>
    </row>
    <row r="1301">
      <c r="A1301" t="inlineStr">
        <is>
          <t>2025-01-24</t>
        </is>
      </c>
      <c r="B1301" t="n">
        <v>103965.671875</v>
      </c>
      <c r="C1301" t="n">
        <v>107098.546875</v>
      </c>
      <c r="D1301" t="n">
        <v>102772.125</v>
      </c>
      <c r="E1301" t="n">
        <v>104819.484375</v>
      </c>
      <c r="F1301" t="n">
        <v>52388229265</v>
      </c>
    </row>
    <row r="1302">
      <c r="A1302" t="inlineStr">
        <is>
          <t>2025-01-25</t>
        </is>
      </c>
      <c r="B1302" t="n">
        <v>104824.03125</v>
      </c>
      <c r="C1302" t="n">
        <v>105243.7890625</v>
      </c>
      <c r="D1302" t="n">
        <v>104120.375</v>
      </c>
      <c r="E1302" t="n">
        <v>104714.6484375</v>
      </c>
      <c r="F1302" t="n">
        <v>23888996502</v>
      </c>
    </row>
    <row r="1303">
      <c r="A1303" t="inlineStr">
        <is>
          <t>2025-01-26</t>
        </is>
      </c>
      <c r="B1303" t="n">
        <v>104713.2109375</v>
      </c>
      <c r="C1303" t="n">
        <v>105438.6484375</v>
      </c>
      <c r="D1303" t="n">
        <v>102507.7109375</v>
      </c>
      <c r="E1303" t="n">
        <v>102682.5</v>
      </c>
      <c r="F1303" t="n">
        <v>22543395879</v>
      </c>
    </row>
    <row r="1304">
      <c r="A1304" t="inlineStr">
        <is>
          <t>2025-01-27</t>
        </is>
      </c>
      <c r="B1304" t="n">
        <v>102680.3046875</v>
      </c>
      <c r="C1304" t="n">
        <v>103214.109375</v>
      </c>
      <c r="D1304" t="n">
        <v>97795.9375</v>
      </c>
      <c r="E1304" t="n">
        <v>102087.6875</v>
      </c>
      <c r="F1304" t="n">
        <v>89006608428</v>
      </c>
    </row>
    <row r="1305">
      <c r="A1305" t="inlineStr">
        <is>
          <t>2025-01-28</t>
        </is>
      </c>
      <c r="B1305" t="n">
        <v>102095.4140625</v>
      </c>
      <c r="C1305" t="n">
        <v>103730.8203125</v>
      </c>
      <c r="D1305" t="n">
        <v>100238.1875</v>
      </c>
      <c r="E1305" t="n">
        <v>101332.4765625</v>
      </c>
      <c r="F1305" t="n">
        <v>47180685494</v>
      </c>
    </row>
    <row r="1306">
      <c r="A1306" t="inlineStr">
        <is>
          <t>2025-01-29</t>
        </is>
      </c>
      <c r="B1306" t="n">
        <v>101317.5234375</v>
      </c>
      <c r="C1306" t="n">
        <v>104750.8046875</v>
      </c>
      <c r="D1306" t="n">
        <v>101283.8203125</v>
      </c>
      <c r="E1306" t="n">
        <v>103703.2109375</v>
      </c>
      <c r="F1306" t="n">
        <v>47432049818</v>
      </c>
    </row>
    <row r="1307">
      <c r="A1307" t="inlineStr">
        <is>
          <t>2025-01-30</t>
        </is>
      </c>
      <c r="B1307" t="n">
        <v>103709.3359375</v>
      </c>
      <c r="C1307" t="n">
        <v>106418.765625</v>
      </c>
      <c r="D1307" t="n">
        <v>103321.6484375</v>
      </c>
      <c r="E1307" t="n">
        <v>104735.3046875</v>
      </c>
      <c r="F1307" t="n">
        <v>41915744521</v>
      </c>
    </row>
    <row r="1308">
      <c r="A1308" t="inlineStr">
        <is>
          <t>2025-01-31</t>
        </is>
      </c>
      <c r="B1308" t="n">
        <v>104737.5625</v>
      </c>
      <c r="C1308" t="n">
        <v>106026.3515625</v>
      </c>
      <c r="D1308" t="n">
        <v>101543.8828125</v>
      </c>
      <c r="E1308" t="n">
        <v>102405.0234375</v>
      </c>
      <c r="F1308" t="n">
        <v>45732764360</v>
      </c>
    </row>
    <row r="1309">
      <c r="A1309" t="inlineStr">
        <is>
          <t>2025-02-01</t>
        </is>
      </c>
      <c r="B1309" t="n">
        <v>102402.796875</v>
      </c>
      <c r="C1309" t="n">
        <v>102755.7265625</v>
      </c>
      <c r="D1309" t="n">
        <v>100297.7109375</v>
      </c>
      <c r="E1309" t="n">
        <v>100655.90625</v>
      </c>
      <c r="F1309" t="n">
        <v>27757944848</v>
      </c>
    </row>
    <row r="1310">
      <c r="A1310" t="inlineStr">
        <is>
          <t>2025-02-02</t>
        </is>
      </c>
      <c r="B1310" t="n">
        <v>100661.5390625</v>
      </c>
      <c r="C1310" t="n">
        <v>101430.6640625</v>
      </c>
      <c r="D1310" t="n">
        <v>96216.078125</v>
      </c>
      <c r="E1310" t="n">
        <v>97688.9765625</v>
      </c>
      <c r="F1310" t="n">
        <v>63091816853</v>
      </c>
    </row>
    <row r="1311">
      <c r="A1311" t="inlineStr">
        <is>
          <t>2025-02-03</t>
        </is>
      </c>
      <c r="B1311" t="n">
        <v>97681.1015625</v>
      </c>
      <c r="C1311" t="n">
        <v>102514.171875</v>
      </c>
      <c r="D1311" t="n">
        <v>91242.890625</v>
      </c>
      <c r="E1311" t="n">
        <v>101405.421875</v>
      </c>
      <c r="F1311" t="n">
        <v>115400897748</v>
      </c>
    </row>
    <row r="1312">
      <c r="A1312" t="inlineStr">
        <is>
          <t>2025-02-04</t>
        </is>
      </c>
      <c r="B1312" t="n">
        <v>101398.71875</v>
      </c>
      <c r="C1312" t="n">
        <v>101745.6171875</v>
      </c>
      <c r="D1312" t="n">
        <v>96208.109375</v>
      </c>
      <c r="E1312" t="n">
        <v>97871.8203125</v>
      </c>
      <c r="F1312" t="n">
        <v>73002130211</v>
      </c>
    </row>
    <row r="1313">
      <c r="A1313" t="inlineStr">
        <is>
          <t>2025-02-05</t>
        </is>
      </c>
      <c r="B1313" t="n">
        <v>97878.0078125</v>
      </c>
      <c r="C1313" t="n">
        <v>99113.2109375</v>
      </c>
      <c r="D1313" t="n">
        <v>96174.828125</v>
      </c>
      <c r="E1313" t="n">
        <v>96615.4453125</v>
      </c>
      <c r="F1313" t="n">
        <v>49125911241</v>
      </c>
    </row>
    <row r="1314">
      <c r="A1314" t="inlineStr">
        <is>
          <t>2025-02-06</t>
        </is>
      </c>
      <c r="B1314" t="n">
        <v>96610.640625</v>
      </c>
      <c r="C1314" t="n">
        <v>99168.609375</v>
      </c>
      <c r="D1314" t="n">
        <v>95707.3515625</v>
      </c>
      <c r="E1314" t="n">
        <v>96593.296875</v>
      </c>
      <c r="F1314" t="n">
        <v>45302471947</v>
      </c>
    </row>
    <row r="1315">
      <c r="A1315" t="inlineStr">
        <is>
          <t>2025-02-07</t>
        </is>
      </c>
      <c r="B1315" t="n">
        <v>96581.3203125</v>
      </c>
      <c r="C1315" t="n">
        <v>100154.140625</v>
      </c>
      <c r="D1315" t="n">
        <v>95653.8828125</v>
      </c>
      <c r="E1315" t="n">
        <v>96529.0859375</v>
      </c>
      <c r="F1315" t="n">
        <v>55741290456</v>
      </c>
    </row>
    <row r="1316">
      <c r="A1316" t="inlineStr">
        <is>
          <t>2025-02-08</t>
        </is>
      </c>
      <c r="B1316" t="n">
        <v>96533.2578125</v>
      </c>
      <c r="C1316" t="n">
        <v>96877.8046875</v>
      </c>
      <c r="D1316" t="n">
        <v>95702.4921875</v>
      </c>
      <c r="E1316" t="n">
        <v>96482.453125</v>
      </c>
      <c r="F1316" t="n">
        <v>22447526395</v>
      </c>
    </row>
    <row r="1317">
      <c r="A1317" t="inlineStr">
        <is>
          <t>2025-02-09</t>
        </is>
      </c>
      <c r="B1317" t="n">
        <v>96481.3125</v>
      </c>
      <c r="C1317" t="n">
        <v>97325.28125</v>
      </c>
      <c r="D1317" t="n">
        <v>94745.2578125</v>
      </c>
      <c r="E1317" t="n">
        <v>96500.09375</v>
      </c>
      <c r="F1317" t="n">
        <v>27732901800</v>
      </c>
    </row>
    <row r="1318">
      <c r="A1318" t="inlineStr">
        <is>
          <t>2025-02-10</t>
        </is>
      </c>
      <c r="B1318" t="n">
        <v>96499.4609375</v>
      </c>
      <c r="C1318" t="n">
        <v>98333.21875</v>
      </c>
      <c r="D1318" t="n">
        <v>95320.84375</v>
      </c>
      <c r="E1318" t="n">
        <v>97437.5546875</v>
      </c>
      <c r="F1318" t="n">
        <v>40078962391</v>
      </c>
    </row>
    <row r="1319">
      <c r="A1319" t="inlineStr">
        <is>
          <t>2025-02-11</t>
        </is>
      </c>
      <c r="B1319" t="n">
        <v>97438.1328125</v>
      </c>
      <c r="C1319" t="n">
        <v>98492.8984375</v>
      </c>
      <c r="D1319" t="n">
        <v>94875.0390625</v>
      </c>
      <c r="E1319" t="n">
        <v>95747.4296875</v>
      </c>
      <c r="F1319" t="n">
        <v>37488783272</v>
      </c>
    </row>
    <row r="1320">
      <c r="A1320" t="inlineStr">
        <is>
          <t>2025-02-12</t>
        </is>
      </c>
      <c r="B1320" t="n">
        <v>95745.6953125</v>
      </c>
      <c r="C1320" t="n">
        <v>98151.0234375</v>
      </c>
      <c r="D1320" t="n">
        <v>94101.203125</v>
      </c>
      <c r="E1320" t="n">
        <v>97885.859375</v>
      </c>
      <c r="F1320" t="n">
        <v>49340445530</v>
      </c>
    </row>
    <row r="1321">
      <c r="A1321" t="inlineStr">
        <is>
          <t>2025-02-13</t>
        </is>
      </c>
      <c r="B1321" t="n">
        <v>97888.75</v>
      </c>
      <c r="C1321" t="n">
        <v>98111.0859375</v>
      </c>
      <c r="D1321" t="n">
        <v>95269.7109375</v>
      </c>
      <c r="E1321" t="n">
        <v>96623.8671875</v>
      </c>
      <c r="F1321" t="n">
        <v>37147280860</v>
      </c>
    </row>
    <row r="1322">
      <c r="A1322" t="inlineStr">
        <is>
          <t>2025-02-14</t>
        </is>
      </c>
      <c r="B1322" t="n">
        <v>96623.3671875</v>
      </c>
      <c r="C1322" t="n">
        <v>98819.46875</v>
      </c>
      <c r="D1322" t="n">
        <v>96342.8046875</v>
      </c>
      <c r="E1322" t="n">
        <v>97508.96875</v>
      </c>
      <c r="F1322" t="n">
        <v>32697987277</v>
      </c>
    </row>
    <row r="1323">
      <c r="A1323" t="inlineStr">
        <is>
          <t>2025-02-15</t>
        </is>
      </c>
      <c r="B1323" t="n">
        <v>97508.3828125</v>
      </c>
      <c r="C1323" t="n">
        <v>97975.0390625</v>
      </c>
      <c r="D1323" t="n">
        <v>97240.1953125</v>
      </c>
      <c r="E1323" t="n">
        <v>97580.3515625</v>
      </c>
      <c r="F1323" t="n">
        <v>17047266288</v>
      </c>
    </row>
    <row r="1324">
      <c r="A1324" t="inlineStr">
        <is>
          <t>2025-02-16</t>
        </is>
      </c>
      <c r="B1324" t="n">
        <v>97580.4921875</v>
      </c>
      <c r="C1324" t="n">
        <v>97725.59375</v>
      </c>
      <c r="D1324" t="n">
        <v>96060.9765625</v>
      </c>
      <c r="E1324" t="n">
        <v>96175.03125</v>
      </c>
      <c r="F1324" t="n">
        <v>16536755396</v>
      </c>
    </row>
    <row r="1325">
      <c r="A1325" t="inlineStr">
        <is>
          <t>2025-02-17</t>
        </is>
      </c>
      <c r="B1325" t="n">
        <v>96179.0078125</v>
      </c>
      <c r="C1325" t="n">
        <v>97032.234375</v>
      </c>
      <c r="D1325" t="n">
        <v>95243.546875</v>
      </c>
      <c r="E1325" t="n">
        <v>95773.3828125</v>
      </c>
      <c r="F1325" t="n">
        <v>27336550690</v>
      </c>
    </row>
    <row r="1326">
      <c r="A1326" t="inlineStr">
        <is>
          <t>2025-02-18</t>
        </is>
      </c>
      <c r="B1326" t="n">
        <v>95773.8125</v>
      </c>
      <c r="C1326" t="n">
        <v>96695.375</v>
      </c>
      <c r="D1326" t="n">
        <v>93388.8359375</v>
      </c>
      <c r="E1326" t="n">
        <v>95539.546875</v>
      </c>
      <c r="F1326" t="n">
        <v>37325720482</v>
      </c>
    </row>
    <row r="1327">
      <c r="A1327" t="inlineStr">
        <is>
          <t>2025-02-19</t>
        </is>
      </c>
      <c r="B1327" t="n">
        <v>95532.53125</v>
      </c>
      <c r="C1327" t="n">
        <v>96855.59375</v>
      </c>
      <c r="D1327" t="n">
        <v>95011.96875</v>
      </c>
      <c r="E1327" t="n">
        <v>96635.609375</v>
      </c>
      <c r="F1327" t="n">
        <v>28990872862</v>
      </c>
    </row>
    <row r="1328">
      <c r="A1328" t="inlineStr">
        <is>
          <t>2025-02-20</t>
        </is>
      </c>
      <c r="B1328" t="n">
        <v>96632.6796875</v>
      </c>
      <c r="C1328" t="n">
        <v>98767.1953125</v>
      </c>
      <c r="D1328" t="n">
        <v>96442.671875</v>
      </c>
      <c r="E1328" t="n">
        <v>98333.9375</v>
      </c>
      <c r="F1328" t="n">
        <v>31668022771</v>
      </c>
    </row>
    <row r="1329">
      <c r="A1329" t="inlineStr">
        <is>
          <t>2025-02-21</t>
        </is>
      </c>
      <c r="B1329" t="n">
        <v>98340.671875</v>
      </c>
      <c r="C1329" t="n">
        <v>99497.96875</v>
      </c>
      <c r="D1329" t="n">
        <v>94852.9609375</v>
      </c>
      <c r="E1329" t="n">
        <v>96125.546875</v>
      </c>
      <c r="F1329" t="n">
        <v>49608706470</v>
      </c>
    </row>
    <row r="1330">
      <c r="A1330" t="inlineStr">
        <is>
          <t>2025-02-22</t>
        </is>
      </c>
      <c r="B1330" t="n">
        <v>96134.203125</v>
      </c>
      <c r="C1330" t="n">
        <v>96950.15625</v>
      </c>
      <c r="D1330" t="n">
        <v>95765.34375</v>
      </c>
      <c r="E1330" t="n">
        <v>96577.7578125</v>
      </c>
      <c r="F1330" t="n">
        <v>18353824477</v>
      </c>
    </row>
    <row r="1331">
      <c r="A1331" t="inlineStr">
        <is>
          <t>2025-02-23</t>
        </is>
      </c>
      <c r="B1331" t="n">
        <v>96577.8046875</v>
      </c>
      <c r="C1331" t="n">
        <v>96671.875</v>
      </c>
      <c r="D1331" t="n">
        <v>95270.453125</v>
      </c>
      <c r="E1331" t="n">
        <v>96273.921875</v>
      </c>
      <c r="F1331" t="n">
        <v>16999478976</v>
      </c>
    </row>
    <row r="1332">
      <c r="A1332" t="inlineStr">
        <is>
          <t>2025-02-24</t>
        </is>
      </c>
      <c r="B1332" t="n">
        <v>96277.9609375</v>
      </c>
      <c r="C1332" t="n">
        <v>96503.453125</v>
      </c>
      <c r="D1332" t="n">
        <v>91371.7421875</v>
      </c>
      <c r="E1332" t="n">
        <v>91418.171875</v>
      </c>
      <c r="F1332" t="n">
        <v>44046480529</v>
      </c>
    </row>
    <row r="1333">
      <c r="A1333" t="inlineStr">
        <is>
          <t>2025-02-25</t>
        </is>
      </c>
      <c r="B1333" t="n">
        <v>91437.1171875</v>
      </c>
      <c r="C1333" t="n">
        <v>92511.078125</v>
      </c>
      <c r="D1333" t="n">
        <v>86008.234375</v>
      </c>
      <c r="E1333" t="n">
        <v>88736.171875</v>
      </c>
      <c r="F1333" t="n">
        <v>92139104128</v>
      </c>
    </row>
    <row r="1334">
      <c r="A1334" t="inlineStr">
        <is>
          <t>2025-02-26</t>
        </is>
      </c>
      <c r="B1334" t="n">
        <v>88638.890625</v>
      </c>
      <c r="C1334" t="n">
        <v>89286.25</v>
      </c>
      <c r="D1334" t="n">
        <v>82131.8984375</v>
      </c>
      <c r="E1334" t="n">
        <v>84347.0234375</v>
      </c>
      <c r="F1334" t="n">
        <v>64597492134</v>
      </c>
    </row>
    <row r="1335">
      <c r="A1335" t="inlineStr">
        <is>
          <t>2025-02-27</t>
        </is>
      </c>
      <c r="B1335" t="n">
        <v>84076.859375</v>
      </c>
      <c r="C1335" t="n">
        <v>87000.78125</v>
      </c>
      <c r="D1335" t="n">
        <v>83144.9609375</v>
      </c>
      <c r="E1335" t="n">
        <v>84704.2265625</v>
      </c>
      <c r="F1335" t="n">
        <v>52659591954</v>
      </c>
    </row>
    <row r="1336">
      <c r="A1336" t="inlineStr">
        <is>
          <t>2025-02-28</t>
        </is>
      </c>
      <c r="B1336" t="n">
        <v>84705.625</v>
      </c>
      <c r="C1336" t="n">
        <v>85036.3203125</v>
      </c>
      <c r="D1336" t="n">
        <v>78248.9140625</v>
      </c>
      <c r="E1336" t="n">
        <v>84373.0078125</v>
      </c>
      <c r="F1336" t="n">
        <v>83610570576</v>
      </c>
    </row>
    <row r="1337">
      <c r="A1337" t="inlineStr">
        <is>
          <t>2025-03-01</t>
        </is>
      </c>
      <c r="B1337" t="n">
        <v>84373.8671875</v>
      </c>
      <c r="C1337" t="n">
        <v>86522.3046875</v>
      </c>
      <c r="D1337" t="n">
        <v>83794.234375</v>
      </c>
      <c r="E1337" t="n">
        <v>86031.9140625</v>
      </c>
      <c r="F1337" t="n">
        <v>29190628396</v>
      </c>
    </row>
    <row r="1338">
      <c r="A1338" t="inlineStr">
        <is>
          <t>2025-03-02</t>
        </is>
      </c>
      <c r="B1338" t="n">
        <v>86036.2578125</v>
      </c>
      <c r="C1338" t="n">
        <v>95043.4375</v>
      </c>
      <c r="D1338" t="n">
        <v>85040.2109375</v>
      </c>
      <c r="E1338" t="n">
        <v>94248.3515625</v>
      </c>
      <c r="F1338" t="n">
        <v>58398341092</v>
      </c>
    </row>
    <row r="1339">
      <c r="A1339" t="inlineStr">
        <is>
          <t>2025-03-03</t>
        </is>
      </c>
      <c r="B1339" t="n">
        <v>94248.421875</v>
      </c>
      <c r="C1339" t="n">
        <v>94429.75</v>
      </c>
      <c r="D1339" t="n">
        <v>85081.3046875</v>
      </c>
      <c r="E1339" t="n">
        <v>86065.671875</v>
      </c>
      <c r="F1339" t="n">
        <v>70072228536</v>
      </c>
    </row>
    <row r="1340">
      <c r="A1340" t="inlineStr">
        <is>
          <t>2025-03-04</t>
        </is>
      </c>
      <c r="B1340" t="n">
        <v>86064.0703125</v>
      </c>
      <c r="C1340" t="n">
        <v>88911.2734375</v>
      </c>
      <c r="D1340" t="n">
        <v>81529.2421875</v>
      </c>
      <c r="E1340" t="n">
        <v>87222.1953125</v>
      </c>
      <c r="F1340" t="n">
        <v>68095241474</v>
      </c>
    </row>
    <row r="1341">
      <c r="A1341" t="inlineStr">
        <is>
          <t>2025-03-05</t>
        </is>
      </c>
      <c r="B1341" t="n">
        <v>87222.953125</v>
      </c>
      <c r="C1341" t="n">
        <v>90998.2421875</v>
      </c>
      <c r="D1341" t="n">
        <v>86379.7734375</v>
      </c>
      <c r="E1341" t="n">
        <v>90623.5625</v>
      </c>
      <c r="F1341" t="n">
        <v>50498988027</v>
      </c>
    </row>
    <row r="1342">
      <c r="A1342" t="inlineStr">
        <is>
          <t>2025-03-06</t>
        </is>
      </c>
      <c r="B1342" t="n">
        <v>90622.359375</v>
      </c>
      <c r="C1342" t="n">
        <v>92804.9375</v>
      </c>
      <c r="D1342" t="n">
        <v>87852.140625</v>
      </c>
      <c r="E1342" t="n">
        <v>89961.7265625</v>
      </c>
      <c r="F1342" t="n">
        <v>47749810486</v>
      </c>
    </row>
    <row r="1343">
      <c r="A1343" t="inlineStr">
        <is>
          <t>2025-03-07</t>
        </is>
      </c>
      <c r="B1343" t="n">
        <v>89963.28125</v>
      </c>
      <c r="C1343" t="n">
        <v>91191.046875</v>
      </c>
      <c r="D1343" t="n">
        <v>84717.6796875</v>
      </c>
      <c r="E1343" t="n">
        <v>86742.671875</v>
      </c>
      <c r="F1343" t="n">
        <v>65945677657</v>
      </c>
    </row>
    <row r="1344">
      <c r="A1344" t="inlineStr">
        <is>
          <t>2025-03-08</t>
        </is>
      </c>
      <c r="B1344" t="n">
        <v>86742.65625</v>
      </c>
      <c r="C1344" t="n">
        <v>86847.265625</v>
      </c>
      <c r="D1344" t="n">
        <v>85247.484375</v>
      </c>
      <c r="E1344" t="n">
        <v>86154.59375</v>
      </c>
      <c r="F1344" t="n">
        <v>18206118081</v>
      </c>
    </row>
    <row r="1345">
      <c r="A1345" t="inlineStr">
        <is>
          <t>2025-03-09</t>
        </is>
      </c>
      <c r="B1345" t="n">
        <v>86154.3046875</v>
      </c>
      <c r="C1345" t="n">
        <v>86471.1328125</v>
      </c>
      <c r="D1345" t="n">
        <v>80052.484375</v>
      </c>
      <c r="E1345" t="n">
        <v>80601.0390625</v>
      </c>
      <c r="F1345" t="n">
        <v>30899345977</v>
      </c>
    </row>
    <row r="1346">
      <c r="A1346" t="inlineStr">
        <is>
          <t>2025-03-10</t>
        </is>
      </c>
      <c r="B1346" t="n">
        <v>80597.1484375</v>
      </c>
      <c r="C1346" t="n">
        <v>83955.9296875</v>
      </c>
      <c r="D1346" t="n">
        <v>77420.59375</v>
      </c>
      <c r="E1346" t="n">
        <v>78532</v>
      </c>
      <c r="F1346" t="n">
        <v>54061099422</v>
      </c>
    </row>
    <row r="1347">
      <c r="A1347" t="inlineStr">
        <is>
          <t>2025-03-11</t>
        </is>
      </c>
      <c r="B1347" t="n">
        <v>78523.875</v>
      </c>
      <c r="C1347" t="n">
        <v>83577.7578125</v>
      </c>
      <c r="D1347" t="n">
        <v>76624.25</v>
      </c>
      <c r="E1347" t="n">
        <v>82862.2109375</v>
      </c>
      <c r="F1347" t="n">
        <v>54702837196</v>
      </c>
    </row>
    <row r="1348">
      <c r="A1348" t="inlineStr">
        <is>
          <t>2025-03-12</t>
        </is>
      </c>
      <c r="B1348" t="n">
        <v>82857.375</v>
      </c>
      <c r="C1348" t="n">
        <v>84358.578125</v>
      </c>
      <c r="D1348" t="n">
        <v>80635.25</v>
      </c>
      <c r="E1348" t="n">
        <v>83722.359375</v>
      </c>
      <c r="F1348" t="n">
        <v>40353484454</v>
      </c>
    </row>
    <row r="1349">
      <c r="A1349" t="inlineStr">
        <is>
          <t>2025-03-13</t>
        </is>
      </c>
      <c r="B1349" t="n">
        <v>83724.921875</v>
      </c>
      <c r="C1349" t="n">
        <v>84301.6953125</v>
      </c>
      <c r="D1349" t="n">
        <v>79931.8515625</v>
      </c>
      <c r="E1349" t="n">
        <v>81066.703125</v>
      </c>
      <c r="F1349" t="n">
        <v>31412940153</v>
      </c>
    </row>
    <row r="1350">
      <c r="A1350" t="inlineStr">
        <is>
          <t>2025-03-14</t>
        </is>
      </c>
      <c r="B1350" t="n">
        <v>81066.9921875</v>
      </c>
      <c r="C1350" t="n">
        <v>85263.2890625</v>
      </c>
      <c r="D1350" t="n">
        <v>80797.5625</v>
      </c>
      <c r="E1350" t="n">
        <v>83969.1015625</v>
      </c>
      <c r="F1350" t="n">
        <v>29588112414</v>
      </c>
    </row>
    <row r="1351">
      <c r="A1351" t="inlineStr">
        <is>
          <t>2025-03-15</t>
        </is>
      </c>
      <c r="B1351" t="n">
        <v>83968.40625</v>
      </c>
      <c r="C1351" t="n">
        <v>84672.671875</v>
      </c>
      <c r="D1351" t="n">
        <v>83639.59375</v>
      </c>
      <c r="E1351" t="n">
        <v>84343.109375</v>
      </c>
      <c r="F1351" t="n">
        <v>13650491277</v>
      </c>
    </row>
    <row r="1352">
      <c r="A1352" t="inlineStr">
        <is>
          <t>2025-03-16</t>
        </is>
      </c>
      <c r="B1352" t="n">
        <v>84333.3203125</v>
      </c>
      <c r="C1352" t="n">
        <v>85051.6015625</v>
      </c>
      <c r="D1352" t="n">
        <v>82017.90625</v>
      </c>
      <c r="E1352" t="n">
        <v>82579.6875</v>
      </c>
      <c r="F1352" t="n">
        <v>21330270174</v>
      </c>
    </row>
    <row r="1353">
      <c r="A1353" t="inlineStr">
        <is>
          <t>2025-03-17</t>
        </is>
      </c>
      <c r="B1353" t="n">
        <v>82576.3359375</v>
      </c>
      <c r="C1353" t="n">
        <v>84725.328125</v>
      </c>
      <c r="D1353" t="n">
        <v>82492.15625</v>
      </c>
      <c r="E1353" t="n">
        <v>84075.6875</v>
      </c>
      <c r="F1353" t="n">
        <v>25092785558</v>
      </c>
    </row>
    <row r="1354">
      <c r="A1354" t="inlineStr">
        <is>
          <t>2025-03-18</t>
        </is>
      </c>
      <c r="B1354" t="n">
        <v>84075.71875</v>
      </c>
      <c r="C1354" t="n">
        <v>84075.71875</v>
      </c>
      <c r="D1354" t="n">
        <v>81179.9921875</v>
      </c>
      <c r="E1354" t="n">
        <v>82718.5</v>
      </c>
      <c r="F1354" t="n">
        <v>24095774594</v>
      </c>
    </row>
    <row r="1355">
      <c r="A1355" t="inlineStr">
        <is>
          <t>2025-03-19</t>
        </is>
      </c>
      <c r="B1355" t="n">
        <v>82718.8046875</v>
      </c>
      <c r="C1355" t="n">
        <v>87021.1875</v>
      </c>
      <c r="D1355" t="n">
        <v>82569.7265625</v>
      </c>
      <c r="E1355" t="n">
        <v>86854.2265625</v>
      </c>
      <c r="F1355" t="n">
        <v>34931960257</v>
      </c>
    </row>
    <row r="1356">
      <c r="A1356" t="inlineStr">
        <is>
          <t>2025-03-20</t>
        </is>
      </c>
      <c r="B1356" t="n">
        <v>86872.953125</v>
      </c>
      <c r="C1356" t="n">
        <v>87443.265625</v>
      </c>
      <c r="D1356" t="n">
        <v>83647.1953125</v>
      </c>
      <c r="E1356" t="n">
        <v>84167.1953125</v>
      </c>
      <c r="F1356" t="n">
        <v>29028988961</v>
      </c>
    </row>
    <row r="1357">
      <c r="A1357" t="inlineStr">
        <is>
          <t>2025-03-21</t>
        </is>
      </c>
      <c r="B1357" t="n">
        <v>84164.5390625</v>
      </c>
      <c r="C1357" t="n">
        <v>84782.2734375</v>
      </c>
      <c r="D1357" t="n">
        <v>83171.0703125</v>
      </c>
      <c r="E1357" t="n">
        <v>84043.2421875</v>
      </c>
      <c r="F1357" t="n">
        <v>19030452299</v>
      </c>
    </row>
    <row r="1358">
      <c r="A1358" t="inlineStr">
        <is>
          <t>2025-03-22</t>
        </is>
      </c>
      <c r="B1358" t="n">
        <v>84046.2578125</v>
      </c>
      <c r="C1358" t="n">
        <v>84513.875</v>
      </c>
      <c r="D1358" t="n">
        <v>83674.78125</v>
      </c>
      <c r="E1358" t="n">
        <v>83832.484375</v>
      </c>
      <c r="F1358" t="n">
        <v>9863214091</v>
      </c>
    </row>
    <row r="1359">
      <c r="A1359" t="inlineStr">
        <is>
          <t>2025-03-23</t>
        </is>
      </c>
      <c r="B1359" t="n">
        <v>83831.8984375</v>
      </c>
      <c r="C1359" t="n">
        <v>86094.78125</v>
      </c>
      <c r="D1359" t="n">
        <v>83794.9140625</v>
      </c>
      <c r="E1359" t="n">
        <v>86054.375</v>
      </c>
      <c r="F1359" t="n">
        <v>12594615537</v>
      </c>
    </row>
    <row r="1360">
      <c r="A1360" t="inlineStr">
        <is>
          <t>2025-03-24</t>
        </is>
      </c>
      <c r="B1360" t="n">
        <v>86070.9296875</v>
      </c>
      <c r="C1360" t="n">
        <v>88758.7265625</v>
      </c>
      <c r="D1360" t="n">
        <v>85541.1953125</v>
      </c>
      <c r="E1360" t="n">
        <v>87498.9140625</v>
      </c>
      <c r="F1360" t="n">
        <v>34582604933</v>
      </c>
    </row>
    <row r="1361">
      <c r="A1361" t="inlineStr">
        <is>
          <t>2025-03-25</t>
        </is>
      </c>
      <c r="B1361" t="n">
        <v>87512.8203125</v>
      </c>
      <c r="C1361" t="n">
        <v>88542.3984375</v>
      </c>
      <c r="D1361" t="n">
        <v>86346.078125</v>
      </c>
      <c r="E1361" t="n">
        <v>87471.703125</v>
      </c>
      <c r="F1361" t="n">
        <v>30005840049</v>
      </c>
    </row>
    <row r="1362">
      <c r="A1362" t="inlineStr">
        <is>
          <t>2025-03-26</t>
        </is>
      </c>
      <c r="B1362" t="n">
        <v>87460.234375</v>
      </c>
      <c r="C1362" t="n">
        <v>88292.15625</v>
      </c>
      <c r="D1362" t="n">
        <v>85861.453125</v>
      </c>
      <c r="E1362" t="n">
        <v>86900.8828125</v>
      </c>
      <c r="F1362" t="n">
        <v>26704046038</v>
      </c>
    </row>
    <row r="1363">
      <c r="A1363" t="inlineStr">
        <is>
          <t>2025-03-27</t>
        </is>
      </c>
      <c r="B1363" t="n">
        <v>86896.2578125</v>
      </c>
      <c r="C1363" t="n">
        <v>87786.7265625</v>
      </c>
      <c r="D1363" t="n">
        <v>85837.9375</v>
      </c>
      <c r="E1363" t="n">
        <v>87177.1015625</v>
      </c>
      <c r="F1363" t="n">
        <v>24413471941</v>
      </c>
    </row>
    <row r="1364">
      <c r="A1364" t="inlineStr">
        <is>
          <t>2025-03-28</t>
        </is>
      </c>
      <c r="B1364" t="n">
        <v>87185.234375</v>
      </c>
      <c r="C1364" t="n">
        <v>87489.859375</v>
      </c>
      <c r="D1364" t="n">
        <v>83557.640625</v>
      </c>
      <c r="E1364" t="n">
        <v>84353.1484375</v>
      </c>
      <c r="F1364" t="n">
        <v>34198619509</v>
      </c>
    </row>
    <row r="1365">
      <c r="A1365" t="inlineStr">
        <is>
          <t>2025-03-29</t>
        </is>
      </c>
      <c r="B1365" t="n">
        <v>84352.0703125</v>
      </c>
      <c r="C1365" t="n">
        <v>84567.3359375</v>
      </c>
      <c r="D1365" t="n">
        <v>81634.140625</v>
      </c>
      <c r="E1365" t="n">
        <v>82597.5859375</v>
      </c>
      <c r="F1365" t="n">
        <v>16969396135</v>
      </c>
    </row>
    <row r="1366">
      <c r="A1366" t="inlineStr">
        <is>
          <t>2025-03-30</t>
        </is>
      </c>
      <c r="B1366" t="n">
        <v>82596.984375</v>
      </c>
      <c r="C1366" t="n">
        <v>83505</v>
      </c>
      <c r="D1366" t="n">
        <v>81573.25</v>
      </c>
      <c r="E1366" t="n">
        <v>82334.5234375</v>
      </c>
      <c r="F1366" t="n">
        <v>14763760943</v>
      </c>
    </row>
    <row r="1367">
      <c r="A1367" t="inlineStr">
        <is>
          <t>2025-03-31</t>
        </is>
      </c>
      <c r="B1367" t="n">
        <v>82336.0625</v>
      </c>
      <c r="C1367" t="n">
        <v>83870.125</v>
      </c>
      <c r="D1367" t="n">
        <v>81293.890625</v>
      </c>
      <c r="E1367" t="n">
        <v>82548.9140625</v>
      </c>
      <c r="F1367" t="n">
        <v>29004228247</v>
      </c>
    </row>
    <row r="1368">
      <c r="A1368" t="inlineStr">
        <is>
          <t>2025-04-01</t>
        </is>
      </c>
      <c r="B1368" t="n">
        <v>82551.921875</v>
      </c>
      <c r="C1368" t="n">
        <v>85487.3671875</v>
      </c>
      <c r="D1368" t="n">
        <v>82429.359375</v>
      </c>
      <c r="E1368" t="n">
        <v>85169.171875</v>
      </c>
      <c r="F1368" t="n">
        <v>28175650319</v>
      </c>
    </row>
    <row r="1369">
      <c r="A1369" t="inlineStr">
        <is>
          <t>2025-04-02</t>
        </is>
      </c>
      <c r="B1369" t="n">
        <v>85180.609375</v>
      </c>
      <c r="C1369" t="n">
        <v>88466.953125</v>
      </c>
      <c r="D1369" t="n">
        <v>82343.5390625</v>
      </c>
      <c r="E1369" t="n">
        <v>82485.7109375</v>
      </c>
      <c r="F1369" t="n">
        <v>47584398470</v>
      </c>
    </row>
    <row r="1370">
      <c r="A1370" t="inlineStr">
        <is>
          <t>2025-04-03</t>
        </is>
      </c>
      <c r="B1370" t="n">
        <v>82487.4765625</v>
      </c>
      <c r="C1370" t="n">
        <v>83909.296875</v>
      </c>
      <c r="D1370" t="n">
        <v>81282.1015625</v>
      </c>
      <c r="E1370" t="n">
        <v>83102.828125</v>
      </c>
      <c r="F1370" t="n">
        <v>36852112080</v>
      </c>
    </row>
    <row r="1371">
      <c r="A1371" t="inlineStr">
        <is>
          <t>2025-04-04</t>
        </is>
      </c>
      <c r="B1371" t="n">
        <v>83100.25</v>
      </c>
      <c r="C1371" t="n">
        <v>84696.1484375</v>
      </c>
      <c r="D1371" t="n">
        <v>81670.75</v>
      </c>
      <c r="E1371" t="n">
        <v>83843.8046875</v>
      </c>
      <c r="F1371" t="n">
        <v>45157640207</v>
      </c>
    </row>
    <row r="1372">
      <c r="A1372" t="inlineStr">
        <is>
          <t>2025-04-05</t>
        </is>
      </c>
      <c r="B1372" t="n">
        <v>83844.703125</v>
      </c>
      <c r="C1372" t="n">
        <v>84207.015625</v>
      </c>
      <c r="D1372" t="n">
        <v>82377.734375</v>
      </c>
      <c r="E1372" t="n">
        <v>83504.796875</v>
      </c>
      <c r="F1372" t="n">
        <v>14380803631</v>
      </c>
    </row>
    <row r="1373">
      <c r="A1373" t="inlineStr">
        <is>
          <t>2025-04-06</t>
        </is>
      </c>
      <c r="B1373" t="n">
        <v>83504.5078125</v>
      </c>
      <c r="C1373" t="n">
        <v>83704.71875</v>
      </c>
      <c r="D1373" t="n">
        <v>77097.7421875</v>
      </c>
      <c r="E1373" t="n">
        <v>78214.484375</v>
      </c>
      <c r="F1373" t="n">
        <v>36294853736</v>
      </c>
    </row>
    <row r="1374">
      <c r="A1374" t="inlineStr">
        <is>
          <t>2025-04-07</t>
        </is>
      </c>
      <c r="B1374" t="n">
        <v>78221.3359375</v>
      </c>
      <c r="C1374" t="n">
        <v>81119.0625</v>
      </c>
      <c r="D1374" t="n">
        <v>74436.6796875</v>
      </c>
      <c r="E1374" t="n">
        <v>79235.3359375</v>
      </c>
      <c r="F1374" t="n">
        <v>91262424987</v>
      </c>
    </row>
    <row r="1375">
      <c r="A1375" t="inlineStr">
        <is>
          <t>2025-04-08</t>
        </is>
      </c>
      <c r="B1375" t="n">
        <v>79218.4765625</v>
      </c>
      <c r="C1375" t="n">
        <v>80823.890625</v>
      </c>
      <c r="D1375" t="n">
        <v>76198.0234375</v>
      </c>
      <c r="E1375" t="n">
        <v>76271.953125</v>
      </c>
      <c r="F1375" t="n">
        <v>48314590749</v>
      </c>
    </row>
    <row r="1376">
      <c r="A1376" t="inlineStr">
        <is>
          <t>2025-04-09</t>
        </is>
      </c>
      <c r="B1376" t="n">
        <v>76273.5625</v>
      </c>
      <c r="C1376" t="n">
        <v>83541</v>
      </c>
      <c r="D1376" t="n">
        <v>74589.671875</v>
      </c>
      <c r="E1376" t="n">
        <v>82573.953125</v>
      </c>
      <c r="F1376" t="n">
        <v>84213627038</v>
      </c>
    </row>
    <row r="1377">
      <c r="A1377" t="inlineStr">
        <is>
          <t>2025-04-10</t>
        </is>
      </c>
      <c r="B1377" t="n">
        <v>82565.9765625</v>
      </c>
      <c r="C1377" t="n">
        <v>82700.9296875</v>
      </c>
      <c r="D1377" t="n">
        <v>78456.1328125</v>
      </c>
      <c r="E1377" t="n">
        <v>79626.140625</v>
      </c>
      <c r="F1377" t="n">
        <v>44718000633</v>
      </c>
    </row>
    <row r="1378">
      <c r="A1378" t="inlineStr">
        <is>
          <t>2025-04-11</t>
        </is>
      </c>
      <c r="B1378" t="n">
        <v>79625.046875</v>
      </c>
      <c r="C1378" t="n">
        <v>84247.4765625</v>
      </c>
      <c r="D1378" t="n">
        <v>78936.3203125</v>
      </c>
      <c r="E1378" t="n">
        <v>83404.8359375</v>
      </c>
      <c r="F1378" t="n">
        <v>41656778779</v>
      </c>
    </row>
    <row r="1379">
      <c r="A1379" t="inlineStr">
        <is>
          <t>2025-04-12</t>
        </is>
      </c>
      <c r="B1379" t="n">
        <v>83404.515625</v>
      </c>
      <c r="C1379" t="n">
        <v>85856.1875</v>
      </c>
      <c r="D1379" t="n">
        <v>82769.375</v>
      </c>
      <c r="E1379" t="n">
        <v>85287.109375</v>
      </c>
      <c r="F1379" t="n">
        <v>24258059104</v>
      </c>
    </row>
    <row r="1380">
      <c r="A1380" t="inlineStr">
        <is>
          <t>2025-04-13</t>
        </is>
      </c>
      <c r="B1380" t="n">
        <v>85279.46875</v>
      </c>
      <c r="C1380" t="n">
        <v>86015.1875</v>
      </c>
      <c r="D1380" t="n">
        <v>83027.0078125</v>
      </c>
      <c r="E1380" t="n">
        <v>83684.9765625</v>
      </c>
      <c r="F1380" t="n">
        <v>28796984817</v>
      </c>
    </row>
    <row r="1381">
      <c r="A1381" t="inlineStr">
        <is>
          <t>2025-04-14</t>
        </is>
      </c>
      <c r="B1381" t="n">
        <v>83694.5234375</v>
      </c>
      <c r="C1381" t="n">
        <v>85785</v>
      </c>
      <c r="D1381" t="n">
        <v>83690.640625</v>
      </c>
      <c r="E1381" t="n">
        <v>84542.390625</v>
      </c>
      <c r="F1381" t="n">
        <v>34090769777</v>
      </c>
    </row>
    <row r="1382">
      <c r="A1382" t="inlineStr">
        <is>
          <t>2025-04-15</t>
        </is>
      </c>
      <c r="B1382" t="n">
        <v>84539.6953125</v>
      </c>
      <c r="C1382" t="n">
        <v>86429.3515625</v>
      </c>
      <c r="D1382" t="n">
        <v>83598.8203125</v>
      </c>
      <c r="E1382" t="n">
        <v>83668.9921875</v>
      </c>
      <c r="F1382" t="n">
        <v>28040322885</v>
      </c>
    </row>
    <row r="1383">
      <c r="A1383" t="inlineStr">
        <is>
          <t>2025-04-16</t>
        </is>
      </c>
      <c r="B1383" t="n">
        <v>83674.5078125</v>
      </c>
      <c r="C1383" t="n">
        <v>85428.28125</v>
      </c>
      <c r="D1383" t="n">
        <v>83100.6171875</v>
      </c>
      <c r="E1383" t="n">
        <v>84033.8671875</v>
      </c>
      <c r="F1383" t="n">
        <v>29617804112</v>
      </c>
    </row>
    <row r="1384">
      <c r="A1384" t="inlineStr">
        <is>
          <t>2025-04-17</t>
        </is>
      </c>
      <c r="B1384" t="n">
        <v>84030.671875</v>
      </c>
      <c r="C1384" t="n">
        <v>85449.0703125</v>
      </c>
      <c r="D1384" t="n">
        <v>83749.75</v>
      </c>
      <c r="E1384" t="n">
        <v>84895.75</v>
      </c>
      <c r="F1384" t="n">
        <v>21276866029</v>
      </c>
    </row>
    <row r="1385">
      <c r="A1385" t="inlineStr">
        <is>
          <t>2025-04-18</t>
        </is>
      </c>
      <c r="B1385" t="n">
        <v>84900.1875</v>
      </c>
      <c r="C1385" t="n">
        <v>85095.046875</v>
      </c>
      <c r="D1385" t="n">
        <v>84298.8828125</v>
      </c>
      <c r="E1385" t="n">
        <v>84450.8046875</v>
      </c>
      <c r="F1385" t="n">
        <v>12728372364</v>
      </c>
    </row>
    <row r="1386">
      <c r="A1386" t="inlineStr">
        <is>
          <t>2025-04-19</t>
        </is>
      </c>
      <c r="B1386" t="n">
        <v>84450.8671875</v>
      </c>
      <c r="C1386" t="n">
        <v>85597.703125</v>
      </c>
      <c r="D1386" t="n">
        <v>84353.4609375</v>
      </c>
      <c r="E1386" t="n">
        <v>85063.4140625</v>
      </c>
      <c r="F1386" t="n">
        <v>15259300427</v>
      </c>
    </row>
    <row r="1387">
      <c r="A1387" t="inlineStr">
        <is>
          <t>2025-04-20</t>
        </is>
      </c>
      <c r="B1387" t="n">
        <v>85066.0703125</v>
      </c>
      <c r="C1387" t="n">
        <v>85306.3828125</v>
      </c>
      <c r="D1387" t="n">
        <v>83976.84375</v>
      </c>
      <c r="E1387" t="n">
        <v>85174.3046875</v>
      </c>
      <c r="F1387" t="n">
        <v>14664050812</v>
      </c>
    </row>
    <row r="1388">
      <c r="A1388" t="inlineStr">
        <is>
          <t>2025-04-21</t>
        </is>
      </c>
      <c r="B1388" t="n">
        <v>85171.5390625</v>
      </c>
      <c r="C1388" t="n">
        <v>88460.09375</v>
      </c>
      <c r="D1388" t="n">
        <v>85143.8359375</v>
      </c>
      <c r="E1388" t="n">
        <v>87518.90625</v>
      </c>
      <c r="F1388" t="n">
        <v>41396190190</v>
      </c>
    </row>
    <row r="1389">
      <c r="A1389" t="inlineStr">
        <is>
          <t>2025-04-22</t>
        </is>
      </c>
      <c r="B1389" t="n">
        <v>87521.875</v>
      </c>
      <c r="C1389" t="n">
        <v>93817.3828125</v>
      </c>
      <c r="D1389" t="n">
        <v>87084.53125</v>
      </c>
      <c r="E1389" t="n">
        <v>93441.890625</v>
      </c>
      <c r="F1389" t="n">
        <v>55899038456</v>
      </c>
    </row>
    <row r="1390">
      <c r="A1390" t="inlineStr">
        <is>
          <t>2025-04-23</t>
        </is>
      </c>
      <c r="B1390" t="n">
        <v>93427.5859375</v>
      </c>
      <c r="C1390" t="n">
        <v>94535.734375</v>
      </c>
      <c r="D1390" t="n">
        <v>91962.9609375</v>
      </c>
      <c r="E1390" t="n">
        <v>93699.109375</v>
      </c>
      <c r="F1390" t="n">
        <v>41719568821</v>
      </c>
    </row>
    <row r="1391">
      <c r="A1391" t="inlineStr">
        <is>
          <t>2025-04-24</t>
        </is>
      </c>
      <c r="B1391" t="n">
        <v>93692.3984375</v>
      </c>
      <c r="C1391" t="n">
        <v>94016.1953125</v>
      </c>
      <c r="D1391" t="n">
        <v>91696.7109375</v>
      </c>
      <c r="E1391" t="n">
        <v>93943.796875</v>
      </c>
      <c r="F1391" t="n">
        <v>31483175315</v>
      </c>
    </row>
    <row r="1392">
      <c r="A1392" t="inlineStr">
        <is>
          <t>2025-04-25</t>
        </is>
      </c>
      <c r="B1392" t="n">
        <v>93954.25</v>
      </c>
      <c r="C1392" t="n">
        <v>95768.390625</v>
      </c>
      <c r="D1392" t="n">
        <v>92898.59375</v>
      </c>
      <c r="E1392" t="n">
        <v>94720.5</v>
      </c>
      <c r="F1392" t="n">
        <v>40915232364</v>
      </c>
    </row>
    <row r="1393">
      <c r="A1393" t="inlineStr">
        <is>
          <t>2025-04-26</t>
        </is>
      </c>
      <c r="B1393" t="n">
        <v>94714.6484375</v>
      </c>
      <c r="C1393" t="n">
        <v>95251.359375</v>
      </c>
      <c r="D1393" t="n">
        <v>93927.25</v>
      </c>
      <c r="E1393" t="n">
        <v>94646.9296875</v>
      </c>
      <c r="F1393" t="n">
        <v>17612825123</v>
      </c>
    </row>
    <row r="1394">
      <c r="A1394" t="inlineStr">
        <is>
          <t>2025-04-27</t>
        </is>
      </c>
      <c r="B1394" t="n">
        <v>94660.90625</v>
      </c>
      <c r="C1394" t="n">
        <v>95301.203125</v>
      </c>
      <c r="D1394" t="n">
        <v>93665.3984375</v>
      </c>
      <c r="E1394" t="n">
        <v>93754.84375</v>
      </c>
      <c r="F1394" t="n">
        <v>18090367764</v>
      </c>
    </row>
    <row r="1395">
      <c r="A1395" t="inlineStr">
        <is>
          <t>2025-04-28</t>
        </is>
      </c>
      <c r="B1395" t="n">
        <v>93755.3046875</v>
      </c>
      <c r="C1395" t="n">
        <v>95598.4921875</v>
      </c>
      <c r="D1395" t="n">
        <v>92860.8046875</v>
      </c>
      <c r="E1395" t="n">
        <v>94978.75</v>
      </c>
      <c r="F1395" t="n">
        <v>32363449569</v>
      </c>
    </row>
    <row r="1396">
      <c r="A1396" t="inlineStr">
        <is>
          <t>2025-04-29</t>
        </is>
      </c>
      <c r="B1396" t="n">
        <v>94981.859375</v>
      </c>
      <c r="C1396" t="n">
        <v>95485.4140625</v>
      </c>
      <c r="D1396" t="n">
        <v>93796.6328125</v>
      </c>
      <c r="E1396" t="n">
        <v>94284.7890625</v>
      </c>
      <c r="F1396" t="n">
        <v>25806129921</v>
      </c>
    </row>
    <row r="1397">
      <c r="A1397" t="inlineStr">
        <is>
          <t>2025-04-30</t>
        </is>
      </c>
      <c r="B1397" t="n">
        <v>94286.46875</v>
      </c>
      <c r="C1397" t="n">
        <v>95249.3203125</v>
      </c>
      <c r="D1397" t="n">
        <v>92979.640625</v>
      </c>
      <c r="E1397" t="n">
        <v>94207.3125</v>
      </c>
      <c r="F1397" t="n">
        <v>28344679831</v>
      </c>
    </row>
    <row r="1398">
      <c r="A1398" t="inlineStr">
        <is>
          <t>2025-05-01</t>
        </is>
      </c>
      <c r="B1398" t="n">
        <v>94212.859375</v>
      </c>
      <c r="C1398" t="n">
        <v>97437.9609375</v>
      </c>
      <c r="D1398" t="n">
        <v>94153.6328125</v>
      </c>
      <c r="E1398" t="n">
        <v>96492.3359375</v>
      </c>
      <c r="F1398" t="n">
        <v>32875889623</v>
      </c>
    </row>
    <row r="1399">
      <c r="A1399" t="inlineStr">
        <is>
          <t>2025-05-02</t>
        </is>
      </c>
      <c r="B1399" t="n">
        <v>96494.96875</v>
      </c>
      <c r="C1399" t="n">
        <v>97905.8984375</v>
      </c>
      <c r="D1399" t="n">
        <v>96375.9453125</v>
      </c>
      <c r="E1399" t="n">
        <v>96910.0703125</v>
      </c>
      <c r="F1399" t="n">
        <v>26421924677</v>
      </c>
    </row>
    <row r="1400">
      <c r="A1400" t="inlineStr">
        <is>
          <t>2025-05-03</t>
        </is>
      </c>
      <c r="B1400" t="n">
        <v>96904.6328125</v>
      </c>
      <c r="C1400" t="n">
        <v>96943.8828125</v>
      </c>
      <c r="D1400" t="n">
        <v>95821.2890625</v>
      </c>
      <c r="E1400" t="n">
        <v>95891.796875</v>
      </c>
      <c r="F1400" t="n">
        <v>15775154889</v>
      </c>
    </row>
    <row r="1401">
      <c r="A1401" t="inlineStr">
        <is>
          <t>2025-05-04</t>
        </is>
      </c>
      <c r="B1401" t="n">
        <v>95877.1875</v>
      </c>
      <c r="C1401" t="n">
        <v>96318.921875</v>
      </c>
      <c r="D1401" t="n">
        <v>94173.4296875</v>
      </c>
      <c r="E1401" t="n">
        <v>94315.9765625</v>
      </c>
      <c r="F1401" t="n">
        <v>18198688416</v>
      </c>
    </row>
    <row r="1402">
      <c r="A1402" t="inlineStr">
        <is>
          <t>2025-05-05</t>
        </is>
      </c>
      <c r="B1402" t="n">
        <v>94319.5625</v>
      </c>
      <c r="C1402" t="n">
        <v>95193.1875</v>
      </c>
      <c r="D1402" t="n">
        <v>93566.265625</v>
      </c>
      <c r="E1402" t="n">
        <v>94748.0546875</v>
      </c>
      <c r="F1402" t="n">
        <v>25816260327</v>
      </c>
    </row>
    <row r="1403">
      <c r="A1403" t="inlineStr">
        <is>
          <t>2025-05-06</t>
        </is>
      </c>
      <c r="B1403" t="n">
        <v>94748.3828125</v>
      </c>
      <c r="C1403" t="n">
        <v>96889.1796875</v>
      </c>
      <c r="D1403" t="n">
        <v>93399.859375</v>
      </c>
      <c r="E1403" t="n">
        <v>96802.4765625</v>
      </c>
      <c r="F1403" t="n">
        <v>26551275827</v>
      </c>
    </row>
    <row r="1404">
      <c r="A1404" t="inlineStr">
        <is>
          <t>2025-05-07</t>
        </is>
      </c>
      <c r="B1404" t="n">
        <v>96800.1953125</v>
      </c>
      <c r="C1404" t="n">
        <v>97625.8046875</v>
      </c>
      <c r="D1404" t="n">
        <v>95829.3359375</v>
      </c>
      <c r="E1404" t="n">
        <v>97032.3203125</v>
      </c>
      <c r="F1404" t="n">
        <v>76983822462</v>
      </c>
    </row>
    <row r="1405">
      <c r="A1405" t="inlineStr">
        <is>
          <t>2025-05-08</t>
        </is>
      </c>
      <c r="B1405" t="n">
        <v>97034.25</v>
      </c>
      <c r="C1405" t="n">
        <v>103969.5390625</v>
      </c>
      <c r="D1405" t="n">
        <v>96913.875</v>
      </c>
      <c r="E1405" t="n">
        <v>103241.4609375</v>
      </c>
      <c r="F1405" t="n">
        <v>69895404397</v>
      </c>
    </row>
    <row r="1406">
      <c r="A1406" t="inlineStr">
        <is>
          <t>2025-05-09</t>
        </is>
      </c>
      <c r="B1406" t="n">
        <v>103239.125</v>
      </c>
      <c r="C1406" t="n">
        <v>104297.4921875</v>
      </c>
      <c r="D1406" t="n">
        <v>102343.09375</v>
      </c>
      <c r="E1406" t="n">
        <v>102970.8515625</v>
      </c>
      <c r="F1406" t="n">
        <v>58198593958</v>
      </c>
    </row>
    <row r="1407">
      <c r="A1407" t="inlineStr">
        <is>
          <t>2025-05-10</t>
        </is>
      </c>
      <c r="B1407" t="n">
        <v>102973.7109375</v>
      </c>
      <c r="C1407" t="n">
        <v>104961.765625</v>
      </c>
      <c r="D1407" t="n">
        <v>102830.484375</v>
      </c>
      <c r="E1407" t="n">
        <v>104696.328125</v>
      </c>
      <c r="F1407" t="n">
        <v>42276713994</v>
      </c>
    </row>
    <row r="1408">
      <c r="A1408" t="inlineStr">
        <is>
          <t>2025-05-11</t>
        </is>
      </c>
      <c r="B1408" t="n">
        <v>104701.0703125</v>
      </c>
      <c r="C1408" t="n">
        <v>104937.9921875</v>
      </c>
      <c r="D1408" t="n">
        <v>103364.7421875</v>
      </c>
      <c r="E1408" t="n">
        <v>104106.359375</v>
      </c>
      <c r="F1408" t="n">
        <v>46285517406</v>
      </c>
    </row>
    <row r="1409">
      <c r="A1409" t="inlineStr">
        <is>
          <t>2025-05-12</t>
        </is>
      </c>
      <c r="B1409" t="n">
        <v>104106.9609375</v>
      </c>
      <c r="C1409" t="n">
        <v>105747.453125</v>
      </c>
      <c r="D1409" t="n">
        <v>100814.40625</v>
      </c>
      <c r="E1409" t="n">
        <v>102812.953125</v>
      </c>
      <c r="F1409" t="n">
        <v>63250475404</v>
      </c>
    </row>
    <row r="1410">
      <c r="A1410" t="inlineStr">
        <is>
          <t>2025-05-13</t>
        </is>
      </c>
      <c r="B1410" t="n">
        <v>102812.4921875</v>
      </c>
      <c r="C1410" t="n">
        <v>104997.421875</v>
      </c>
      <c r="D1410" t="n">
        <v>101515.09375</v>
      </c>
      <c r="E1410" t="n">
        <v>104169.8125</v>
      </c>
      <c r="F1410" t="n">
        <v>52608876410</v>
      </c>
    </row>
    <row r="1411">
      <c r="A1411" t="inlineStr">
        <is>
          <t>2025-05-14</t>
        </is>
      </c>
      <c r="B1411" t="n">
        <v>104167.328125</v>
      </c>
      <c r="C1411" t="n">
        <v>104303.5625</v>
      </c>
      <c r="D1411" t="n">
        <v>102618.296875</v>
      </c>
      <c r="E1411" t="n">
        <v>103539.4140625</v>
      </c>
      <c r="F1411" t="n">
        <v>45956071155</v>
      </c>
    </row>
    <row r="1412">
      <c r="A1412" t="inlineStr">
        <is>
          <t>2025-05-15</t>
        </is>
      </c>
      <c r="B1412" t="n">
        <v>103538.828125</v>
      </c>
      <c r="C1412" t="n">
        <v>104153.6171875</v>
      </c>
      <c r="D1412" t="n">
        <v>101440.8125</v>
      </c>
      <c r="E1412" t="n">
        <v>103744.640625</v>
      </c>
      <c r="F1412" t="n">
        <v>50408241840</v>
      </c>
    </row>
    <row r="1413">
      <c r="A1413" t="inlineStr">
        <is>
          <t>2025-05-16</t>
        </is>
      </c>
      <c r="B1413" t="n">
        <v>103735.65625</v>
      </c>
      <c r="C1413" t="n">
        <v>104533.484375</v>
      </c>
      <c r="D1413" t="n">
        <v>103137.4765625</v>
      </c>
      <c r="E1413" t="n">
        <v>103489.2890625</v>
      </c>
      <c r="F1413" t="n">
        <v>44386499364</v>
      </c>
    </row>
    <row r="1414">
      <c r="A1414" t="inlineStr">
        <is>
          <t>2025-05-17</t>
        </is>
      </c>
      <c r="B1414" t="n">
        <v>103489.2890625</v>
      </c>
      <c r="C1414" t="n">
        <v>103716.9453125</v>
      </c>
      <c r="D1414" t="n">
        <v>102659.1796875</v>
      </c>
      <c r="E1414" t="n">
        <v>103191.0859375</v>
      </c>
      <c r="F1414" t="n">
        <v>37898552742</v>
      </c>
    </row>
    <row r="1415">
      <c r="A1415" t="inlineStr">
        <is>
          <t>2025-05-18</t>
        </is>
      </c>
      <c r="B1415" t="n">
        <v>103186.953125</v>
      </c>
      <c r="C1415" t="n">
        <v>106597.171875</v>
      </c>
      <c r="D1415" t="n">
        <v>103142.6015625</v>
      </c>
      <c r="E1415" t="n">
        <v>106446.0078125</v>
      </c>
      <c r="F1415" t="n">
        <v>49887082058</v>
      </c>
    </row>
    <row r="1416">
      <c r="A1416" t="inlineStr">
        <is>
          <t>2025-05-19</t>
        </is>
      </c>
      <c r="B1416" t="n">
        <v>106430.53125</v>
      </c>
      <c r="C1416" t="n">
        <v>107068.71875</v>
      </c>
      <c r="D1416" t="n">
        <v>102112.6875</v>
      </c>
      <c r="E1416" t="n">
        <v>105606.1796875</v>
      </c>
      <c r="F1416" t="n">
        <v>61761126647</v>
      </c>
    </row>
    <row r="1417">
      <c r="A1417" t="inlineStr">
        <is>
          <t>2025-05-20</t>
        </is>
      </c>
      <c r="B1417" t="n">
        <v>105605.40625</v>
      </c>
      <c r="C1417" t="n">
        <v>107307.1171875</v>
      </c>
      <c r="D1417" t="n">
        <v>104206.515625</v>
      </c>
      <c r="E1417" t="n">
        <v>106791.0859375</v>
      </c>
      <c r="F1417" t="n">
        <v>36515726122</v>
      </c>
    </row>
    <row r="1418">
      <c r="A1418" t="inlineStr">
        <is>
          <t>2025-05-21</t>
        </is>
      </c>
      <c r="B1418" t="n">
        <v>106791.3125</v>
      </c>
      <c r="C1418" t="n">
        <v>110724.4609375</v>
      </c>
      <c r="D1418" t="n">
        <v>106127.234375</v>
      </c>
      <c r="E1418" t="n">
        <v>109678.078125</v>
      </c>
      <c r="F1418" t="n">
        <v>78086364051</v>
      </c>
    </row>
    <row r="1419">
      <c r="A1419" t="inlineStr">
        <is>
          <t>2025-05-22</t>
        </is>
      </c>
      <c r="B1419" t="n">
        <v>109673.4921875</v>
      </c>
      <c r="C1419" t="n">
        <v>111970.171875</v>
      </c>
      <c r="D1419" t="n">
        <v>109285.0703125</v>
      </c>
      <c r="E1419" t="n">
        <v>111673.28125</v>
      </c>
      <c r="F1419" t="n">
        <v>70157575642</v>
      </c>
    </row>
    <row r="1420">
      <c r="A1420" t="inlineStr">
        <is>
          <t>2025-05-23</t>
        </is>
      </c>
      <c r="B1420" t="n">
        <v>111679.359375</v>
      </c>
      <c r="C1420" t="n">
        <v>111798.90625</v>
      </c>
      <c r="D1420" t="n">
        <v>106841.3046875</v>
      </c>
      <c r="E1420" t="n">
        <v>107287.796875</v>
      </c>
      <c r="F1420" t="n">
        <v>67548133399</v>
      </c>
    </row>
    <row r="1421">
      <c r="A1421" t="inlineStr">
        <is>
          <t>2025-05-24</t>
        </is>
      </c>
      <c r="B1421" t="n">
        <v>107278.5078125</v>
      </c>
      <c r="C1421" t="n">
        <v>109454.5234375</v>
      </c>
      <c r="D1421" t="n">
        <v>106895.2890625</v>
      </c>
      <c r="E1421" t="n">
        <v>107791.15625</v>
      </c>
      <c r="F1421" t="n">
        <v>45903627163</v>
      </c>
    </row>
    <row r="1422">
      <c r="A1422" t="inlineStr">
        <is>
          <t>2025-05-25</t>
        </is>
      </c>
      <c r="B1422" t="n">
        <v>107802.2734375</v>
      </c>
      <c r="C1422" t="n">
        <v>109313.3046875</v>
      </c>
      <c r="D1422" t="n">
        <v>106683.375</v>
      </c>
      <c r="E1422" t="n">
        <v>109035.390625</v>
      </c>
      <c r="F1422" t="n">
        <v>47518041841</v>
      </c>
    </row>
    <row r="1423">
      <c r="A1423" t="inlineStr">
        <is>
          <t>2025-05-26</t>
        </is>
      </c>
      <c r="B1423" t="n">
        <v>109023.78125</v>
      </c>
      <c r="C1423" t="n">
        <v>110376.8828125</v>
      </c>
      <c r="D1423" t="n">
        <v>108735.640625</v>
      </c>
      <c r="E1423" t="n">
        <v>109440.3671875</v>
      </c>
      <c r="F1423" t="n">
        <v>45950461571</v>
      </c>
    </row>
    <row r="1424">
      <c r="A1424" t="inlineStr">
        <is>
          <t>2025-05-27</t>
        </is>
      </c>
      <c r="B1424" t="n">
        <v>109440.40625</v>
      </c>
      <c r="C1424" t="n">
        <v>110744.2109375</v>
      </c>
      <c r="D1424" t="n">
        <v>107609.5546875</v>
      </c>
      <c r="E1424" t="n">
        <v>108994.640625</v>
      </c>
      <c r="F1424" t="n">
        <v>57450176272</v>
      </c>
    </row>
    <row r="1425">
      <c r="A1425" t="inlineStr">
        <is>
          <t>2025-05-28</t>
        </is>
      </c>
      <c r="B1425" t="n">
        <v>108992.171875</v>
      </c>
      <c r="C1425" t="n">
        <v>109298.2890625</v>
      </c>
      <c r="D1425" t="n">
        <v>106812.9296875</v>
      </c>
      <c r="E1425" t="n">
        <v>107802.328125</v>
      </c>
      <c r="F1425" t="n">
        <v>49155377493</v>
      </c>
    </row>
    <row r="1426">
      <c r="A1426" t="inlineStr">
        <is>
          <t>2025-05-29</t>
        </is>
      </c>
      <c r="B1426" t="n">
        <v>107795.5703125</v>
      </c>
      <c r="C1426" t="n">
        <v>108910.046875</v>
      </c>
      <c r="D1426" t="n">
        <v>105374.3984375</v>
      </c>
      <c r="E1426" t="n">
        <v>105641.7578125</v>
      </c>
      <c r="F1426" t="n">
        <v>56022752042</v>
      </c>
    </row>
    <row r="1427">
      <c r="A1427" t="inlineStr">
        <is>
          <t>2025-05-30</t>
        </is>
      </c>
      <c r="B1427" t="n">
        <v>105646.2109375</v>
      </c>
      <c r="C1427" t="n">
        <v>106308.9453125</v>
      </c>
      <c r="D1427" t="n">
        <v>103685.7890625</v>
      </c>
      <c r="E1427" t="n">
        <v>103998.5703125</v>
      </c>
      <c r="F1427" t="n">
        <v>57655287183</v>
      </c>
    </row>
    <row r="1428">
      <c r="A1428" t="inlineStr">
        <is>
          <t>2025-05-31</t>
        </is>
      </c>
      <c r="B1428" t="n">
        <v>103994.71875</v>
      </c>
      <c r="C1428" t="n">
        <v>104927.1015625</v>
      </c>
      <c r="D1428" t="n">
        <v>103136.1171875</v>
      </c>
      <c r="E1428" t="n">
        <v>104638.09375</v>
      </c>
      <c r="F1428" t="n">
        <v>38997843858</v>
      </c>
    </row>
    <row r="1429">
      <c r="A1429" t="inlineStr">
        <is>
          <t>2025-06-01</t>
        </is>
      </c>
      <c r="B1429" t="n">
        <v>104637.296875</v>
      </c>
      <c r="C1429" t="n">
        <v>105884.546875</v>
      </c>
      <c r="D1429" t="n">
        <v>103826.953125</v>
      </c>
      <c r="E1429" t="n">
        <v>105652.1015625</v>
      </c>
      <c r="F1429" t="n">
        <v>37397056873</v>
      </c>
    </row>
    <row r="1430">
      <c r="A1430" t="inlineStr">
        <is>
          <t>2025-06-02</t>
        </is>
      </c>
      <c r="B1430" t="n">
        <v>105649.8125</v>
      </c>
      <c r="C1430" t="n">
        <v>105958.3125</v>
      </c>
      <c r="D1430" t="n">
        <v>103727.546875</v>
      </c>
      <c r="E1430" t="n">
        <v>105881.53125</v>
      </c>
      <c r="F1430" t="n">
        <v>45819706290</v>
      </c>
    </row>
    <row r="1431">
      <c r="A1431" t="inlineStr">
        <is>
          <t>2025-06-03</t>
        </is>
      </c>
      <c r="B1431" t="n">
        <v>105888.4765625</v>
      </c>
      <c r="C1431" t="n">
        <v>106813.578125</v>
      </c>
      <c r="D1431" t="n">
        <v>104920.84375</v>
      </c>
      <c r="E1431" t="n">
        <v>105432.46875</v>
      </c>
      <c r="F1431" t="n">
        <v>46196508367</v>
      </c>
    </row>
    <row r="1432">
      <c r="A1432" t="inlineStr">
        <is>
          <t>2025-06-04</t>
        </is>
      </c>
      <c r="B1432" t="n">
        <v>105434.3671875</v>
      </c>
      <c r="C1432" t="n">
        <v>105997.6953125</v>
      </c>
      <c r="D1432" t="n">
        <v>104232.703125</v>
      </c>
      <c r="E1432" t="n">
        <v>104731.984375</v>
      </c>
      <c r="F1432" t="n">
        <v>44544857105</v>
      </c>
    </row>
    <row r="1433">
      <c r="A1433" t="inlineStr">
        <is>
          <t>2025-06-05</t>
        </is>
      </c>
      <c r="B1433" t="n">
        <v>104750.78125</v>
      </c>
      <c r="C1433" t="n">
        <v>105936.6875</v>
      </c>
      <c r="D1433" t="n">
        <v>100436.8828125</v>
      </c>
      <c r="E1433" t="n">
        <v>101575.953125</v>
      </c>
      <c r="F1433" t="n">
        <v>57479298400</v>
      </c>
    </row>
    <row r="1434">
      <c r="A1434" t="inlineStr">
        <is>
          <t>2025-06-06</t>
        </is>
      </c>
      <c r="B1434" t="n">
        <v>101574.3671875</v>
      </c>
      <c r="C1434" t="n">
        <v>105376.7734375</v>
      </c>
      <c r="D1434" t="n">
        <v>101169.5703125</v>
      </c>
      <c r="E1434" t="n">
        <v>104390.34375</v>
      </c>
      <c r="F1434" t="n">
        <v>48856653697</v>
      </c>
    </row>
    <row r="1435">
      <c r="A1435" t="inlineStr">
        <is>
          <t>2025-06-07</t>
        </is>
      </c>
      <c r="B1435" t="n">
        <v>104390.6484375</v>
      </c>
      <c r="C1435" t="n">
        <v>105972.7578125</v>
      </c>
      <c r="D1435" t="n">
        <v>103987.3125</v>
      </c>
      <c r="E1435" t="n">
        <v>105615.625</v>
      </c>
      <c r="F1435" t="n">
        <v>38365033776</v>
      </c>
    </row>
    <row r="1436">
      <c r="A1436" t="inlineStr">
        <is>
          <t>2025-06-08</t>
        </is>
      </c>
      <c r="B1436" t="n">
        <v>105617.5078125</v>
      </c>
      <c r="C1436" t="n">
        <v>106497.0625</v>
      </c>
      <c r="D1436" t="n">
        <v>105075.328125</v>
      </c>
      <c r="E1436" t="n">
        <v>105793.6484375</v>
      </c>
      <c r="F1436" t="n">
        <v>36626232328</v>
      </c>
    </row>
    <row r="1437">
      <c r="A1437" t="inlineStr">
        <is>
          <t>2025-06-09</t>
        </is>
      </c>
      <c r="B1437" t="n">
        <v>105793.0234375</v>
      </c>
      <c r="C1437" t="n">
        <v>110561.421875</v>
      </c>
      <c r="D1437" t="n">
        <v>105400.234375</v>
      </c>
      <c r="E1437" t="n">
        <v>110294.1015625</v>
      </c>
      <c r="F1437" t="n">
        <v>55903193732</v>
      </c>
    </row>
    <row r="1438">
      <c r="A1438" t="inlineStr">
        <is>
          <t>2025-06-10</t>
        </is>
      </c>
      <c r="B1438" t="n">
        <v>110295.6875</v>
      </c>
      <c r="C1438" t="n">
        <v>110380.125</v>
      </c>
      <c r="D1438" t="n">
        <v>108367.7109375</v>
      </c>
      <c r="E1438" t="n">
        <v>110257.234375</v>
      </c>
      <c r="F1438" t="n">
        <v>54700101509</v>
      </c>
    </row>
    <row r="1439">
      <c r="A1439" t="inlineStr">
        <is>
          <t>2025-06-11</t>
        </is>
      </c>
      <c r="B1439" t="n">
        <v>110261.796875</v>
      </c>
      <c r="C1439" t="n">
        <v>110384.21875</v>
      </c>
      <c r="D1439" t="n">
        <v>108086.328125</v>
      </c>
      <c r="E1439" t="n">
        <v>108686.625</v>
      </c>
      <c r="F1439" t="n">
        <v>50842662052</v>
      </c>
    </row>
    <row r="1440">
      <c r="A1440" t="inlineStr">
        <is>
          <t>2025-06-12</t>
        </is>
      </c>
      <c r="B1440" t="n">
        <v>108685.9140625</v>
      </c>
      <c r="C1440" t="n">
        <v>108780.6953125</v>
      </c>
      <c r="D1440" t="n">
        <v>105785.6875</v>
      </c>
      <c r="E1440" t="n">
        <v>105929.0546875</v>
      </c>
      <c r="F1440" t="n">
        <v>54843867968</v>
      </c>
    </row>
    <row r="1441">
      <c r="A1441" t="inlineStr">
        <is>
          <t>2025-06-13</t>
        </is>
      </c>
      <c r="B1441" t="n">
        <v>105924.59375</v>
      </c>
      <c r="C1441" t="n">
        <v>106182.546875</v>
      </c>
      <c r="D1441" t="n">
        <v>102822.0234375</v>
      </c>
      <c r="E1441" t="n">
        <v>106090.96875</v>
      </c>
      <c r="F1441" t="n">
        <v>69550440846</v>
      </c>
    </row>
    <row r="1442">
      <c r="A1442" t="inlineStr">
        <is>
          <t>2025-06-14</t>
        </is>
      </c>
      <c r="B1442" t="n">
        <v>106108.0859375</v>
      </c>
      <c r="C1442" t="n">
        <v>106203.7578125</v>
      </c>
      <c r="D1442" t="n">
        <v>104379.3671875</v>
      </c>
      <c r="E1442" t="n">
        <v>105472.40625</v>
      </c>
      <c r="F1442" t="n">
        <v>38007870453</v>
      </c>
    </row>
    <row r="1443">
      <c r="A1443" t="inlineStr">
        <is>
          <t>2025-06-15</t>
        </is>
      </c>
      <c r="B1443" t="n">
        <v>105464.84375</v>
      </c>
      <c r="C1443" t="n">
        <v>106157.1015625</v>
      </c>
      <c r="D1443" t="n">
        <v>104519.8828125</v>
      </c>
      <c r="E1443" t="n">
        <v>105552.0234375</v>
      </c>
      <c r="F1443" t="n">
        <v>36744307742</v>
      </c>
    </row>
    <row r="1444">
      <c r="A1444" t="inlineStr">
        <is>
          <t>2025-06-16</t>
        </is>
      </c>
      <c r="B1444" t="n">
        <v>105555.59375</v>
      </c>
      <c r="C1444" t="n">
        <v>108915.375</v>
      </c>
      <c r="D1444" t="n">
        <v>104997.625</v>
      </c>
      <c r="E1444" t="n">
        <v>106796.7578125</v>
      </c>
      <c r="F1444" t="n">
        <v>50366626945</v>
      </c>
    </row>
    <row r="1445">
      <c r="A1445" t="inlineStr">
        <is>
          <t>2025-06-17</t>
        </is>
      </c>
      <c r="B1445" t="n">
        <v>106794.1171875</v>
      </c>
      <c r="C1445" t="n">
        <v>107750.1953125</v>
      </c>
      <c r="D1445" t="n">
        <v>103396.53125</v>
      </c>
      <c r="E1445" t="n">
        <v>104601.1171875</v>
      </c>
      <c r="F1445" t="n">
        <v>55964092176</v>
      </c>
    </row>
    <row r="1446">
      <c r="A1446" t="inlineStr">
        <is>
          <t>2025-06-18</t>
        </is>
      </c>
      <c r="B1446" t="n">
        <v>104602.0703125</v>
      </c>
      <c r="C1446" t="n">
        <v>105581.8515625</v>
      </c>
      <c r="D1446" t="n">
        <v>103602.265625</v>
      </c>
      <c r="E1446" t="n">
        <v>104883.328125</v>
      </c>
      <c r="F1446" t="n">
        <v>47318089133</v>
      </c>
    </row>
    <row r="1447">
      <c r="A1447" t="inlineStr">
        <is>
          <t>2025-06-19</t>
        </is>
      </c>
      <c r="B1447" t="n">
        <v>104886.7734375</v>
      </c>
      <c r="C1447" t="n">
        <v>105250.890625</v>
      </c>
      <c r="D1447" t="n">
        <v>103940.7734375</v>
      </c>
      <c r="E1447" t="n">
        <v>104684.2890625</v>
      </c>
      <c r="F1447" t="n">
        <v>37333806920</v>
      </c>
    </row>
    <row r="1448">
      <c r="A1448" t="inlineStr">
        <is>
          <t>2025-06-20</t>
        </is>
      </c>
      <c r="B1448" t="n">
        <v>104681.03125</v>
      </c>
      <c r="C1448" t="n">
        <v>106539.3828125</v>
      </c>
      <c r="D1448" t="n">
        <v>102372.2109375</v>
      </c>
      <c r="E1448" t="n">
        <v>103309.6015625</v>
      </c>
      <c r="F1448" t="n">
        <v>50951862476</v>
      </c>
    </row>
    <row r="1449">
      <c r="A1449" t="inlineStr">
        <is>
          <t>2025-06-21</t>
        </is>
      </c>
      <c r="B1449" t="n">
        <v>103315.078125</v>
      </c>
      <c r="C1449" t="n">
        <v>104015.78125</v>
      </c>
      <c r="D1449" t="n">
        <v>100973.0625</v>
      </c>
      <c r="E1449" t="n">
        <v>102257.40625</v>
      </c>
      <c r="F1449" t="n">
        <v>38360555118</v>
      </c>
    </row>
    <row r="1450">
      <c r="A1450" t="inlineStr">
        <is>
          <t>2025-06-22</t>
        </is>
      </c>
      <c r="B1450" t="n">
        <v>102212.03125</v>
      </c>
      <c r="C1450" t="n">
        <v>103351.6328125</v>
      </c>
      <c r="D1450" t="n">
        <v>98286.203125</v>
      </c>
      <c r="E1450" t="n">
        <v>100987.140625</v>
      </c>
      <c r="F1450" t="n">
        <v>65536997201</v>
      </c>
    </row>
    <row r="1451">
      <c r="A1451" t="inlineStr">
        <is>
          <t>2025-06-23</t>
        </is>
      </c>
      <c r="B1451" t="n">
        <v>100987.4765625</v>
      </c>
      <c r="C1451" t="n">
        <v>106116.859375</v>
      </c>
      <c r="D1451" t="n">
        <v>99705.75</v>
      </c>
      <c r="E1451" t="n">
        <v>105577.7734375</v>
      </c>
      <c r="F1451" t="n">
        <v>65237759656</v>
      </c>
    </row>
    <row r="1452">
      <c r="A1452" t="inlineStr">
        <is>
          <t>2025-06-24</t>
        </is>
      </c>
      <c r="B1452" t="n">
        <v>105571.515625</v>
      </c>
      <c r="C1452" t="n">
        <v>106316.828125</v>
      </c>
      <c r="D1452" t="n">
        <v>104740.2421875</v>
      </c>
      <c r="E1452" t="n">
        <v>106045.6328125</v>
      </c>
      <c r="F1452" t="n">
        <v>48822986421</v>
      </c>
    </row>
    <row r="1453">
      <c r="A1453" t="inlineStr">
        <is>
          <t>2025-06-25</t>
        </is>
      </c>
      <c r="B1453" t="n">
        <v>106047.40625</v>
      </c>
      <c r="C1453" t="n">
        <v>108168.3984375</v>
      </c>
      <c r="D1453" t="n">
        <v>105881.390625</v>
      </c>
      <c r="E1453" t="n">
        <v>107361.2578125</v>
      </c>
      <c r="F1453" t="n">
        <v>51624120283</v>
      </c>
    </row>
    <row r="1454">
      <c r="A1454" t="inlineStr">
        <is>
          <t>2025-06-26</t>
        </is>
      </c>
      <c r="B1454" t="n">
        <v>107375.0703125</v>
      </c>
      <c r="C1454" t="n">
        <v>108305.546875</v>
      </c>
      <c r="D1454" t="n">
        <v>106666.3515625</v>
      </c>
      <c r="E1454" t="n">
        <v>106960</v>
      </c>
      <c r="F1454" t="n">
        <v>43891990613</v>
      </c>
    </row>
    <row r="1455">
      <c r="A1455" t="inlineStr">
        <is>
          <t>2025-06-27</t>
        </is>
      </c>
      <c r="B1455" t="n">
        <v>106954.921875</v>
      </c>
      <c r="C1455" t="n">
        <v>107772.46875</v>
      </c>
      <c r="D1455" t="n">
        <v>106449.9921875</v>
      </c>
      <c r="E1455" t="n">
        <v>107088.4296875</v>
      </c>
      <c r="F1455" t="n">
        <v>45353692675</v>
      </c>
    </row>
    <row r="1456">
      <c r="A1456" t="inlineStr">
        <is>
          <t>2025-06-28</t>
        </is>
      </c>
      <c r="B1456" t="n">
        <v>107090.546875</v>
      </c>
      <c r="C1456" t="n">
        <v>107567.8828125</v>
      </c>
      <c r="D1456" t="n">
        <v>106883.9765625</v>
      </c>
      <c r="E1456" t="n">
        <v>107327.703125</v>
      </c>
      <c r="F1456" t="n">
        <v>30037708335</v>
      </c>
    </row>
    <row r="1457">
      <c r="A1457" t="inlineStr">
        <is>
          <t>2025-06-29</t>
        </is>
      </c>
      <c r="B1457" t="n">
        <v>107327.8203125</v>
      </c>
      <c r="C1457" t="n">
        <v>108526.3046875</v>
      </c>
      <c r="D1457" t="n">
        <v>107230.109375</v>
      </c>
      <c r="E1457" t="n">
        <v>108385.5703125</v>
      </c>
      <c r="F1457" t="n">
        <v>35534874438</v>
      </c>
    </row>
    <row r="1458">
      <c r="A1458" t="inlineStr">
        <is>
          <t>2025-06-30</t>
        </is>
      </c>
      <c r="B1458" t="n">
        <v>108383.4375</v>
      </c>
      <c r="C1458" t="n">
        <v>108798.7890625</v>
      </c>
      <c r="D1458" t="n">
        <v>106759.6484375</v>
      </c>
      <c r="E1458" t="n">
        <v>107135.3359375</v>
      </c>
      <c r="F1458" t="n">
        <v>42064804590</v>
      </c>
    </row>
    <row r="1459">
      <c r="A1459" t="inlineStr">
        <is>
          <t>2025-07-01</t>
        </is>
      </c>
      <c r="B1459" t="n">
        <v>107144.3828125</v>
      </c>
      <c r="C1459" t="n">
        <v>107550.6796875</v>
      </c>
      <c r="D1459" t="n">
        <v>105270.2265625</v>
      </c>
      <c r="E1459" t="n">
        <v>105698.28125</v>
      </c>
      <c r="F1459" t="n">
        <v>44110692247</v>
      </c>
    </row>
    <row r="1460">
      <c r="A1460" t="inlineStr">
        <is>
          <t>2025-07-02</t>
        </is>
      </c>
      <c r="B1460" t="n">
        <v>105703.1015625</v>
      </c>
      <c r="C1460" t="n">
        <v>109763.65625</v>
      </c>
      <c r="D1460" t="n">
        <v>105157.3984375</v>
      </c>
      <c r="E1460" t="n">
        <v>108859.3203125</v>
      </c>
      <c r="F1460" t="n">
        <v>56248657737</v>
      </c>
    </row>
    <row r="1461">
      <c r="A1461" t="inlineStr">
        <is>
          <t>2025-07-03</t>
        </is>
      </c>
      <c r="B1461" t="n">
        <v>108845.015625</v>
      </c>
      <c r="C1461" t="n">
        <v>110541.4609375</v>
      </c>
      <c r="D1461" t="n">
        <v>108605.796875</v>
      </c>
      <c r="E1461" t="n">
        <v>109647.9765625</v>
      </c>
      <c r="F1461" t="n">
        <v>50494742270</v>
      </c>
    </row>
    <row r="1462">
      <c r="A1462" t="inlineStr">
        <is>
          <t>2025-07-04</t>
        </is>
      </c>
      <c r="B1462" t="n">
        <v>109635.65625</v>
      </c>
      <c r="C1462" t="n">
        <v>109751.984375</v>
      </c>
      <c r="D1462" t="n">
        <v>107296.3828125</v>
      </c>
      <c r="E1462" t="n">
        <v>108034.3359375</v>
      </c>
      <c r="F1462" t="n">
        <v>42616442656</v>
      </c>
    </row>
    <row r="1463">
      <c r="A1463" t="inlineStr">
        <is>
          <t>2025-07-05</t>
        </is>
      </c>
      <c r="B1463" t="n">
        <v>108015.8359375</v>
      </c>
      <c r="C1463" t="n">
        <v>108381.34375</v>
      </c>
      <c r="D1463" t="n">
        <v>107842.2734375</v>
      </c>
      <c r="E1463" t="n">
        <v>108231.1796875</v>
      </c>
      <c r="F1463" t="n">
        <v>30615537520</v>
      </c>
    </row>
    <row r="1464">
      <c r="A1464" t="inlineStr">
        <is>
          <t>2025-07-06</t>
        </is>
      </c>
      <c r="B1464" t="n">
        <v>108231.1875</v>
      </c>
      <c r="C1464" t="n">
        <v>109731.625</v>
      </c>
      <c r="D1464" t="n">
        <v>107847.015625</v>
      </c>
      <c r="E1464" t="n">
        <v>109232.0703125</v>
      </c>
      <c r="F1464" t="n">
        <v>36746020463</v>
      </c>
    </row>
    <row r="1465">
      <c r="A1465" t="inlineStr">
        <is>
          <t>2025-07-07</t>
        </is>
      </c>
      <c r="B1465" t="n">
        <v>109235.328125</v>
      </c>
      <c r="C1465" t="n">
        <v>109710.25</v>
      </c>
      <c r="D1465" t="n">
        <v>107527.0546875</v>
      </c>
      <c r="E1465" t="n">
        <v>108299.8515625</v>
      </c>
      <c r="F1465" t="n">
        <v>45415696597</v>
      </c>
    </row>
    <row r="1466">
      <c r="A1466" t="inlineStr">
        <is>
          <t>2025-07-08</t>
        </is>
      </c>
      <c r="B1466" t="n">
        <v>108298.2265625</v>
      </c>
      <c r="C1466" t="n">
        <v>109198.96875</v>
      </c>
      <c r="D1466" t="n">
        <v>107499.5546875</v>
      </c>
      <c r="E1466" t="n">
        <v>108950.2734375</v>
      </c>
      <c r="F1466" t="n">
        <v>44282204127</v>
      </c>
    </row>
    <row r="1467">
      <c r="A1467" t="inlineStr">
        <is>
          <t>2025-07-09</t>
        </is>
      </c>
      <c r="B1467" t="n">
        <v>108950.2734375</v>
      </c>
      <c r="C1467" t="n">
        <v>111925.375</v>
      </c>
      <c r="D1467" t="n">
        <v>108357.6796875</v>
      </c>
      <c r="E1467" t="n">
        <v>111326.5546875</v>
      </c>
      <c r="F1467" t="n">
        <v>57927418065</v>
      </c>
    </row>
    <row r="1468">
      <c r="A1468" t="inlineStr">
        <is>
          <t>2025-07-10</t>
        </is>
      </c>
      <c r="B1468" t="n">
        <v>111329.1953125</v>
      </c>
      <c r="C1468" t="n">
        <v>116608.78125</v>
      </c>
      <c r="D1468" t="n">
        <v>110660.75</v>
      </c>
      <c r="E1468" t="n">
        <v>115987.203125</v>
      </c>
      <c r="F1468" t="n">
        <v>95911605728</v>
      </c>
    </row>
    <row r="1469">
      <c r="A1469" t="inlineStr">
        <is>
          <t>2025-07-11</t>
        </is>
      </c>
      <c r="B1469" t="n">
        <v>115986.234375</v>
      </c>
      <c r="C1469" t="n">
        <v>118856.4765625</v>
      </c>
      <c r="D1469" t="n">
        <v>115245.6875</v>
      </c>
      <c r="E1469" t="n">
        <v>117516.9921875</v>
      </c>
      <c r="F1469" t="n">
        <v>86928361085</v>
      </c>
    </row>
    <row r="1470">
      <c r="A1470" t="inlineStr">
        <is>
          <t>2025-07-12</t>
        </is>
      </c>
      <c r="B1470" t="n">
        <v>117530.7109375</v>
      </c>
      <c r="C1470" t="n">
        <v>118219.8984375</v>
      </c>
      <c r="D1470" t="n">
        <v>116977.0234375</v>
      </c>
      <c r="E1470" t="n">
        <v>117435.2265625</v>
      </c>
      <c r="F1470" t="n">
        <v>45524560304</v>
      </c>
    </row>
    <row r="1471">
      <c r="A1471" t="inlineStr">
        <is>
          <t>2025-07-13</t>
        </is>
      </c>
      <c r="B1471" t="n">
        <v>117432.203125</v>
      </c>
      <c r="C1471" t="n">
        <v>119449.5703125</v>
      </c>
      <c r="D1471" t="n">
        <v>117265.4375</v>
      </c>
      <c r="E1471" t="n">
        <v>119116.1171875</v>
      </c>
      <c r="F1471" t="n">
        <v>49021091807</v>
      </c>
    </row>
    <row r="1472">
      <c r="A1472" t="inlineStr">
        <is>
          <t>2025-07-14</t>
        </is>
      </c>
      <c r="B1472" t="n">
        <v>119115.7890625</v>
      </c>
      <c r="C1472" t="n">
        <v>123091.609375</v>
      </c>
      <c r="D1472" t="n">
        <v>118959.1953125</v>
      </c>
      <c r="E1472" t="n">
        <v>119849.703125</v>
      </c>
      <c r="F1472" t="n">
        <v>181746419401</v>
      </c>
    </row>
    <row r="1473">
      <c r="A1473" t="inlineStr">
        <is>
          <t>2025-07-15</t>
        </is>
      </c>
      <c r="B1473" t="n">
        <v>119853.8515625</v>
      </c>
      <c r="C1473" t="n">
        <v>119935.5625</v>
      </c>
      <c r="D1473" t="n">
        <v>115765.6875</v>
      </c>
      <c r="E1473" t="n">
        <v>117777.1875</v>
      </c>
      <c r="F1473" t="n">
        <v>98321661181</v>
      </c>
    </row>
    <row r="1474">
      <c r="A1474" t="inlineStr">
        <is>
          <t>2025-07-16</t>
        </is>
      </c>
      <c r="B1474" t="n">
        <v>117777.1875</v>
      </c>
      <c r="C1474" t="n">
        <v>120065.515625</v>
      </c>
      <c r="D1474" t="n">
        <v>117064.8203125</v>
      </c>
      <c r="E1474" t="n">
        <v>118738.5078125</v>
      </c>
      <c r="F1474" t="n">
        <v>72162029070</v>
      </c>
    </row>
    <row r="1475">
      <c r="A1475" t="inlineStr">
        <is>
          <t>2025-07-17</t>
        </is>
      </c>
      <c r="B1475" t="n">
        <v>118738.5078125</v>
      </c>
      <c r="C1475" t="n">
        <v>120999.609375</v>
      </c>
      <c r="D1475" t="n">
        <v>117508.21875</v>
      </c>
      <c r="E1475" t="n">
        <v>119289.84375</v>
      </c>
      <c r="F1475" t="n">
        <v>72363841798</v>
      </c>
    </row>
    <row r="1476">
      <c r="A1476" t="inlineStr">
        <is>
          <t>2025-07-18</t>
        </is>
      </c>
      <c r="B1476" t="n">
        <v>119284.109375</v>
      </c>
      <c r="C1476" t="n">
        <v>120851.9140625</v>
      </c>
      <c r="D1476" t="n">
        <v>116925.984375</v>
      </c>
      <c r="E1476" t="n">
        <v>118003.2265625</v>
      </c>
      <c r="F1476" t="n">
        <v>77945799785</v>
      </c>
    </row>
    <row r="1477">
      <c r="A1477" t="inlineStr">
        <is>
          <t>2025-07-19</t>
        </is>
      </c>
      <c r="B1477" t="n">
        <v>117998.125</v>
      </c>
      <c r="C1477" t="n">
        <v>118541.3984375</v>
      </c>
      <c r="D1477" t="n">
        <v>117388.4140625</v>
      </c>
      <c r="E1477" t="n">
        <v>117939.9765625</v>
      </c>
      <c r="F1477" t="n">
        <v>47564562765</v>
      </c>
    </row>
    <row r="1478">
      <c r="A1478" t="inlineStr">
        <is>
          <t>2025-07-20</t>
        </is>
      </c>
      <c r="B1478" t="n">
        <v>117944.109375</v>
      </c>
      <c r="C1478" t="n">
        <v>118865.03125</v>
      </c>
      <c r="D1478" t="n">
        <v>116550.1328125</v>
      </c>
      <c r="E1478" t="n">
        <v>117300.7890625</v>
      </c>
      <c r="F1478" t="n">
        <v>57515447231</v>
      </c>
    </row>
    <row r="1479">
      <c r="A1479" t="inlineStr">
        <is>
          <t>2025-07-21</t>
        </is>
      </c>
      <c r="B1479" t="n">
        <v>117306.46875</v>
      </c>
      <c r="C1479" t="n">
        <v>119671.5625</v>
      </c>
      <c r="D1479" t="n">
        <v>116584.3984375</v>
      </c>
      <c r="E1479" t="n">
        <v>117439.5390625</v>
      </c>
      <c r="F1479" t="n">
        <v>69820091744</v>
      </c>
    </row>
    <row r="1480">
      <c r="A1480" t="inlineStr">
        <is>
          <t>2025-07-22</t>
        </is>
      </c>
      <c r="B1480" t="n">
        <v>117426.5</v>
      </c>
      <c r="C1480" t="n">
        <v>120269.96875</v>
      </c>
      <c r="D1480" t="n">
        <v>116233.2265625</v>
      </c>
      <c r="E1480" t="n">
        <v>119995.4140625</v>
      </c>
      <c r="F1480" t="n">
        <v>79217583118</v>
      </c>
    </row>
    <row r="1481">
      <c r="A1481" t="inlineStr">
        <is>
          <t>2025-07-23</t>
        </is>
      </c>
      <c r="B1481" t="n">
        <v>119997.4453125</v>
      </c>
      <c r="C1481" t="n">
        <v>120113.3515625</v>
      </c>
      <c r="D1481" t="n">
        <v>117391.390625</v>
      </c>
      <c r="E1481" t="n">
        <v>118754.9609375</v>
      </c>
      <c r="F1481" t="n">
        <v>66608604537</v>
      </c>
    </row>
    <row r="1482">
      <c r="A1482" t="inlineStr">
        <is>
          <t>2025-07-24</t>
        </is>
      </c>
      <c r="B1482" t="n">
        <v>118770.984375</v>
      </c>
      <c r="C1482" t="n">
        <v>119535.453125</v>
      </c>
      <c r="D1482" t="n">
        <v>117247.96875</v>
      </c>
      <c r="E1482" t="n">
        <v>118368</v>
      </c>
      <c r="F1482" t="n">
        <v>72627318560</v>
      </c>
    </row>
    <row r="1483">
      <c r="A1483" t="inlineStr">
        <is>
          <t>2025-07-25</t>
        </is>
      </c>
      <c r="B1483" t="n">
        <v>118368</v>
      </c>
      <c r="C1483" t="n">
        <v>118486.9765625</v>
      </c>
      <c r="D1483" t="n">
        <v>114759.8203125</v>
      </c>
      <c r="E1483" t="n">
        <v>117635.8828125</v>
      </c>
      <c r="F1483" t="n">
        <v>104857024569</v>
      </c>
    </row>
    <row r="1484">
      <c r="A1484" t="inlineStr">
        <is>
          <t>2025-07-26</t>
        </is>
      </c>
      <c r="B1484" t="n">
        <v>117644.84375</v>
      </c>
      <c r="C1484" t="n">
        <v>118335.6875</v>
      </c>
      <c r="D1484" t="n">
        <v>117181.2265625</v>
      </c>
      <c r="E1484" t="n">
        <v>117947.3671875</v>
      </c>
      <c r="F1484" t="n">
        <v>48508954046</v>
      </c>
    </row>
    <row r="1485">
      <c r="A1485" t="inlineStr">
        <is>
          <t>2025-07-27</t>
        </is>
      </c>
      <c r="B1485" t="n">
        <v>117944.7265625</v>
      </c>
      <c r="C1485" t="n">
        <v>119815.59375</v>
      </c>
      <c r="D1485" t="n">
        <v>117859.6875</v>
      </c>
      <c r="E1485" t="n">
        <v>119448.4921875</v>
      </c>
      <c r="F1485" t="n">
        <v>54683390892</v>
      </c>
    </row>
    <row r="1486">
      <c r="A1486" t="inlineStr">
        <is>
          <t>2025-07-28</t>
        </is>
      </c>
      <c r="B1486" t="n">
        <v>119457.5234375</v>
      </c>
      <c r="C1486" t="n">
        <v>119819.7890625</v>
      </c>
      <c r="D1486" t="n">
        <v>117441.4375</v>
      </c>
      <c r="E1486" t="n">
        <v>117924.4765625</v>
      </c>
      <c r="F1486" t="n">
        <v>64822943193</v>
      </c>
    </row>
    <row r="1487">
      <c r="A1487" t="inlineStr">
        <is>
          <t>2025-07-29</t>
        </is>
      </c>
      <c r="B1487" t="n">
        <v>117938.5859375</v>
      </c>
      <c r="C1487" t="n">
        <v>119273.8671875</v>
      </c>
      <c r="D1487" t="n">
        <v>116987.3671875</v>
      </c>
      <c r="E1487" t="n">
        <v>117922.1484375</v>
      </c>
      <c r="F1487" t="n">
        <v>68463107433</v>
      </c>
    </row>
    <row r="1488">
      <c r="A1488" t="inlineStr">
        <is>
          <t>2025-07-30</t>
        </is>
      </c>
      <c r="B1488" t="n">
        <v>117921.9921875</v>
      </c>
      <c r="C1488" t="n">
        <v>118780.7265625</v>
      </c>
      <c r="D1488" t="n">
        <v>115800.828125</v>
      </c>
      <c r="E1488" t="n">
        <v>117831.1875</v>
      </c>
      <c r="F1488" t="n">
        <v>68896148592</v>
      </c>
    </row>
    <row r="1489">
      <c r="A1489" t="inlineStr">
        <is>
          <t>2025-07-31</t>
        </is>
      </c>
      <c r="B1489" t="n">
        <v>117833.6328125</v>
      </c>
      <c r="C1489" t="n">
        <v>118919.984375</v>
      </c>
      <c r="D1489" t="n">
        <v>115505.21875</v>
      </c>
      <c r="E1489" t="n">
        <v>115758.203125</v>
      </c>
      <c r="F1489" t="n">
        <v>69370346018</v>
      </c>
    </row>
    <row r="1490">
      <c r="A1490" t="inlineStr">
        <is>
          <t>2025-08-01</t>
        </is>
      </c>
      <c r="B1490" t="n">
        <v>115738.953125</v>
      </c>
      <c r="C1490" t="n">
        <v>116060.7734375</v>
      </c>
      <c r="D1490" t="n">
        <v>112724.4453125</v>
      </c>
      <c r="E1490" t="n">
        <v>113320.0859375</v>
      </c>
      <c r="F1490" t="n">
        <v>91294530181</v>
      </c>
    </row>
    <row r="1491">
      <c r="A1491" t="inlineStr">
        <is>
          <t>2025-08-02</t>
        </is>
      </c>
      <c r="B1491" t="n">
        <v>113320.390625</v>
      </c>
      <c r="C1491" t="n">
        <v>114021.6015625</v>
      </c>
      <c r="D1491" t="n">
        <v>112005.765625</v>
      </c>
      <c r="E1491" t="n">
        <v>112526.9140625</v>
      </c>
      <c r="F1491" t="n">
        <v>56870866000</v>
      </c>
    </row>
    <row r="1492">
      <c r="A1492" t="inlineStr">
        <is>
          <t>2025-08-03</t>
        </is>
      </c>
      <c r="B1492" t="n">
        <v>112525.8046875</v>
      </c>
      <c r="C1492" t="n">
        <v>114747.421875</v>
      </c>
      <c r="D1492" t="n">
        <v>111943.8046875</v>
      </c>
      <c r="E1492" t="n">
        <v>114217.671875</v>
      </c>
      <c r="F1492" t="n">
        <v>48099615826</v>
      </c>
    </row>
    <row r="1493">
      <c r="A1493" t="inlineStr">
        <is>
          <t>2025-08-04</t>
        </is>
      </c>
      <c r="B1493" t="n">
        <v>114223.921875</v>
      </c>
      <c r="C1493" t="n">
        <v>115729.46875</v>
      </c>
      <c r="D1493" t="n">
        <v>114130.40625</v>
      </c>
      <c r="E1493" t="n">
        <v>115071.8828125</v>
      </c>
      <c r="F1493" t="n">
        <v>35783028986</v>
      </c>
    </row>
    <row r="1494">
      <c r="A1494" t="inlineStr">
        <is>
          <t>2025-08-05</t>
        </is>
      </c>
      <c r="B1494" t="n">
        <v>115072.1875</v>
      </c>
      <c r="C1494" t="n">
        <v>115117.4375</v>
      </c>
      <c r="D1494" t="n">
        <v>112701.109375</v>
      </c>
      <c r="E1494" t="n">
        <v>114141.4453125</v>
      </c>
      <c r="F1494" t="n">
        <v>61039182286</v>
      </c>
    </row>
    <row r="1495">
      <c r="A1495" t="inlineStr">
        <is>
          <t>2025-08-06</t>
        </is>
      </c>
      <c r="B1495" t="n">
        <v>114140.9140625</v>
      </c>
      <c r="C1495" t="n">
        <v>115737.8359375</v>
      </c>
      <c r="D1495" t="n">
        <v>113372.25</v>
      </c>
      <c r="E1495" t="n">
        <v>115028</v>
      </c>
      <c r="F1495" t="n">
        <v>56379133510</v>
      </c>
    </row>
    <row r="1496">
      <c r="A1496" t="inlineStr">
        <is>
          <t>2025-08-07</t>
        </is>
      </c>
      <c r="B1496" t="n">
        <v>115030.0546875</v>
      </c>
      <c r="C1496" t="n">
        <v>117676.90625</v>
      </c>
      <c r="D1496" t="n">
        <v>114279.7109375</v>
      </c>
      <c r="E1496" t="n">
        <v>117496.8984375</v>
      </c>
      <c r="F1496" t="n">
        <v>64051649681</v>
      </c>
    </row>
    <row r="1497">
      <c r="A1497" t="inlineStr">
        <is>
          <t>2025-08-08</t>
        </is>
      </c>
      <c r="B1497" t="n">
        <v>117505.5</v>
      </c>
      <c r="C1497" t="n">
        <v>117689.203125</v>
      </c>
      <c r="D1497" t="n">
        <v>115917.4609375</v>
      </c>
      <c r="E1497" t="n">
        <v>116688.7265625</v>
      </c>
      <c r="F1497" t="n">
        <v>59713005166</v>
      </c>
    </row>
    <row r="1498">
      <c r="A1498" t="inlineStr">
        <is>
          <t>2025-08-09</t>
        </is>
      </c>
      <c r="B1498" t="n">
        <v>116678.2734375</v>
      </c>
      <c r="C1498" t="n">
        <v>117906.609375</v>
      </c>
      <c r="D1498" t="n">
        <v>116363.8359375</v>
      </c>
      <c r="E1498" t="n">
        <v>116500.359375</v>
      </c>
      <c r="F1498" t="n">
        <v>54004312429</v>
      </c>
    </row>
    <row r="1499">
      <c r="A1499" t="inlineStr">
        <is>
          <t>2025-08-10</t>
        </is>
      </c>
      <c r="B1499" t="n">
        <v>116497.71875</v>
      </c>
      <c r="C1499" t="n">
        <v>119320.7109375</v>
      </c>
      <c r="D1499" t="n">
        <v>116485.1640625</v>
      </c>
      <c r="E1499" t="n">
        <v>119306.7578125</v>
      </c>
      <c r="F1499" t="n">
        <v>64755458694</v>
      </c>
    </row>
    <row r="1500">
      <c r="A1500" t="inlineStr">
        <is>
          <t>2025-08-11</t>
        </is>
      </c>
      <c r="B1500" t="n">
        <v>119306.8125</v>
      </c>
      <c r="C1500" t="n">
        <v>122321.09375</v>
      </c>
      <c r="D1500" t="n">
        <v>118159.03125</v>
      </c>
      <c r="E1500" t="n">
        <v>118731.4453125</v>
      </c>
      <c r="F1500" t="n">
        <v>90528784177</v>
      </c>
    </row>
    <row r="1501">
      <c r="A1501" t="inlineStr">
        <is>
          <t>2025-08-12</t>
        </is>
      </c>
      <c r="B1501" t="n">
        <v>118717.6640625</v>
      </c>
      <c r="C1501" t="n">
        <v>120302.46875</v>
      </c>
      <c r="D1501" t="n">
        <v>118228.71875</v>
      </c>
      <c r="E1501" t="n">
        <v>120172.90625</v>
      </c>
      <c r="F1501" t="n">
        <v>72803657984</v>
      </c>
    </row>
    <row r="1502">
      <c r="A1502" t="inlineStr">
        <is>
          <t>2025-08-13</t>
        </is>
      </c>
      <c r="B1502" t="n">
        <v>120168.9765625</v>
      </c>
      <c r="C1502" t="n">
        <v>123682.453125</v>
      </c>
      <c r="D1502" t="n">
        <v>118939.6328125</v>
      </c>
      <c r="E1502" t="n">
        <v>123344.0625</v>
      </c>
      <c r="F1502" t="n">
        <v>90904808795</v>
      </c>
    </row>
    <row r="1503">
      <c r="A1503" t="inlineStr">
        <is>
          <t>2025-08-14</t>
        </is>
      </c>
      <c r="B1503" t="n">
        <v>123339.3984375</v>
      </c>
      <c r="C1503" t="n">
        <v>124457.1171875</v>
      </c>
      <c r="D1503" t="n">
        <v>117254.8828125</v>
      </c>
      <c r="E1503" t="n">
        <v>118359.578125</v>
      </c>
      <c r="F1503" t="n">
        <v>104055627395</v>
      </c>
    </row>
    <row r="1504">
      <c r="A1504" t="inlineStr">
        <is>
          <t>2025-08-15</t>
        </is>
      </c>
      <c r="B1504" t="n">
        <v>118365.78125</v>
      </c>
      <c r="C1504" t="n">
        <v>119332.3125</v>
      </c>
      <c r="D1504" t="n">
        <v>116864.5703125</v>
      </c>
      <c r="E1504" t="n">
        <v>117398.3515625</v>
      </c>
      <c r="F1504" t="n">
        <v>68665353159</v>
      </c>
    </row>
    <row r="1505">
      <c r="A1505" t="inlineStr">
        <is>
          <t>2025-08-16</t>
        </is>
      </c>
      <c r="B1505" t="n">
        <v>117398.421875</v>
      </c>
      <c r="C1505" t="n">
        <v>117996.0625</v>
      </c>
      <c r="D1505" t="n">
        <v>117271.953125</v>
      </c>
      <c r="E1505" t="n">
        <v>117491.3515625</v>
      </c>
      <c r="F1505" t="n">
        <v>48036922378</v>
      </c>
    </row>
    <row r="1506">
      <c r="A1506" t="inlineStr">
        <is>
          <t>2025-08-17</t>
        </is>
      </c>
      <c r="B1506" t="n">
        <v>117492.7890625</v>
      </c>
      <c r="C1506" t="n">
        <v>118595.7734375</v>
      </c>
      <c r="D1506" t="n">
        <v>117279.5234375</v>
      </c>
      <c r="E1506" t="n">
        <v>117453.0625</v>
      </c>
      <c r="F1506" t="n">
        <v>45852169525</v>
      </c>
    </row>
    <row r="1507">
      <c r="A1507" t="inlineStr">
        <is>
          <t>2025-08-18</t>
        </is>
      </c>
      <c r="B1507" t="n">
        <v>117453.90625</v>
      </c>
      <c r="C1507" t="n">
        <v>117614.171875</v>
      </c>
      <c r="D1507" t="n">
        <v>114723.6796875</v>
      </c>
      <c r="E1507" t="n">
        <v>116252.3125</v>
      </c>
      <c r="F1507" t="n">
        <v>72787808090</v>
      </c>
    </row>
    <row r="1508">
      <c r="A1508" t="inlineStr">
        <is>
          <t>2025-08-19</t>
        </is>
      </c>
      <c r="B1508" t="n">
        <v>116241.859375</v>
      </c>
      <c r="C1508" t="n">
        <v>116764.5</v>
      </c>
      <c r="D1508" t="n">
        <v>112730.3984375</v>
      </c>
      <c r="E1508" t="n">
        <v>112831.1796875</v>
      </c>
      <c r="F1508" t="n">
        <v>71657600353</v>
      </c>
    </row>
    <row r="1509">
      <c r="A1509" t="inlineStr">
        <is>
          <t>2025-08-20</t>
        </is>
      </c>
      <c r="B1509" t="n">
        <v>112828.0234375</v>
      </c>
      <c r="C1509" t="n">
        <v>114625.796875</v>
      </c>
      <c r="D1509" t="n">
        <v>112387.9609375</v>
      </c>
      <c r="E1509" t="n">
        <v>114274.7421875</v>
      </c>
      <c r="F1509" t="n">
        <v>67993811526</v>
      </c>
    </row>
    <row r="1510">
      <c r="A1510" t="inlineStr">
        <is>
          <t>2025-08-21</t>
        </is>
      </c>
      <c r="B1510" t="n">
        <v>114275.6875</v>
      </c>
      <c r="C1510" t="n">
        <v>114802.6484375</v>
      </c>
      <c r="D1510" t="n">
        <v>111986.234375</v>
      </c>
      <c r="E1510" t="n">
        <v>112419.03125</v>
      </c>
      <c r="F1510" t="n">
        <v>57817883700</v>
      </c>
    </row>
    <row r="1511">
      <c r="A1511" t="inlineStr">
        <is>
          <t>2025-08-22</t>
        </is>
      </c>
      <c r="B1511" t="n">
        <v>112433.734375</v>
      </c>
      <c r="C1511" t="n">
        <v>117377.3984375</v>
      </c>
      <c r="D1511" t="n">
        <v>111678.9453125</v>
      </c>
      <c r="E1511" t="n">
        <v>116874.0859375</v>
      </c>
      <c r="F1511" t="n">
        <v>82528088240</v>
      </c>
    </row>
    <row r="1512">
      <c r="A1512" t="inlineStr">
        <is>
          <t>2025-08-23</t>
        </is>
      </c>
      <c r="B1512" t="n">
        <v>116866.3671875</v>
      </c>
      <c r="C1512" t="n">
        <v>116996.25</v>
      </c>
      <c r="D1512" t="n">
        <v>114536.109375</v>
      </c>
      <c r="E1512" t="n">
        <v>115374.328125</v>
      </c>
      <c r="F1512" t="n">
        <v>55377142586</v>
      </c>
    </row>
    <row r="1513">
      <c r="A1513" t="inlineStr">
        <is>
          <t>2025-08-24</t>
        </is>
      </c>
      <c r="B1513" t="n">
        <v>115387.390625</v>
      </c>
      <c r="C1513" t="n">
        <v>115615.0859375</v>
      </c>
      <c r="D1513" t="n">
        <v>111060.546875</v>
      </c>
      <c r="E1513" t="n">
        <v>113458.4296875</v>
      </c>
      <c r="F1513" t="n">
        <v>73961489632</v>
      </c>
    </row>
    <row r="1514">
      <c r="A1514" t="inlineStr">
        <is>
          <t>2025-08-25</t>
        </is>
      </c>
      <c r="B1514" t="n">
        <v>113456.8984375</v>
      </c>
      <c r="C1514" t="n">
        <v>113637.84375</v>
      </c>
      <c r="D1514" t="n">
        <v>109324.28125</v>
      </c>
      <c r="E1514" t="n">
        <v>110124.3515625</v>
      </c>
      <c r="F1514" t="n">
        <v>85706860190</v>
      </c>
    </row>
    <row r="1515">
      <c r="A1515" t="inlineStr">
        <is>
          <t>2025-08-26</t>
        </is>
      </c>
      <c r="B1515" t="n">
        <v>110124.1015625</v>
      </c>
      <c r="C1515" t="n">
        <v>112397.015625</v>
      </c>
      <c r="D1515" t="n">
        <v>108762.0390625</v>
      </c>
      <c r="E1515" t="n">
        <v>111802.65625</v>
      </c>
      <c r="F1515" t="n">
        <v>69396320317</v>
      </c>
    </row>
    <row r="1516">
      <c r="A1516" t="inlineStr">
        <is>
          <t>2025-08-27</t>
        </is>
      </c>
      <c r="B1516" t="n">
        <v>111795.7109375</v>
      </c>
      <c r="C1516" t="n">
        <v>112619.4140625</v>
      </c>
      <c r="D1516" t="n">
        <v>110398.265625</v>
      </c>
      <c r="E1516" t="n">
        <v>111222.0625</v>
      </c>
      <c r="F1516" t="n">
        <v>62137056409</v>
      </c>
    </row>
    <row r="1517">
      <c r="A1517" t="inlineStr">
        <is>
          <t>2025-08-28</t>
        </is>
      </c>
      <c r="B1517" t="n">
        <v>111219.0546875</v>
      </c>
      <c r="C1517" t="n">
        <v>113450.078125</v>
      </c>
      <c r="D1517" t="n">
        <v>110900.921875</v>
      </c>
      <c r="E1517" t="n">
        <v>112544.8046875</v>
      </c>
      <c r="F1517" t="n">
        <v>58860155962</v>
      </c>
    </row>
    <row r="1518">
      <c r="A1518" t="inlineStr">
        <is>
          <t>2025-08-29</t>
        </is>
      </c>
      <c r="B1518" t="n">
        <v>112550.5234375</v>
      </c>
      <c r="C1518" t="n">
        <v>112619.0546875</v>
      </c>
      <c r="D1518" t="n">
        <v>107559.625</v>
      </c>
      <c r="E1518" t="n">
        <v>108410.8359375</v>
      </c>
      <c r="F1518" t="n">
        <v>77843379644</v>
      </c>
    </row>
    <row r="1519">
      <c r="A1519" t="inlineStr">
        <is>
          <t>2025-08-30</t>
        </is>
      </c>
      <c r="B1519" t="n">
        <v>108409.40625</v>
      </c>
      <c r="C1519" t="n">
        <v>108929.3515625</v>
      </c>
      <c r="D1519" t="n">
        <v>107444.4453125</v>
      </c>
      <c r="E1519" t="n">
        <v>108808.0703125</v>
      </c>
      <c r="F1519" t="n">
        <v>51486264208</v>
      </c>
    </row>
    <row r="1520">
      <c r="A1520" t="inlineStr">
        <is>
          <t>2025-08-31</t>
        </is>
      </c>
      <c r="B1520" t="n">
        <v>108818.4609375</v>
      </c>
      <c r="C1520" t="n">
        <v>109491</v>
      </c>
      <c r="D1520" t="n">
        <v>108104.65625</v>
      </c>
      <c r="E1520" t="n">
        <v>108236.7109375</v>
      </c>
      <c r="F1520" t="n">
        <v>47986191770</v>
      </c>
    </row>
    <row r="1521">
      <c r="A1521" t="inlineStr">
        <is>
          <t>2025-09-01</t>
        </is>
      </c>
      <c r="B1521" t="n">
        <v>108228.75</v>
      </c>
      <c r="C1521" t="n">
        <v>109890.5859375</v>
      </c>
      <c r="D1521" t="n">
        <v>107271.1796875</v>
      </c>
      <c r="E1521" t="n">
        <v>109250.59375</v>
      </c>
      <c r="F1521" t="n">
        <v>66870372995</v>
      </c>
    </row>
    <row r="1522">
      <c r="A1522" t="inlineStr">
        <is>
          <t>2025-09-02</t>
        </is>
      </c>
      <c r="B1522" t="n">
        <v>109243.0703125</v>
      </c>
      <c r="C1522" t="n">
        <v>111748.015625</v>
      </c>
      <c r="D1522" t="n">
        <v>108454.03125</v>
      </c>
      <c r="E1522" t="n">
        <v>111200.5859375</v>
      </c>
      <c r="F1522" t="n">
        <v>74776999491</v>
      </c>
    </row>
    <row r="1523">
      <c r="A1523" t="inlineStr">
        <is>
          <t>2025-09-03</t>
        </is>
      </c>
      <c r="B1523" t="n">
        <v>111190.6953125</v>
      </c>
      <c r="C1523" t="n">
        <v>112600.2265625</v>
      </c>
      <c r="D1523" t="n">
        <v>110582.9609375</v>
      </c>
      <c r="E1523" t="n">
        <v>111723.2109375</v>
      </c>
      <c r="F1523" t="n">
        <v>61119643565</v>
      </c>
    </row>
    <row r="1524">
      <c r="A1524" t="inlineStr">
        <is>
          <t>2025-09-04</t>
        </is>
      </c>
      <c r="B1524" t="n">
        <v>111718.1484375</v>
      </c>
      <c r="C1524" t="n">
        <v>112208.328125</v>
      </c>
      <c r="D1524" t="n">
        <v>109347.2265625</v>
      </c>
      <c r="E1524" t="n">
        <v>110723.6015625</v>
      </c>
      <c r="F1524" t="n">
        <v>60131132901</v>
      </c>
    </row>
    <row r="1525">
      <c r="A1525" t="inlineStr">
        <is>
          <t>2025-09-05</t>
        </is>
      </c>
      <c r="B1525" t="n">
        <v>110723.015625</v>
      </c>
      <c r="C1525" t="n">
        <v>113357.4921875</v>
      </c>
      <c r="D1525" t="n">
        <v>110233.3984375</v>
      </c>
      <c r="E1525" t="n">
        <v>110650.984375</v>
      </c>
      <c r="F1525" t="n">
        <v>60241647677</v>
      </c>
    </row>
    <row r="1526">
      <c r="A1526" t="inlineStr">
        <is>
          <t>2025-09-06</t>
        </is>
      </c>
      <c r="B1526" t="n">
        <v>110650.5703125</v>
      </c>
      <c r="C1526" t="n">
        <v>111275.015625</v>
      </c>
      <c r="D1526" t="n">
        <v>110024.0859375</v>
      </c>
      <c r="E1526" t="n">
        <v>110224.6953125</v>
      </c>
      <c r="F1526" t="n">
        <v>21500719036</v>
      </c>
    </row>
    <row r="1527">
      <c r="A1527" t="inlineStr">
        <is>
          <t>2025-09-07</t>
        </is>
      </c>
      <c r="B1527" t="n">
        <v>110221.328125</v>
      </c>
      <c r="C1527" t="n">
        <v>111591.078125</v>
      </c>
      <c r="D1527" t="n">
        <v>110211.625</v>
      </c>
      <c r="E1527" t="n">
        <v>111167.6171875</v>
      </c>
      <c r="F1527" t="n">
        <v>24618007520</v>
      </c>
    </row>
    <row r="1528">
      <c r="A1528" t="inlineStr">
        <is>
          <t>2025-09-08</t>
        </is>
      </c>
      <c r="B1528" t="n">
        <v>111163.015625</v>
      </c>
      <c r="C1528" t="n">
        <v>112869.234375</v>
      </c>
      <c r="D1528" t="n">
        <v>110630.609375</v>
      </c>
      <c r="E1528" t="n">
        <v>112071.4296875</v>
      </c>
      <c r="F1528" t="n">
        <v>40212813407</v>
      </c>
    </row>
    <row r="1529">
      <c r="A1529" t="inlineStr">
        <is>
          <t>2025-09-09</t>
        </is>
      </c>
      <c r="B1529" t="n">
        <v>112077.578125</v>
      </c>
      <c r="C1529" t="n">
        <v>113225.4375</v>
      </c>
      <c r="D1529" t="n">
        <v>110776.703125</v>
      </c>
      <c r="E1529" t="n">
        <v>111530.546875</v>
      </c>
      <c r="F1529" t="n">
        <v>45984480722</v>
      </c>
    </row>
    <row r="1530">
      <c r="A1530" t="inlineStr">
        <is>
          <t>2025-09-10</t>
        </is>
      </c>
      <c r="B1530" t="n">
        <v>111531.25</v>
      </c>
      <c r="C1530" t="n">
        <v>114275.25</v>
      </c>
      <c r="D1530" t="n">
        <v>110940.078125</v>
      </c>
      <c r="E1530" t="n">
        <v>113955.359375</v>
      </c>
      <c r="F1530" t="n">
        <v>56377473784</v>
      </c>
    </row>
    <row r="1531">
      <c r="A1531" t="inlineStr">
        <is>
          <t>2025-09-11</t>
        </is>
      </c>
      <c r="B1531" t="n">
        <v>113961.4296875</v>
      </c>
      <c r="C1531" t="n">
        <v>115522.546875</v>
      </c>
      <c r="D1531" t="n">
        <v>113453.8359375</v>
      </c>
      <c r="E1531" t="n">
        <v>115507.5390625</v>
      </c>
      <c r="F1531" t="n">
        <v>45685065332</v>
      </c>
    </row>
    <row r="1532">
      <c r="A1532" t="inlineStr">
        <is>
          <t>2025-09-12</t>
        </is>
      </c>
      <c r="B1532" t="n">
        <v>115507.7890625</v>
      </c>
      <c r="C1532" t="n">
        <v>116769.3828125</v>
      </c>
      <c r="D1532" t="n">
        <v>114794.484375</v>
      </c>
      <c r="E1532" t="n">
        <v>116101.578125</v>
      </c>
      <c r="F1532" t="n">
        <v>54785725894</v>
      </c>
    </row>
    <row r="1533">
      <c r="A1533" t="inlineStr">
        <is>
          <t>2025-09-13</t>
        </is>
      </c>
      <c r="B1533" t="n">
        <v>116093.5625</v>
      </c>
      <c r="C1533" t="n">
        <v>116334.6328125</v>
      </c>
      <c r="D1533" t="n">
        <v>115248.2734375</v>
      </c>
      <c r="E1533" t="n">
        <v>115950.5078125</v>
      </c>
      <c r="F1533" t="n">
        <v>34549454947</v>
      </c>
    </row>
    <row r="1534">
      <c r="A1534" t="inlineStr">
        <is>
          <t>2025-09-14</t>
        </is>
      </c>
      <c r="B1534" t="n">
        <v>115950.2890625</v>
      </c>
      <c r="C1534" t="n">
        <v>116181.5</v>
      </c>
      <c r="D1534" t="n">
        <v>115222.3984375</v>
      </c>
      <c r="E1534" t="n">
        <v>115407.65625</v>
      </c>
      <c r="F1534" t="n">
        <v>32798036057</v>
      </c>
    </row>
    <row r="1535">
      <c r="A1535" t="inlineStr">
        <is>
          <t>2025-09-15</t>
        </is>
      </c>
      <c r="B1535" t="n">
        <v>115399.6328125</v>
      </c>
      <c r="C1535" t="n">
        <v>116747.8828125</v>
      </c>
      <c r="D1535" t="n">
        <v>114461.0625</v>
      </c>
      <c r="E1535" t="n">
        <v>115444.875</v>
      </c>
      <c r="F1535" t="n">
        <v>52937859416</v>
      </c>
    </row>
    <row r="1536">
      <c r="A1536" t="inlineStr">
        <is>
          <t>2025-09-16</t>
        </is>
      </c>
      <c r="B1536" t="n">
        <v>115423.7578125</v>
      </c>
      <c r="C1536" t="n">
        <v>117005.2734375</v>
      </c>
      <c r="D1536" t="n">
        <v>114813.09375</v>
      </c>
      <c r="E1536" t="n">
        <v>116843.1875</v>
      </c>
      <c r="F1536" t="n">
        <v>45781744593</v>
      </c>
    </row>
    <row r="1537">
      <c r="A1537" t="inlineStr">
        <is>
          <t>2025-09-17</t>
        </is>
      </c>
      <c r="B1537" t="n">
        <v>116840.5078125</v>
      </c>
      <c r="C1537" t="n">
        <v>117328.609375</v>
      </c>
      <c r="D1537" t="n">
        <v>114794.9765625</v>
      </c>
      <c r="E1537" t="n">
        <v>116468.5078125</v>
      </c>
      <c r="F1537" t="n">
        <v>60528025996</v>
      </c>
    </row>
    <row r="1538">
      <c r="A1538" t="inlineStr">
        <is>
          <t>2025-09-18</t>
        </is>
      </c>
      <c r="B1538" t="n">
        <v>116461.265625</v>
      </c>
      <c r="C1538" t="n">
        <v>117911.7890625</v>
      </c>
      <c r="D1538" t="n">
        <v>116188.796875</v>
      </c>
      <c r="E1538" t="n">
        <v>117137.203125</v>
      </c>
      <c r="F1538" t="n">
        <v>49457272032</v>
      </c>
    </row>
    <row r="1539">
      <c r="A1539" t="inlineStr">
        <is>
          <t>2025-09-19</t>
        </is>
      </c>
      <c r="B1539" t="n">
        <v>117137.671875</v>
      </c>
      <c r="C1539" t="n">
        <v>117479.7578125</v>
      </c>
      <c r="D1539" t="n">
        <v>115141.8203125</v>
      </c>
      <c r="E1539" t="n">
        <v>115688.859375</v>
      </c>
      <c r="F1539" t="n">
        <v>38828473971</v>
      </c>
    </row>
    <row r="1540">
      <c r="A1540" t="inlineStr">
        <is>
          <t>2025-09-20</t>
        </is>
      </c>
      <c r="B1540" t="n">
        <v>115691.125</v>
      </c>
      <c r="C1540" t="n">
        <v>116191.1484375</v>
      </c>
      <c r="D1540" t="n">
        <v>115473.5234375</v>
      </c>
      <c r="E1540" t="n">
        <v>115721.9609375</v>
      </c>
      <c r="F1540" t="n">
        <v>22864449614</v>
      </c>
    </row>
    <row r="1541">
      <c r="A1541" t="inlineStr">
        <is>
          <t>2025-09-21</t>
        </is>
      </c>
      <c r="B1541" t="n">
        <v>115730.2265625</v>
      </c>
      <c r="C1541" t="n">
        <v>115901.0859375</v>
      </c>
      <c r="D1541" t="n">
        <v>115252.578125</v>
      </c>
      <c r="E1541" t="n">
        <v>115306.09375</v>
      </c>
      <c r="F1541" t="n">
        <v>22495852193</v>
      </c>
    </row>
    <row r="1542">
      <c r="A1542" t="inlineStr">
        <is>
          <t>2025-09-22</t>
        </is>
      </c>
      <c r="B1542" t="n">
        <v>115309.21875</v>
      </c>
      <c r="C1542" t="n">
        <v>115431.3125</v>
      </c>
      <c r="D1542" t="n">
        <v>112037.6484375</v>
      </c>
      <c r="E1542" t="n">
        <v>112748.5078125</v>
      </c>
      <c r="F1542" t="n">
        <v>70684158591</v>
      </c>
    </row>
    <row r="1543">
      <c r="A1543" t="inlineStr">
        <is>
          <t>2025-09-23</t>
        </is>
      </c>
      <c r="B1543" t="n">
        <v>112757.4765625</v>
      </c>
      <c r="C1543" t="n">
        <v>113351.9140625</v>
      </c>
      <c r="D1543" t="n">
        <v>111535.5703125</v>
      </c>
      <c r="E1543" t="n">
        <v>112014.5</v>
      </c>
      <c r="F1543" t="n">
        <v>47211853279</v>
      </c>
    </row>
    <row r="1544">
      <c r="A1544" t="inlineStr">
        <is>
          <t>2025-09-24</t>
        </is>
      </c>
      <c r="B1544" t="n">
        <v>112007.6640625</v>
      </c>
      <c r="C1544" t="n">
        <v>113986.2734375</v>
      </c>
      <c r="D1544" t="n">
        <v>111229.640625</v>
      </c>
      <c r="E1544" t="n">
        <v>113328.6328125</v>
      </c>
      <c r="F1544" t="n">
        <v>48044595085</v>
      </c>
    </row>
    <row r="1545">
      <c r="A1545" t="inlineStr">
        <is>
          <t>2025-09-25</t>
        </is>
      </c>
      <c r="B1545" t="n">
        <v>113330.1640625</v>
      </c>
      <c r="C1545" t="n">
        <v>113541.0859375</v>
      </c>
      <c r="D1545" t="n">
        <v>108713.3984375</v>
      </c>
      <c r="E1545" t="n">
        <v>109049.2890625</v>
      </c>
      <c r="F1545" t="n">
        <v>75528654284</v>
      </c>
    </row>
    <row r="1546">
      <c r="A1546" t="inlineStr">
        <is>
          <t>2025-09-26</t>
        </is>
      </c>
      <c r="B1546" t="n">
        <v>109041.296875</v>
      </c>
      <c r="C1546" t="n">
        <v>110359.1953125</v>
      </c>
      <c r="D1546" t="n">
        <v>108728.9765625</v>
      </c>
      <c r="E1546" t="n">
        <v>109712.828125</v>
      </c>
      <c r="F1546" t="n">
        <v>57738288949</v>
      </c>
    </row>
    <row r="1547">
      <c r="A1547" t="inlineStr">
        <is>
          <t>2025-09-27</t>
        </is>
      </c>
      <c r="B1547" t="n">
        <v>109707.140625</v>
      </c>
      <c r="C1547" t="n">
        <v>109778.5</v>
      </c>
      <c r="D1547" t="n">
        <v>109144.296875</v>
      </c>
      <c r="E1547" t="n">
        <v>109681.9453125</v>
      </c>
      <c r="F1547" t="n">
        <v>26308042910</v>
      </c>
    </row>
    <row r="1548">
      <c r="A1548" t="inlineStr">
        <is>
          <t>2025-09-28</t>
        </is>
      </c>
      <c r="B1548" t="n">
        <v>109681.9453125</v>
      </c>
      <c r="C1548" t="n">
        <v>112375.484375</v>
      </c>
      <c r="D1548" t="n">
        <v>109236.9453125</v>
      </c>
      <c r="E1548" t="n">
        <v>112122.640625</v>
      </c>
      <c r="F1548" t="n">
        <v>33371048505</v>
      </c>
    </row>
    <row r="1549">
      <c r="A1549" t="inlineStr">
        <is>
          <t>2025-09-29</t>
        </is>
      </c>
      <c r="B1549" t="n">
        <v>112117.875</v>
      </c>
      <c r="C1549" t="n">
        <v>114473.5703125</v>
      </c>
      <c r="D1549" t="n">
        <v>111589.953125</v>
      </c>
      <c r="E1549" t="n">
        <v>114400.3828125</v>
      </c>
      <c r="F1549" t="n">
        <v>60000147466</v>
      </c>
    </row>
    <row r="1550">
      <c r="A1550" t="inlineStr">
        <is>
          <t>2025-09-30</t>
        </is>
      </c>
      <c r="B1550" t="n">
        <v>114396.5234375</v>
      </c>
      <c r="C1550" t="n">
        <v>114836.6171875</v>
      </c>
      <c r="D1550" t="n">
        <v>112740.5625</v>
      </c>
      <c r="E1550" t="n">
        <v>114056.0859375</v>
      </c>
      <c r="F1550" t="n">
        <v>58986330258</v>
      </c>
    </row>
    <row r="1551">
      <c r="A1551" t="inlineStr">
        <is>
          <t>2025-10-01</t>
        </is>
      </c>
      <c r="B1551" t="n">
        <v>114057.59375</v>
      </c>
      <c r="C1551" t="n">
        <v>118648.9296875</v>
      </c>
      <c r="D1551" t="n">
        <v>113981.3984375</v>
      </c>
      <c r="E1551" t="n">
        <v>118648.9296875</v>
      </c>
      <c r="F1551" t="n">
        <v>71328680132</v>
      </c>
    </row>
    <row r="1552">
      <c r="A1552" t="inlineStr">
        <is>
          <t>2025-10-02</t>
        </is>
      </c>
      <c r="B1552" t="n">
        <v>118652.3828125</v>
      </c>
      <c r="C1552" t="n">
        <v>121086.40625</v>
      </c>
      <c r="D1552" t="n">
        <v>118383.15625</v>
      </c>
      <c r="E1552" t="n">
        <v>120681.2578125</v>
      </c>
      <c r="F1552" t="n">
        <v>71415163912</v>
      </c>
    </row>
    <row r="1553">
      <c r="A1553" t="inlineStr">
        <is>
          <t>2025-10-03</t>
        </is>
      </c>
      <c r="B1553" t="n">
        <v>120656.984375</v>
      </c>
      <c r="C1553" t="n">
        <v>123944.703125</v>
      </c>
      <c r="D1553" t="n">
        <v>119344.3125</v>
      </c>
      <c r="E1553" t="n">
        <v>122266.53125</v>
      </c>
      <c r="F1553" t="n">
        <v>83941392228</v>
      </c>
    </row>
    <row r="1554">
      <c r="A1554" t="inlineStr">
        <is>
          <t>2025-10-04</t>
        </is>
      </c>
      <c r="B1554" t="n">
        <v>122267.46875</v>
      </c>
      <c r="C1554" t="n">
        <v>122857.640625</v>
      </c>
      <c r="D1554" t="n">
        <v>121577.5703125</v>
      </c>
      <c r="E1554" t="n">
        <v>122425.4296875</v>
      </c>
      <c r="F1554" t="n">
        <v>36769171735</v>
      </c>
    </row>
    <row r="1555">
      <c r="A1555" t="inlineStr">
        <is>
          <t>2025-10-05</t>
        </is>
      </c>
      <c r="B1555" t="n">
        <v>122419.671875</v>
      </c>
      <c r="C1555" t="n">
        <v>125559.2109375</v>
      </c>
      <c r="D1555" t="n">
        <v>122191.9609375</v>
      </c>
      <c r="E1555" t="n">
        <v>123513.4765625</v>
      </c>
      <c r="F1555" t="n">
        <v>73689317763</v>
      </c>
    </row>
    <row r="1556">
      <c r="A1556" t="inlineStr">
        <is>
          <t>2025-10-06</t>
        </is>
      </c>
      <c r="B1556" t="n">
        <v>123510.453125</v>
      </c>
      <c r="C1556" t="n">
        <v>126198.0703125</v>
      </c>
      <c r="D1556" t="n">
        <v>123196.046875</v>
      </c>
      <c r="E1556" t="n">
        <v>124752.53125</v>
      </c>
      <c r="F1556" t="n">
        <v>72568881188</v>
      </c>
    </row>
    <row r="1557">
      <c r="A1557" t="inlineStr">
        <is>
          <t>2025-10-07</t>
        </is>
      </c>
      <c r="B1557" t="n">
        <v>124752.140625</v>
      </c>
      <c r="C1557" t="n">
        <v>125184.0234375</v>
      </c>
      <c r="D1557" t="n">
        <v>120681.96875</v>
      </c>
      <c r="E1557" t="n">
        <v>121451.3828125</v>
      </c>
      <c r="F1557" t="n">
        <v>76149412513</v>
      </c>
    </row>
    <row r="1558">
      <c r="A1558" t="inlineStr">
        <is>
          <t>2025-10-08</t>
        </is>
      </c>
      <c r="B1558" t="n">
        <v>121448.3515625</v>
      </c>
      <c r="C1558" t="n">
        <v>124167.09375</v>
      </c>
      <c r="D1558" t="n">
        <v>121119.1796875</v>
      </c>
      <c r="E1558" t="n">
        <v>123354.8671875</v>
      </c>
      <c r="F1558" t="n">
        <v>65354305286</v>
      </c>
    </row>
    <row r="1559">
      <c r="A1559" t="inlineStr">
        <is>
          <t>2025-10-09</t>
        </is>
      </c>
      <c r="B1559" t="n">
        <v>123337.0703125</v>
      </c>
      <c r="C1559" t="n">
        <v>123739.34375</v>
      </c>
      <c r="D1559" t="n">
        <v>119812.03125</v>
      </c>
      <c r="E1559" t="n">
        <v>121705.5859375</v>
      </c>
      <c r="F1559" t="n">
        <v>74653009425</v>
      </c>
    </row>
    <row r="1560">
      <c r="A1560" t="inlineStr">
        <is>
          <t>2025-10-10</t>
        </is>
      </c>
      <c r="B1560" t="n">
        <v>121704.7421875</v>
      </c>
      <c r="C1560" t="n">
        <v>122509.6640625</v>
      </c>
      <c r="D1560" t="n">
        <v>104582.4140625</v>
      </c>
      <c r="E1560" t="n">
        <v>113214.3671875</v>
      </c>
      <c r="F1560" t="n">
        <v>153125018868</v>
      </c>
    </row>
    <row r="1561">
      <c r="A1561" t="inlineStr">
        <is>
          <t>2025-10-11</t>
        </is>
      </c>
      <c r="B1561" t="n">
        <v>113236.4296875</v>
      </c>
      <c r="C1561" t="n">
        <v>113429.7265625</v>
      </c>
      <c r="D1561" t="n">
        <v>109760.5625</v>
      </c>
      <c r="E1561" t="n">
        <v>110807.8828125</v>
      </c>
      <c r="F1561" t="n">
        <v>110236934340</v>
      </c>
    </row>
    <row r="1562">
      <c r="A1562" t="inlineStr">
        <is>
          <t>2025-10-12</t>
        </is>
      </c>
      <c r="B1562" t="n">
        <v>110811.515625</v>
      </c>
      <c r="C1562" t="n">
        <v>115805.0625</v>
      </c>
      <c r="D1562" t="n">
        <v>109715.5390625</v>
      </c>
      <c r="E1562" t="n">
        <v>115169.765625</v>
      </c>
      <c r="F1562" t="n">
        <v>93710414091</v>
      </c>
    </row>
    <row r="1563">
      <c r="A1563" t="inlineStr">
        <is>
          <t>2025-10-13</t>
        </is>
      </c>
      <c r="B1563" t="n">
        <v>115161.6796875</v>
      </c>
      <c r="C1563" t="n">
        <v>116020.484375</v>
      </c>
      <c r="D1563" t="n">
        <v>113821.1875</v>
      </c>
      <c r="E1563" t="n">
        <v>115271.078125</v>
      </c>
      <c r="F1563" t="n">
        <v>71582026739</v>
      </c>
    </row>
    <row r="1564">
      <c r="A1564" t="inlineStr">
        <is>
          <t>2025-10-14</t>
        </is>
      </c>
      <c r="B1564" t="n">
        <v>115264.8828125</v>
      </c>
      <c r="C1564" t="n">
        <v>115502.8828125</v>
      </c>
      <c r="D1564" t="n">
        <v>110029.484375</v>
      </c>
      <c r="E1564" t="n">
        <v>113118.6640625</v>
      </c>
      <c r="F1564" t="n">
        <v>92212917403</v>
      </c>
    </row>
    <row r="1565">
      <c r="A1565" t="inlineStr">
        <is>
          <t>2025-10-15</t>
        </is>
      </c>
      <c r="B1565" t="n">
        <v>113113.96875</v>
      </c>
      <c r="C1565" t="n">
        <v>113622.3828125</v>
      </c>
      <c r="D1565" t="n">
        <v>110235.8359375</v>
      </c>
      <c r="E1565" t="n">
        <v>110783.1640625</v>
      </c>
      <c r="F1565" t="n">
        <v>72574132855</v>
      </c>
    </row>
    <row r="1566">
      <c r="A1566" t="inlineStr">
        <is>
          <t>2025-10-16</t>
        </is>
      </c>
      <c r="B1566" t="n">
        <v>110782.171875</v>
      </c>
      <c r="C1566" t="n">
        <v>111990.8125</v>
      </c>
      <c r="D1566" t="n">
        <v>107537.03125</v>
      </c>
      <c r="E1566" t="n">
        <v>108186.0390625</v>
      </c>
      <c r="F1566" t="n">
        <v>87306423067</v>
      </c>
    </row>
    <row r="1567">
      <c r="A1567" t="inlineStr">
        <is>
          <t>2025-10-17</t>
        </is>
      </c>
      <c r="B1567" t="n">
        <v>108179.1328125</v>
      </c>
      <c r="C1567" t="n">
        <v>109235.8046875</v>
      </c>
      <c r="D1567" t="n">
        <v>103598.4296875</v>
      </c>
      <c r="E1567" t="n">
        <v>106467.7890625</v>
      </c>
      <c r="F1567" t="n">
        <v>99703051669</v>
      </c>
    </row>
    <row r="1568">
      <c r="A1568" t="inlineStr">
        <is>
          <t>2025-10-18</t>
        </is>
      </c>
      <c r="B1568" t="n">
        <v>106483.734375</v>
      </c>
      <c r="C1568" t="n">
        <v>107490.984375</v>
      </c>
      <c r="D1568" t="n">
        <v>106387.453125</v>
      </c>
      <c r="E1568" t="n">
        <v>107198.265625</v>
      </c>
      <c r="F1568" t="n">
        <v>37779905278</v>
      </c>
    </row>
    <row r="1569">
      <c r="A1569" t="inlineStr">
        <is>
          <t>2025-10-19</t>
        </is>
      </c>
      <c r="B1569" t="n">
        <v>107204.3125</v>
      </c>
      <c r="C1569" t="n">
        <v>109488.9921875</v>
      </c>
      <c r="D1569" t="n">
        <v>106157.7890625</v>
      </c>
      <c r="E1569" t="n">
        <v>108666.7109375</v>
      </c>
      <c r="F1569" t="n">
        <v>47657008953</v>
      </c>
    </row>
    <row r="1570">
      <c r="A1570" t="inlineStr">
        <is>
          <t>2025-10-20</t>
        </is>
      </c>
      <c r="B1570" t="n">
        <v>108667.4453125</v>
      </c>
      <c r="C1570" t="n">
        <v>111711.03125</v>
      </c>
      <c r="D1570" t="n">
        <v>107485.015625</v>
      </c>
      <c r="E1570" t="n">
        <v>110588.9296875</v>
      </c>
      <c r="F1570" t="n">
        <v>63507793085</v>
      </c>
    </row>
    <row r="1571">
      <c r="A1571" t="inlineStr">
        <is>
          <t>2025-10-21</t>
        </is>
      </c>
      <c r="B1571" t="n">
        <v>110587.6328125</v>
      </c>
      <c r="C1571" t="n">
        <v>113996.34375</v>
      </c>
      <c r="D1571" t="n">
        <v>107534.75</v>
      </c>
      <c r="E1571" t="n">
        <v>108476.890625</v>
      </c>
      <c r="F1571" t="n">
        <v>101194375480</v>
      </c>
    </row>
    <row r="1572">
      <c r="A1572" t="inlineStr">
        <is>
          <t>2025-10-22</t>
        </is>
      </c>
      <c r="B1572" t="n">
        <v>108491.53125</v>
      </c>
      <c r="C1572" t="n">
        <v>109115.1328125</v>
      </c>
      <c r="D1572" t="n">
        <v>106778</v>
      </c>
      <c r="E1572" t="n">
        <v>107688.5859375</v>
      </c>
      <c r="F1572" t="n">
        <v>80807013218</v>
      </c>
    </row>
    <row r="1573">
      <c r="A1573" t="inlineStr">
        <is>
          <t>2025-10-23</t>
        </is>
      </c>
      <c r="B1573" t="n">
        <v>107679.4375</v>
      </c>
      <c r="C1573" t="n">
        <v>111288.59375</v>
      </c>
      <c r="D1573" t="n">
        <v>107548.4296875</v>
      </c>
      <c r="E1573" t="n">
        <v>110069.7265625</v>
      </c>
      <c r="F1573" t="n">
        <v>54944076060</v>
      </c>
    </row>
    <row r="1574">
      <c r="A1574" t="inlineStr">
        <is>
          <t>2025-10-24</t>
        </is>
      </c>
      <c r="B1574" t="n">
        <v>110069.3515625</v>
      </c>
      <c r="C1574" t="n">
        <v>111842.53125</v>
      </c>
      <c r="D1574" t="n">
        <v>109770.1484375</v>
      </c>
      <c r="E1574" t="n">
        <v>111033.921875</v>
      </c>
      <c r="F1574" t="n">
        <v>48160816980</v>
      </c>
    </row>
    <row r="1575">
      <c r="A1575" t="inlineStr">
        <is>
          <t>2025-10-25</t>
        </is>
      </c>
      <c r="B1575" t="n">
        <v>111032.6171875</v>
      </c>
      <c r="C1575" t="n">
        <v>111947.703125</v>
      </c>
      <c r="D1575" t="n">
        <v>110704.40625</v>
      </c>
      <c r="E1575" t="n">
        <v>111641.7265625</v>
      </c>
      <c r="F1575" t="n">
        <v>24707667305</v>
      </c>
    </row>
    <row r="1576">
      <c r="A1576" t="inlineStr">
        <is>
          <t>2025-10-26</t>
        </is>
      </c>
      <c r="B1576" t="n">
        <v>111639.0546875</v>
      </c>
      <c r="C1576" t="n">
        <v>115260.90625</v>
      </c>
      <c r="D1576" t="n">
        <v>111268.484375</v>
      </c>
      <c r="E1576" t="n">
        <v>114472.4453125</v>
      </c>
      <c r="F1576" t="n">
        <v>41708524143</v>
      </c>
    </row>
    <row r="1577">
      <c r="A1577" t="inlineStr">
        <is>
          <t>2025-10-27</t>
        </is>
      </c>
      <c r="B1577" t="n">
        <v>114479.8515625</v>
      </c>
      <c r="C1577" t="n">
        <v>116273.3125</v>
      </c>
      <c r="D1577" t="n">
        <v>113882.2890625</v>
      </c>
      <c r="E1577" t="n">
        <v>114119.328125</v>
      </c>
      <c r="F1577" t="n">
        <v>61761358733</v>
      </c>
    </row>
    <row r="1578">
      <c r="A1578" t="inlineStr">
        <is>
          <t>2025-10-28</t>
        </is>
      </c>
      <c r="B1578" t="n">
        <v>114129.0859375</v>
      </c>
      <c r="C1578" t="n">
        <v>116078.984375</v>
      </c>
      <c r="D1578" t="n">
        <v>112291.6796875</v>
      </c>
      <c r="E1578" t="n">
        <v>112956.1640625</v>
      </c>
      <c r="F1578" t="n">
        <v>64528066504</v>
      </c>
    </row>
    <row r="1579">
      <c r="A1579" t="inlineStr">
        <is>
          <t>2025-10-29</t>
        </is>
      </c>
      <c r="B1579" t="n">
        <v>112921.328125</v>
      </c>
      <c r="C1579" t="n">
        <v>113642.7265625</v>
      </c>
      <c r="D1579" t="n">
        <v>109368.71875</v>
      </c>
      <c r="E1579" t="n">
        <v>110055.3046875</v>
      </c>
      <c r="F1579" t="n">
        <v>62192043469</v>
      </c>
    </row>
    <row r="1580">
      <c r="A1580" t="inlineStr">
        <is>
          <t>2025-10-30</t>
        </is>
      </c>
      <c r="B1580" t="n">
        <v>110059.1953125</v>
      </c>
      <c r="C1580" t="n">
        <v>111612.3515625</v>
      </c>
      <c r="D1580" t="n">
        <v>106376.6875</v>
      </c>
      <c r="E1580" t="n">
        <v>108305.546875</v>
      </c>
      <c r="F1580" t="n">
        <v>69673964814</v>
      </c>
    </row>
    <row r="1581">
      <c r="A1581" t="inlineStr">
        <is>
          <t>2025-10-31</t>
        </is>
      </c>
      <c r="B1581" t="n">
        <v>108304.4140625</v>
      </c>
      <c r="C1581" t="n">
        <v>111031.8203125</v>
      </c>
      <c r="D1581" t="n">
        <v>108288.2734375</v>
      </c>
      <c r="E1581" t="n">
        <v>109556.1640625</v>
      </c>
      <c r="F1581" t="n">
        <v>60090359560</v>
      </c>
    </row>
    <row r="1582">
      <c r="A1582" t="inlineStr">
        <is>
          <t>2025-11-01</t>
        </is>
      </c>
      <c r="B1582" t="n">
        <v>109558.625</v>
      </c>
      <c r="C1582" t="n">
        <v>110574.8984375</v>
      </c>
      <c r="D1582" t="n">
        <v>109372.953125</v>
      </c>
      <c r="E1582" t="n">
        <v>110064.015625</v>
      </c>
      <c r="F1582" t="n">
        <v>25871668762</v>
      </c>
    </row>
    <row r="1583">
      <c r="A1583" t="inlineStr">
        <is>
          <t>2025-11-02</t>
        </is>
      </c>
      <c r="B1583" t="n">
        <v>110064.4296875</v>
      </c>
      <c r="C1583" t="n">
        <v>111167.3125</v>
      </c>
      <c r="D1583" t="n">
        <v>109523.453125</v>
      </c>
      <c r="E1583" t="n">
        <v>110639.625</v>
      </c>
      <c r="F1583" t="n">
        <v>34284209459</v>
      </c>
    </row>
    <row r="1584">
      <c r="A1584" t="inlineStr">
        <is>
          <t>2025-11-03</t>
        </is>
      </c>
      <c r="B1584" t="n">
        <v>110646.90625</v>
      </c>
      <c r="C1584" t="n">
        <v>110764.9140625</v>
      </c>
      <c r="D1584" t="n">
        <v>105336.359375</v>
      </c>
      <c r="E1584" t="n">
        <v>106547.5234375</v>
      </c>
      <c r="F1584" t="n">
        <v>72852006359</v>
      </c>
    </row>
    <row r="1585">
      <c r="A1585" t="inlineStr">
        <is>
          <t>2025-11-04</t>
        </is>
      </c>
      <c r="B1585" t="n">
        <v>106541.421875</v>
      </c>
      <c r="C1585" t="n">
        <v>107264.8828125</v>
      </c>
      <c r="D1585" t="n">
        <v>98962.0625</v>
      </c>
      <c r="E1585" t="n">
        <v>101590.5234375</v>
      </c>
      <c r="F1585" t="n">
        <v>110967184773</v>
      </c>
    </row>
    <row r="1586">
      <c r="A1586" t="inlineStr">
        <is>
          <t>2025-11-05</t>
        </is>
      </c>
      <c r="B1586" t="n">
        <v>101579.234375</v>
      </c>
      <c r="C1586" t="n">
        <v>104534.703125</v>
      </c>
      <c r="D1586" t="n">
        <v>98989.9140625</v>
      </c>
      <c r="E1586" t="n">
        <v>103891.8359375</v>
      </c>
      <c r="F1586" t="n">
        <v>77584934804</v>
      </c>
    </row>
    <row r="1587">
      <c r="A1587" t="inlineStr">
        <is>
          <t>2025-11-06</t>
        </is>
      </c>
      <c r="B1587" t="n">
        <v>103893.6640625</v>
      </c>
      <c r="C1587" t="n">
        <v>104147.3046875</v>
      </c>
      <c r="D1587" t="n">
        <v>100336.8671875</v>
      </c>
      <c r="E1587" t="n">
        <v>101301.2890625</v>
      </c>
      <c r="F1587" t="n">
        <v>63932752861</v>
      </c>
    </row>
    <row r="1588">
      <c r="A1588" t="inlineStr">
        <is>
          <t>2025-11-07</t>
        </is>
      </c>
      <c r="B1588" t="n">
        <v>101286.2421875</v>
      </c>
      <c r="C1588" t="n">
        <v>104052.9140625</v>
      </c>
      <c r="D1588" t="n">
        <v>99257.0546875</v>
      </c>
      <c r="E1588" t="n">
        <v>103372.40625</v>
      </c>
      <c r="F1588" t="n">
        <v>92168030081</v>
      </c>
    </row>
    <row r="1589">
      <c r="A1589" t="inlineStr">
        <is>
          <t>2025-11-08</t>
        </is>
      </c>
      <c r="B1589" t="n">
        <v>103371.703125</v>
      </c>
      <c r="C1589" t="n">
        <v>103373.5625</v>
      </c>
      <c r="D1589" t="n">
        <v>101458.0390625</v>
      </c>
      <c r="E1589" t="n">
        <v>102282.1171875</v>
      </c>
      <c r="F1589" t="n">
        <v>51446691095</v>
      </c>
    </row>
    <row r="1590">
      <c r="A1590" t="inlineStr">
        <is>
          <t>2025-11-09</t>
        </is>
      </c>
      <c r="B1590" t="n">
        <v>102278.984375</v>
      </c>
      <c r="C1590" t="n">
        <v>105418.3671875</v>
      </c>
      <c r="D1590" t="n">
        <v>101468.875</v>
      </c>
      <c r="E1590" t="n">
        <v>104719.640625</v>
      </c>
      <c r="F1590" t="n">
        <v>59679243013</v>
      </c>
    </row>
    <row r="1591">
      <c r="A1591" t="inlineStr">
        <is>
          <t>2025-11-10</t>
        </is>
      </c>
      <c r="B1591" t="n">
        <v>104723.7734375</v>
      </c>
      <c r="C1591" t="n">
        <v>106564.6953125</v>
      </c>
      <c r="D1591" t="n">
        <v>104350.6484375</v>
      </c>
      <c r="E1591" t="n">
        <v>105996.59375</v>
      </c>
      <c r="F1591" t="n">
        <v>69585887229</v>
      </c>
    </row>
    <row r="1592">
      <c r="A1592" t="inlineStr">
        <is>
          <t>2025-11-11</t>
        </is>
      </c>
      <c r="B1592" t="n">
        <v>105996.859375</v>
      </c>
      <c r="C1592" t="n">
        <v>107428.2578125</v>
      </c>
      <c r="D1592" t="n">
        <v>102457.328125</v>
      </c>
      <c r="E1592" t="n">
        <v>102997.46875</v>
      </c>
      <c r="F1592" t="n">
        <v>71130078574</v>
      </c>
    </row>
    <row r="1593">
      <c r="A1593" t="inlineStr">
        <is>
          <t>2025-11-12</t>
        </is>
      </c>
      <c r="B1593" t="n">
        <v>103011.4375</v>
      </c>
      <c r="C1593" t="n">
        <v>105297.234375</v>
      </c>
      <c r="D1593" t="n">
        <v>100836.6171875</v>
      </c>
      <c r="E1593" t="n">
        <v>101663.1875</v>
      </c>
      <c r="F1593" t="n">
        <v>64347179408</v>
      </c>
    </row>
    <row r="1594">
      <c r="A1594" t="inlineStr">
        <is>
          <t>2025-11-13</t>
        </is>
      </c>
      <c r="B1594" t="n">
        <v>101674.1484375</v>
      </c>
      <c r="C1594" t="n">
        <v>104005.4921875</v>
      </c>
      <c r="D1594" t="n">
        <v>97988.71875</v>
      </c>
      <c r="E1594" t="n">
        <v>99697.4921875</v>
      </c>
      <c r="F1594" t="n">
        <v>101546815416</v>
      </c>
    </row>
    <row r="1595">
      <c r="A1595" t="inlineStr">
        <is>
          <t>2025-11-14</t>
        </is>
      </c>
      <c r="B1595" t="n">
        <v>99694.703125</v>
      </c>
      <c r="C1595" t="n">
        <v>99804.4296875</v>
      </c>
      <c r="D1595" t="n">
        <v>94000.734375</v>
      </c>
      <c r="E1595" t="n">
        <v>94397.7890625</v>
      </c>
      <c r="F1595" t="n">
        <v>114346441890</v>
      </c>
    </row>
    <row r="1596">
      <c r="A1596" t="inlineStr">
        <is>
          <t>2025-11-15</t>
        </is>
      </c>
      <c r="B1596" t="n">
        <v>94420.46875</v>
      </c>
      <c r="C1596" t="n">
        <v>96728.46875</v>
      </c>
      <c r="D1596" t="n">
        <v>94420.46875</v>
      </c>
      <c r="E1596" t="n">
        <v>95549.1484375</v>
      </c>
      <c r="F1596" t="n">
        <v>38500716654</v>
      </c>
    </row>
    <row r="1597">
      <c r="A1597" t="inlineStr">
        <is>
          <t>2025-11-16</t>
        </is>
      </c>
      <c r="B1597" t="n">
        <v>95556.8671875</v>
      </c>
      <c r="C1597" t="n">
        <v>96564.1875</v>
      </c>
      <c r="D1597" t="n">
        <v>92971.1640625</v>
      </c>
      <c r="E1597" t="n">
        <v>94177.078125</v>
      </c>
      <c r="F1597" t="n">
        <v>71086235862</v>
      </c>
    </row>
    <row r="1598">
      <c r="A1598" t="inlineStr">
        <is>
          <t>2025-11-17</t>
        </is>
      </c>
      <c r="B1598" t="n">
        <v>94180.875</v>
      </c>
      <c r="C1598" t="n">
        <v>95928.3671875</v>
      </c>
      <c r="D1598" t="n">
        <v>91214.7578125</v>
      </c>
      <c r="E1598" t="n">
        <v>92093.875</v>
      </c>
      <c r="F1598" t="n">
        <v>94186165724</v>
      </c>
    </row>
    <row r="1599">
      <c r="A1599" t="inlineStr">
        <is>
          <t>2025-11-18</t>
        </is>
      </c>
      <c r="B1599" t="n">
        <v>92094.53125</v>
      </c>
      <c r="C1599" t="n">
        <v>93745.078125</v>
      </c>
      <c r="D1599" t="n">
        <v>89300.4609375</v>
      </c>
      <c r="E1599" t="n">
        <v>92948.875</v>
      </c>
      <c r="F1599" t="n">
        <v>101333569062</v>
      </c>
    </row>
    <row r="1600">
      <c r="A1600" t="inlineStr">
        <is>
          <t>2025-11-19</t>
        </is>
      </c>
      <c r="B1600" t="n">
        <v>92946.1640625</v>
      </c>
      <c r="C1600" t="n">
        <v>92946.1640625</v>
      </c>
      <c r="D1600" t="n">
        <v>88526.828125</v>
      </c>
      <c r="E1600" t="n">
        <v>91465.9921875</v>
      </c>
      <c r="F1600" t="n">
        <v>80350354656</v>
      </c>
    </row>
    <row r="1601">
      <c r="A1601" t="inlineStr">
        <is>
          <t>2025-11-20</t>
        </is>
      </c>
      <c r="B1601" t="n">
        <v>91459.3515625</v>
      </c>
      <c r="C1601" t="n">
        <v>93025.0703125</v>
      </c>
      <c r="D1601" t="n">
        <v>86040.796875</v>
      </c>
      <c r="E1601" t="n">
        <v>86631.8984375</v>
      </c>
      <c r="F1601" t="n">
        <v>97970645638</v>
      </c>
    </row>
    <row r="1602">
      <c r="A1602" t="inlineStr">
        <is>
          <t>2025-11-21</t>
        </is>
      </c>
      <c r="B1602" t="n">
        <v>86528.7734375</v>
      </c>
      <c r="C1602" t="n">
        <v>87380.8046875</v>
      </c>
      <c r="D1602" t="n">
        <v>80659.8125</v>
      </c>
      <c r="E1602" t="n">
        <v>85090.6875</v>
      </c>
      <c r="F1602" t="n">
        <v>129157506112</v>
      </c>
    </row>
    <row r="1603">
      <c r="A1603" t="inlineStr">
        <is>
          <t>2025-11-22</t>
        </is>
      </c>
      <c r="B1603" t="n">
        <v>85098.5625</v>
      </c>
      <c r="C1603" t="n">
        <v>85503.0078125</v>
      </c>
      <c r="D1603" t="n">
        <v>83490.8984375</v>
      </c>
      <c r="E1603" t="n">
        <v>84648.359375</v>
      </c>
      <c r="F1603" t="n">
        <v>40793099246</v>
      </c>
    </row>
    <row r="1604">
      <c r="A1604" t="inlineStr">
        <is>
          <t>2025-11-23</t>
        </is>
      </c>
      <c r="B1604" t="n">
        <v>84648.609375</v>
      </c>
      <c r="C1604" t="n">
        <v>88038.46875</v>
      </c>
      <c r="D1604" t="n">
        <v>84641.7734375</v>
      </c>
      <c r="E1604" t="n">
        <v>86805.0078125</v>
      </c>
      <c r="F1604" t="n">
        <v>58083435576</v>
      </c>
    </row>
    <row r="1605">
      <c r="A1605" t="inlineStr">
        <is>
          <t>2025-11-24</t>
        </is>
      </c>
      <c r="B1605" t="n">
        <v>86798.7734375</v>
      </c>
      <c r="C1605" t="n">
        <v>89206.3359375</v>
      </c>
      <c r="D1605" t="n">
        <v>85272.1953125</v>
      </c>
      <c r="E1605" t="n">
        <v>88270.5625</v>
      </c>
      <c r="F1605" t="n">
        <v>74433896110</v>
      </c>
    </row>
    <row r="1606">
      <c r="A1606" t="inlineStr">
        <is>
          <t>2025-11-25</t>
        </is>
      </c>
      <c r="B1606" t="n">
        <v>88269.9609375</v>
      </c>
      <c r="C1606" t="n">
        <v>88457.3359375</v>
      </c>
      <c r="D1606" t="n">
        <v>86131.4296875</v>
      </c>
      <c r="E1606" t="n">
        <v>87341.890625</v>
      </c>
      <c r="F1606" t="n">
        <v>64837343545</v>
      </c>
    </row>
    <row r="1607">
      <c r="A1607" t="inlineStr">
        <is>
          <t>2025-11-26</t>
        </is>
      </c>
      <c r="B1607" t="n">
        <v>87345.5859375</v>
      </c>
      <c r="C1607" t="n">
        <v>90581.15625</v>
      </c>
      <c r="D1607" t="n">
        <v>86316.8984375</v>
      </c>
      <c r="E1607" t="n">
        <v>90518.3671875</v>
      </c>
      <c r="F1607" t="n">
        <v>66496301869</v>
      </c>
    </row>
    <row r="1608">
      <c r="A1608" t="inlineStr">
        <is>
          <t>2025-11-27</t>
        </is>
      </c>
      <c r="B1608" t="n">
        <v>90517.765625</v>
      </c>
      <c r="C1608" t="n">
        <v>91897.578125</v>
      </c>
      <c r="D1608" t="n">
        <v>90089.515625</v>
      </c>
      <c r="E1608" t="n">
        <v>91285.375</v>
      </c>
      <c r="F1608" t="n">
        <v>57040622845</v>
      </c>
    </row>
    <row r="1609">
      <c r="A1609" t="inlineStr">
        <is>
          <t>2025-11-28</t>
        </is>
      </c>
      <c r="B1609" t="n">
        <v>91285.3828125</v>
      </c>
      <c r="C1609" t="n">
        <v>92969.0859375</v>
      </c>
      <c r="D1609" t="n">
        <v>90257.1171875</v>
      </c>
      <c r="E1609" t="n">
        <v>90919.265625</v>
      </c>
      <c r="F1609" t="n">
        <v>60895830289</v>
      </c>
    </row>
    <row r="1610">
      <c r="A1610" t="inlineStr">
        <is>
          <t>2025-11-29</t>
        </is>
      </c>
      <c r="B1610" t="n">
        <v>90918.7421875</v>
      </c>
      <c r="C1610" t="n">
        <v>91187.6171875</v>
      </c>
      <c r="D1610" t="n">
        <v>90260.1875</v>
      </c>
      <c r="E1610" t="n">
        <v>90851.7578125</v>
      </c>
      <c r="F1610" t="n">
        <v>37921773455</v>
      </c>
    </row>
    <row r="1611">
      <c r="A1611" t="inlineStr">
        <is>
          <t>2025-11-30</t>
        </is>
      </c>
      <c r="B1611" t="n">
        <v>90838.2109375</v>
      </c>
      <c r="C1611" t="n">
        <v>91965.046875</v>
      </c>
      <c r="D1611" t="n">
        <v>90394.3125</v>
      </c>
      <c r="E1611" t="n">
        <v>90394.3125</v>
      </c>
      <c r="F1611" t="n">
        <v>38497902869</v>
      </c>
    </row>
    <row r="1612">
      <c r="A1612" t="inlineStr">
        <is>
          <t>2025-12-01</t>
        </is>
      </c>
      <c r="B1612" t="n">
        <v>90389.109375</v>
      </c>
      <c r="C1612" t="n">
        <v>90398.15625</v>
      </c>
      <c r="D1612" t="n">
        <v>83862.25</v>
      </c>
      <c r="E1612" t="n">
        <v>86321.5703125</v>
      </c>
      <c r="F1612" t="n">
        <v>87962894424</v>
      </c>
    </row>
    <row r="1613">
      <c r="A1613" t="inlineStr">
        <is>
          <t>2025-12-02</t>
        </is>
      </c>
      <c r="B1613" t="n">
        <v>86322.5390625</v>
      </c>
      <c r="C1613" t="n">
        <v>92316.6328125</v>
      </c>
      <c r="D1613" t="n">
        <v>86202.1953125</v>
      </c>
      <c r="E1613" t="n">
        <v>91350.203125</v>
      </c>
      <c r="F1613" t="n">
        <v>78546798211</v>
      </c>
    </row>
    <row r="1614">
      <c r="A1614" t="inlineStr">
        <is>
          <t>2025-12-03</t>
        </is>
      </c>
      <c r="B1614" t="n">
        <v>91345.09375</v>
      </c>
      <c r="C1614" t="n">
        <v>94060.7734375</v>
      </c>
      <c r="D1614" t="n">
        <v>91056.390625</v>
      </c>
      <c r="E1614" t="n">
        <v>93527.8046875</v>
      </c>
      <c r="F1614" t="n">
        <v>77650204986</v>
      </c>
    </row>
    <row r="1615">
      <c r="A1615" t="inlineStr">
        <is>
          <t>2025-12-04</t>
        </is>
      </c>
      <c r="B1615" t="n">
        <v>93454.2578125</v>
      </c>
      <c r="C1615" t="n">
        <v>94038.2421875</v>
      </c>
      <c r="D1615" t="n">
        <v>90976.1015625</v>
      </c>
      <c r="E1615" t="n">
        <v>92141.625</v>
      </c>
      <c r="F1615" t="n">
        <v>64538402681</v>
      </c>
    </row>
    <row r="1616">
      <c r="A1616" t="inlineStr">
        <is>
          <t>2025-12-05</t>
        </is>
      </c>
      <c r="B1616" t="n">
        <v>92133.6484375</v>
      </c>
      <c r="C1616" t="n">
        <v>92702.640625</v>
      </c>
      <c r="D1616" t="n">
        <v>88152.140625</v>
      </c>
      <c r="E1616" t="n">
        <v>89387.7578125</v>
      </c>
      <c r="F1616" t="n">
        <v>63256398633</v>
      </c>
    </row>
    <row r="1617">
      <c r="A1617" t="inlineStr">
        <is>
          <t>2025-12-06</t>
        </is>
      </c>
      <c r="B1617" t="n">
        <v>89389.359375</v>
      </c>
      <c r="C1617" t="n">
        <v>90267.4609375</v>
      </c>
      <c r="D1617" t="n">
        <v>88951.6640625</v>
      </c>
      <c r="E1617" t="n">
        <v>89272.375</v>
      </c>
      <c r="F1617" t="n">
        <v>37994042405</v>
      </c>
    </row>
    <row r="1618">
      <c r="A1618" t="inlineStr">
        <is>
          <t>2025-12-07</t>
        </is>
      </c>
      <c r="B1618" t="n">
        <v>89277.8125</v>
      </c>
      <c r="C1618" t="n">
        <v>91740.84375</v>
      </c>
      <c r="D1618" t="n">
        <v>87799.5625</v>
      </c>
      <c r="E1618" t="n">
        <v>90405.640625</v>
      </c>
      <c r="F1618" t="n">
        <v>47394898960</v>
      </c>
    </row>
    <row r="1619">
      <c r="A1619" t="inlineStr">
        <is>
          <t>2025-12-08</t>
        </is>
      </c>
      <c r="B1619" t="n">
        <v>90424.5859375</v>
      </c>
      <c r="C1619" t="n">
        <v>92267.1171875</v>
      </c>
      <c r="D1619" t="n">
        <v>89644.890625</v>
      </c>
      <c r="E1619" t="n">
        <v>90640.203125</v>
      </c>
      <c r="F1619" t="n">
        <v>57394099056</v>
      </c>
    </row>
    <row r="1620">
      <c r="A1620" t="inlineStr">
        <is>
          <t>2025-12-09</t>
        </is>
      </c>
      <c r="B1620" t="n">
        <v>90639.703125</v>
      </c>
      <c r="C1620" t="n">
        <v>94601.5703125</v>
      </c>
      <c r="D1620" t="n">
        <v>89586.9765625</v>
      </c>
      <c r="E1620" t="n">
        <v>92691.7109375</v>
      </c>
      <c r="F1620" t="n">
        <v>66861721440</v>
      </c>
    </row>
    <row r="1621">
      <c r="A1621" t="inlineStr">
        <is>
          <t>2025-12-10</t>
        </is>
      </c>
      <c r="B1621" t="n">
        <v>92695.234375</v>
      </c>
      <c r="C1621" t="n">
        <v>94477.15625</v>
      </c>
      <c r="D1621" t="n">
        <v>91640.1328125</v>
      </c>
      <c r="E1621" t="n">
        <v>92020.9453125</v>
      </c>
      <c r="F1621" t="n">
        <v>65420694513</v>
      </c>
    </row>
    <row r="1622">
      <c r="A1622" t="inlineStr">
        <is>
          <t>2025-12-11</t>
        </is>
      </c>
      <c r="B1622" t="n">
        <v>92011.3046875</v>
      </c>
      <c r="C1622" t="n">
        <v>93554.265625</v>
      </c>
      <c r="D1622" t="n">
        <v>89335.296875</v>
      </c>
      <c r="E1622" t="n">
        <v>92511.3359375</v>
      </c>
      <c r="F1622" t="n">
        <v>64532834621</v>
      </c>
    </row>
    <row r="1623">
      <c r="A1623" t="inlineStr">
        <is>
          <t>2025-12-12</t>
        </is>
      </c>
      <c r="B1623" t="n">
        <v>92513.6640625</v>
      </c>
      <c r="C1623" t="n">
        <v>92747.9296875</v>
      </c>
      <c r="D1623" t="n">
        <v>89532.6015625</v>
      </c>
      <c r="E1623" t="n">
        <v>90270.4140625</v>
      </c>
      <c r="F1623" t="n">
        <v>80275884583</v>
      </c>
    </row>
    <row r="1624">
      <c r="A1624" t="inlineStr">
        <is>
          <t>2025-12-13</t>
        </is>
      </c>
      <c r="B1624" t="n">
        <v>90257.796875</v>
      </c>
      <c r="C1624" t="n">
        <v>90647.5703125</v>
      </c>
      <c r="D1624" t="n">
        <v>89800.9921875</v>
      </c>
      <c r="E1624" t="n">
        <v>90298.7109375</v>
      </c>
      <c r="F1624" t="n">
        <v>64237748110</v>
      </c>
    </row>
    <row r="1625">
      <c r="A1625" t="inlineStr">
        <is>
          <t>2025-12-14</t>
        </is>
      </c>
      <c r="B1625" t="n">
        <v>90296.4375</v>
      </c>
      <c r="C1625" t="n">
        <v>90498.109375</v>
      </c>
      <c r="D1625" t="n">
        <v>87634.9375</v>
      </c>
      <c r="E1625" t="n">
        <v>88175.1796875</v>
      </c>
      <c r="F1625" t="n">
        <v>50465972205</v>
      </c>
    </row>
    <row r="1626">
      <c r="A1626" t="inlineStr">
        <is>
          <t>2025-12-15</t>
        </is>
      </c>
      <c r="B1626" t="n">
        <v>88171.078125</v>
      </c>
      <c r="C1626" t="n">
        <v>89983.921875</v>
      </c>
      <c r="D1626" t="n">
        <v>85304.078125</v>
      </c>
      <c r="E1626" t="n">
        <v>86419.78125</v>
      </c>
      <c r="F1626" t="n">
        <v>45559514323</v>
      </c>
    </row>
    <row r="1627">
      <c r="A1627" t="inlineStr">
        <is>
          <t>2025-12-16</t>
        </is>
      </c>
      <c r="B1627" t="n">
        <v>86424.40625</v>
      </c>
      <c r="C1627" t="n">
        <v>88170.09375</v>
      </c>
      <c r="D1627" t="n">
        <v>85381.6875</v>
      </c>
      <c r="E1627" t="n">
        <v>87843.984375</v>
      </c>
      <c r="F1627" t="n">
        <v>41262178223</v>
      </c>
    </row>
    <row r="1628">
      <c r="A1628" t="inlineStr">
        <is>
          <t>2025-12-17</t>
        </is>
      </c>
      <c r="B1628" t="n">
        <v>87847.6171875</v>
      </c>
      <c r="C1628" t="n">
        <v>90264.5703125</v>
      </c>
      <c r="D1628" t="n">
        <v>85316.265625</v>
      </c>
      <c r="E1628" t="n">
        <v>86143.7578125</v>
      </c>
      <c r="F1628" t="n">
        <v>44243392914</v>
      </c>
    </row>
    <row r="1629">
      <c r="A1629" t="inlineStr">
        <is>
          <t>2025-12-18</t>
        </is>
      </c>
      <c r="B1629" t="n">
        <v>86144.3671875</v>
      </c>
      <c r="C1629" t="n">
        <v>89412.6640625</v>
      </c>
      <c r="D1629" t="n">
        <v>84436.3125</v>
      </c>
      <c r="E1629" t="n">
        <v>85462.5078125</v>
      </c>
      <c r="F1629" t="n">
        <v>52667115348</v>
      </c>
    </row>
    <row r="1630">
      <c r="A1630" t="inlineStr">
        <is>
          <t>2025-12-19</t>
        </is>
      </c>
      <c r="B1630" t="n">
        <v>85476.1328125</v>
      </c>
      <c r="C1630" t="n">
        <v>89339.1171875</v>
      </c>
      <c r="D1630" t="n">
        <v>85107.6640625</v>
      </c>
      <c r="E1630" t="n">
        <v>88103.3828125</v>
      </c>
      <c r="F1630" t="n">
        <v>46733310561</v>
      </c>
    </row>
    <row r="1631">
      <c r="A1631" t="inlineStr">
        <is>
          <t>2025-12-20</t>
        </is>
      </c>
      <c r="B1631" t="n">
        <v>88101.671875</v>
      </c>
      <c r="C1631" t="n">
        <v>88497.203125</v>
      </c>
      <c r="D1631" t="n">
        <v>87924.875</v>
      </c>
      <c r="E1631" t="n">
        <v>88344</v>
      </c>
      <c r="F1631" t="n">
        <v>14688196659</v>
      </c>
    </row>
    <row r="1632">
      <c r="A1632" t="inlineStr">
        <is>
          <t>2025-12-21</t>
        </is>
      </c>
      <c r="B1632" t="n">
        <v>88344.703125</v>
      </c>
      <c r="C1632" t="n">
        <v>89027.953125</v>
      </c>
      <c r="D1632" t="n">
        <v>87613.203125</v>
      </c>
      <c r="E1632" t="n">
        <v>88621.75</v>
      </c>
      <c r="F1632" t="n">
        <v>19845522660</v>
      </c>
    </row>
    <row r="1633">
      <c r="A1633" t="inlineStr">
        <is>
          <t>2025-12-22</t>
        </is>
      </c>
      <c r="B1633" t="n">
        <v>88621.3984375</v>
      </c>
      <c r="C1633" t="n">
        <v>90501.9296875</v>
      </c>
      <c r="D1633" t="n">
        <v>87908.0703125</v>
      </c>
      <c r="E1633" t="n">
        <v>88490.015625</v>
      </c>
      <c r="F1633" t="n">
        <v>38047472118</v>
      </c>
    </row>
    <row r="1634">
      <c r="A1634" t="inlineStr">
        <is>
          <t>2025-12-23</t>
        </is>
      </c>
      <c r="B1634" t="n">
        <v>88490.03125</v>
      </c>
      <c r="C1634" t="n">
        <v>88898.3828125</v>
      </c>
      <c r="D1634" t="n">
        <v>86606.9765625</v>
      </c>
      <c r="E1634" t="n">
        <v>87414</v>
      </c>
      <c r="F1634" t="n">
        <v>43683011533</v>
      </c>
    </row>
    <row r="1635">
      <c r="A1635" t="inlineStr">
        <is>
          <t>2025-12-24</t>
        </is>
      </c>
      <c r="B1635" t="n">
        <v>87404.3203125</v>
      </c>
      <c r="C1635" t="n">
        <v>87956.8828125</v>
      </c>
      <c r="D1635" t="n">
        <v>86411.796875</v>
      </c>
      <c r="E1635" t="n">
        <v>87611.9609375</v>
      </c>
      <c r="F1635" t="n">
        <v>25550297986</v>
      </c>
    </row>
    <row r="1636">
      <c r="A1636" t="inlineStr">
        <is>
          <t>2025-12-25</t>
        </is>
      </c>
      <c r="B1636" t="n">
        <v>87608.3203125</v>
      </c>
      <c r="C1636" t="n">
        <v>88501.7890625</v>
      </c>
      <c r="D1636" t="n">
        <v>86949.2578125</v>
      </c>
      <c r="E1636" t="n">
        <v>87234.7421875</v>
      </c>
      <c r="F1636" t="n">
        <v>19953216347</v>
      </c>
    </row>
    <row r="1637">
      <c r="A1637" t="inlineStr">
        <is>
          <t>2025-12-26</t>
        </is>
      </c>
      <c r="B1637" t="n">
        <v>87235.5078125</v>
      </c>
      <c r="C1637" t="n">
        <v>89459.4296875</v>
      </c>
      <c r="D1637" t="n">
        <v>86628.140625</v>
      </c>
      <c r="E1637" t="n">
        <v>87301.4296875</v>
      </c>
      <c r="F1637" t="n">
        <v>42455674908</v>
      </c>
    </row>
    <row r="1638">
      <c r="A1638" t="inlineStr">
        <is>
          <t>2025-12-27</t>
        </is>
      </c>
      <c r="B1638" t="n">
        <v>87301.4296875</v>
      </c>
      <c r="C1638" t="n">
        <v>87874.78125</v>
      </c>
      <c r="D1638" t="n">
        <v>87182.9765625</v>
      </c>
      <c r="E1638" t="n">
        <v>87802.15625</v>
      </c>
      <c r="F1638" t="n">
        <v>13741199310</v>
      </c>
    </row>
    <row r="1639">
      <c r="A1639" t="inlineStr">
        <is>
          <t>2025-12-28</t>
        </is>
      </c>
      <c r="B1639" t="n">
        <v>87799.34375</v>
      </c>
      <c r="C1639" t="n">
        <v>87986.890625</v>
      </c>
      <c r="D1639" t="n">
        <v>87394.953125</v>
      </c>
      <c r="E1639" t="n">
        <v>87835.8359375</v>
      </c>
      <c r="F1639" t="n">
        <v>15156557929</v>
      </c>
    </row>
    <row r="1640">
      <c r="A1640" t="inlineStr">
        <is>
          <t>2025-12-29</t>
        </is>
      </c>
      <c r="B1640" t="n">
        <v>87835.7890625</v>
      </c>
      <c r="C1640" t="n">
        <v>90299.15625</v>
      </c>
      <c r="D1640" t="n">
        <v>86717.9140625</v>
      </c>
      <c r="E1640" t="n">
        <v>87138.140625</v>
      </c>
      <c r="F1640" t="n">
        <v>48411625849</v>
      </c>
    </row>
    <row r="1641">
      <c r="A1641" t="inlineStr">
        <is>
          <t>2025-12-30</t>
        </is>
      </c>
      <c r="B1641" t="n">
        <v>87134.3515625</v>
      </c>
      <c r="C1641" t="n">
        <v>89297.9375</v>
      </c>
      <c r="D1641" t="n">
        <v>86735.546875</v>
      </c>
      <c r="E1641" t="n">
        <v>88430.1328125</v>
      </c>
      <c r="F1641" t="n">
        <v>35586356225</v>
      </c>
    </row>
    <row r="1642">
      <c r="A1642" t="inlineStr">
        <is>
          <t>2025-12-31</t>
        </is>
      </c>
      <c r="B1642" t="n">
        <v>88429.5859375</v>
      </c>
      <c r="C1642" t="n">
        <v>89080.2890625</v>
      </c>
      <c r="D1642" t="n">
        <v>87130.5625</v>
      </c>
      <c r="E1642" t="n">
        <v>87508.828125</v>
      </c>
      <c r="F1642" t="n">
        <v>33830210616</v>
      </c>
    </row>
    <row r="1643">
      <c r="A1643" t="inlineStr">
        <is>
          <t>2026-01-01</t>
        </is>
      </c>
      <c r="B1643" t="n">
        <v>87508.046875</v>
      </c>
      <c r="C1643" t="n">
        <v>88803.2265625</v>
      </c>
      <c r="D1643" t="n">
        <v>87399.40625</v>
      </c>
      <c r="E1643" t="n">
        <v>88731.984375</v>
      </c>
      <c r="F1643" t="n">
        <v>18849043990</v>
      </c>
    </row>
    <row r="1644">
      <c r="A1644" t="inlineStr">
        <is>
          <t>2026-01-02</t>
        </is>
      </c>
      <c r="B1644" t="n">
        <v>88733.0625</v>
      </c>
      <c r="C1644" t="n">
        <v>90884.4609375</v>
      </c>
      <c r="D1644" t="n">
        <v>88298.6171875</v>
      </c>
      <c r="E1644" t="n">
        <v>89944.6953125</v>
      </c>
      <c r="F1644" t="n">
        <v>46398906171</v>
      </c>
    </row>
    <row r="1645">
      <c r="A1645" t="inlineStr">
        <is>
          <t>2026-01-03</t>
        </is>
      </c>
      <c r="B1645" t="n">
        <v>89945.0546875</v>
      </c>
      <c r="C1645" t="n">
        <v>90679.5703125</v>
      </c>
      <c r="D1645" t="n">
        <v>89328.0703125</v>
      </c>
      <c r="E1645" t="n">
        <v>90603.1875</v>
      </c>
      <c r="F1645" t="n">
        <v>20774828592</v>
      </c>
    </row>
    <row r="1646">
      <c r="A1646" t="inlineStr">
        <is>
          <t>2026-01-04</t>
        </is>
      </c>
      <c r="B1646" t="n">
        <v>90603</v>
      </c>
      <c r="C1646" t="n">
        <v>91712.5859375</v>
      </c>
      <c r="D1646" t="n">
        <v>90595.1015625</v>
      </c>
      <c r="E1646" t="n">
        <v>91413.4921875</v>
      </c>
      <c r="F1646" t="n">
        <v>26770491368</v>
      </c>
    </row>
    <row r="1647">
      <c r="A1647" t="inlineStr">
        <is>
          <t>2026-01-05</t>
        </is>
      </c>
      <c r="B1647" t="n">
        <v>91414.625</v>
      </c>
      <c r="C1647" t="n">
        <v>94762.0703125</v>
      </c>
      <c r="D1647" t="n">
        <v>91414.625</v>
      </c>
      <c r="E1647" t="n">
        <v>93882.5546875</v>
      </c>
      <c r="F1647" t="n">
        <v>53376407252</v>
      </c>
    </row>
    <row r="1648">
      <c r="A1648" t="inlineStr">
        <is>
          <t>2026-01-06</t>
        </is>
      </c>
      <c r="B1648" t="n">
        <v>93876.9453125</v>
      </c>
      <c r="C1648" t="n">
        <v>94395.296875</v>
      </c>
      <c r="D1648" t="n">
        <v>91286.546875</v>
      </c>
      <c r="E1648" t="n">
        <v>93729.03125</v>
      </c>
      <c r="F1648" t="n">
        <v>52430605257</v>
      </c>
    </row>
    <row r="1649">
      <c r="A1649" t="inlineStr">
        <is>
          <t>2026-01-07</t>
        </is>
      </c>
      <c r="B1649" t="n">
        <v>93727.46875</v>
      </c>
      <c r="C1649" t="n">
        <v>93738.7890625</v>
      </c>
      <c r="D1649" t="n">
        <v>90601.8046875</v>
      </c>
      <c r="E1649" t="n">
        <v>91308.0546875</v>
      </c>
      <c r="F1649" t="n">
        <v>43461295053</v>
      </c>
    </row>
    <row r="1650">
      <c r="A1650" t="inlineStr">
        <is>
          <t>2026-01-08</t>
        </is>
      </c>
      <c r="B1650" t="n">
        <v>91309.640625</v>
      </c>
      <c r="C1650" t="n">
        <v>91485.8515625</v>
      </c>
      <c r="D1650" t="n">
        <v>89233.875</v>
      </c>
      <c r="E1650" t="n">
        <v>91027.125</v>
      </c>
      <c r="F1650" t="n">
        <v>42386697030</v>
      </c>
    </row>
    <row r="1651">
      <c r="A1651" t="inlineStr">
        <is>
          <t>2026-01-09</t>
        </is>
      </c>
      <c r="B1651" t="n">
        <v>91026.2734375</v>
      </c>
      <c r="C1651" t="n">
        <v>91910.671875</v>
      </c>
      <c r="D1651" t="n">
        <v>89625.3828125</v>
      </c>
      <c r="E1651" t="n">
        <v>90513.1015625</v>
      </c>
      <c r="F1651" t="n">
        <v>38305906684</v>
      </c>
    </row>
    <row r="1652">
      <c r="A1652" t="inlineStr">
        <is>
          <t>2026-01-10</t>
        </is>
      </c>
      <c r="B1652" t="n">
        <v>90510.1015625</v>
      </c>
      <c r="C1652" t="n">
        <v>90713.03125</v>
      </c>
      <c r="D1652" t="n">
        <v>90283.3984375</v>
      </c>
      <c r="E1652" t="n">
        <v>90386.6484375</v>
      </c>
      <c r="F1652" t="n">
        <v>12385895282</v>
      </c>
    </row>
    <row r="1653">
      <c r="A1653" t="inlineStr">
        <is>
          <t>2026-01-11</t>
        </is>
      </c>
      <c r="B1653" t="n">
        <v>90385.359375</v>
      </c>
      <c r="C1653" t="n">
        <v>91155.2265625</v>
      </c>
      <c r="D1653" t="n">
        <v>90212.0234375</v>
      </c>
      <c r="E1653" t="n">
        <v>90827.4609375</v>
      </c>
      <c r="F1653" t="n">
        <v>17165568977</v>
      </c>
    </row>
    <row r="1654">
      <c r="A1654" t="inlineStr">
        <is>
          <t>2026-01-12</t>
        </is>
      </c>
      <c r="B1654" t="n">
        <v>90825.859375</v>
      </c>
      <c r="C1654" t="n">
        <v>92395.5234375</v>
      </c>
      <c r="D1654" t="n">
        <v>90055.0234375</v>
      </c>
      <c r="E1654" t="n">
        <v>91192.9921875</v>
      </c>
      <c r="F1654" t="n">
        <v>41346275358</v>
      </c>
    </row>
    <row r="1655">
      <c r="A1655" t="inlineStr">
        <is>
          <t>2026-01-13</t>
        </is>
      </c>
      <c r="B1655" t="n">
        <v>91185.3359375</v>
      </c>
      <c r="C1655" t="n">
        <v>96011.625</v>
      </c>
      <c r="D1655" t="n">
        <v>90941.9296875</v>
      </c>
      <c r="E1655" t="n">
        <v>95321.78125</v>
      </c>
      <c r="F1655" t="n">
        <v>54980674354</v>
      </c>
    </row>
    <row r="1656">
      <c r="A1656" t="inlineStr">
        <is>
          <t>2026-01-14</t>
        </is>
      </c>
      <c r="B1656" t="n">
        <v>95322.90625</v>
      </c>
      <c r="C1656" t="n">
        <v>97860.6015625</v>
      </c>
      <c r="D1656" t="n">
        <v>94583.046875</v>
      </c>
      <c r="E1656" t="n">
        <v>96929.328125</v>
      </c>
      <c r="F1656" t="n">
        <v>60592490863</v>
      </c>
    </row>
    <row r="1657">
      <c r="A1657" t="inlineStr">
        <is>
          <t>2026-01-15</t>
        </is>
      </c>
      <c r="B1657" t="n">
        <v>96931.2890625</v>
      </c>
      <c r="C1657" t="n">
        <v>97150.171875</v>
      </c>
      <c r="D1657" t="n">
        <v>95103.2421875</v>
      </c>
      <c r="E1657" t="n">
        <v>95551.1875</v>
      </c>
      <c r="F1657" t="n">
        <v>53086363027</v>
      </c>
    </row>
    <row r="1658">
      <c r="A1658" t="inlineStr">
        <is>
          <t>2026-01-16</t>
        </is>
      </c>
      <c r="B1658" t="n">
        <v>95554.1015625</v>
      </c>
      <c r="C1658" t="n">
        <v>95801.890625</v>
      </c>
      <c r="D1658" t="n">
        <v>94259.2734375</v>
      </c>
      <c r="E1658" t="n">
        <v>95525.1171875</v>
      </c>
      <c r="F1658" t="n">
        <v>33248170537</v>
      </c>
    </row>
    <row r="1659">
      <c r="A1659" t="inlineStr">
        <is>
          <t>2026-01-17</t>
        </is>
      </c>
      <c r="B1659" t="n">
        <v>95525.15625</v>
      </c>
      <c r="C1659" t="n">
        <v>95598.4765625</v>
      </c>
      <c r="D1659" t="n">
        <v>95005.6171875</v>
      </c>
      <c r="E1659" t="n">
        <v>95099.921875</v>
      </c>
      <c r="F1659" t="n">
        <v>16021715122</v>
      </c>
    </row>
    <row r="1660">
      <c r="A1660" t="inlineStr">
        <is>
          <t>2026-01-18</t>
        </is>
      </c>
      <c r="B1660" t="n">
        <v>95101.1796875</v>
      </c>
      <c r="C1660" t="n">
        <v>95491.5078125</v>
      </c>
      <c r="D1660" t="n">
        <v>93588.8671875</v>
      </c>
      <c r="E1660" t="n">
        <v>93634.4296875</v>
      </c>
      <c r="F1660" t="n">
        <v>20809781232</v>
      </c>
    </row>
    <row r="1661">
      <c r="A1661" t="inlineStr">
        <is>
          <t>2026-01-19</t>
        </is>
      </c>
      <c r="B1661" t="n">
        <v>93655.671875</v>
      </c>
      <c r="C1661" t="n">
        <v>93660.828125</v>
      </c>
      <c r="D1661" t="n">
        <v>92089.25</v>
      </c>
      <c r="E1661" t="n">
        <v>92553.59375</v>
      </c>
      <c r="F1661" t="n">
        <v>39195241508</v>
      </c>
    </row>
    <row r="1662">
      <c r="A1662" t="inlineStr">
        <is>
          <t>2026-01-20</t>
        </is>
      </c>
      <c r="B1662" t="n">
        <v>92553.6015625</v>
      </c>
      <c r="C1662" t="n">
        <v>92798.4296875</v>
      </c>
      <c r="D1662" t="n">
        <v>87814.9296875</v>
      </c>
      <c r="E1662" t="n">
        <v>88310.90625</v>
      </c>
      <c r="F1662" t="n">
        <v>53072968031</v>
      </c>
    </row>
    <row r="1663">
      <c r="A1663" t="inlineStr">
        <is>
          <t>2026-01-21</t>
        </is>
      </c>
      <c r="B1663" t="n">
        <v>88326.5078125</v>
      </c>
      <c r="C1663" t="n">
        <v>90430.40625</v>
      </c>
      <c r="D1663" t="n">
        <v>87231.5703125</v>
      </c>
      <c r="E1663" t="n">
        <v>89376.9609375</v>
      </c>
      <c r="F1663" t="n">
        <v>56330422434</v>
      </c>
    </row>
    <row r="1664">
      <c r="A1664" t="inlineStr">
        <is>
          <t>2026-01-22</t>
        </is>
      </c>
      <c r="B1664" t="n">
        <v>89378.5234375</v>
      </c>
      <c r="C1664" t="n">
        <v>90258.9609375</v>
      </c>
      <c r="D1664" t="n">
        <v>88438.4453125</v>
      </c>
      <c r="E1664" t="n">
        <v>89462.453125</v>
      </c>
      <c r="F1664" t="n">
        <v>35549685694</v>
      </c>
    </row>
    <row r="1665">
      <c r="A1665" t="inlineStr">
        <is>
          <t>2026-01-23</t>
        </is>
      </c>
      <c r="B1665" t="n">
        <v>89462.046875</v>
      </c>
      <c r="C1665" t="n">
        <v>91100.25</v>
      </c>
      <c r="D1665" t="n">
        <v>88486.359375</v>
      </c>
      <c r="E1665" t="n">
        <v>89503.875</v>
      </c>
      <c r="F1665" t="n">
        <v>38997586037</v>
      </c>
    </row>
    <row r="1666">
      <c r="A1666" t="inlineStr">
        <is>
          <t>2026-01-24</t>
        </is>
      </c>
      <c r="B1666" t="n">
        <v>89506.1484375</v>
      </c>
      <c r="C1666" t="n">
        <v>89811.609375</v>
      </c>
      <c r="D1666" t="n">
        <v>89044.2890625</v>
      </c>
      <c r="E1666" t="n">
        <v>89110.734375</v>
      </c>
      <c r="F1666" t="n">
        <v>14558687712</v>
      </c>
    </row>
    <row r="1667">
      <c r="A1667" t="inlineStr">
        <is>
          <t>2026-01-25</t>
        </is>
      </c>
      <c r="B1667" t="n">
        <v>89104.765625</v>
      </c>
      <c r="C1667" t="n">
        <v>89193.1484375</v>
      </c>
      <c r="D1667" t="n">
        <v>86003.7109375</v>
      </c>
      <c r="E1667" t="n">
        <v>86572.21875</v>
      </c>
      <c r="F1667" t="n">
        <v>36124986722</v>
      </c>
    </row>
    <row r="1668">
      <c r="A1668" t="inlineStr">
        <is>
          <t>2026-01-26</t>
        </is>
      </c>
      <c r="B1668" t="n">
        <v>86566.5234375</v>
      </c>
      <c r="C1668" t="n">
        <v>88743.0703125</v>
      </c>
      <c r="D1668" t="n">
        <v>86429.2890625</v>
      </c>
      <c r="E1668" t="n">
        <v>88267.140625</v>
      </c>
      <c r="F1668" t="n">
        <v>45329286974</v>
      </c>
    </row>
    <row r="1669">
      <c r="A1669" t="inlineStr">
        <is>
          <t>2026-01-27</t>
        </is>
      </c>
      <c r="B1669" t="n">
        <v>88257.4765625</v>
      </c>
      <c r="C1669" t="n">
        <v>89427.125</v>
      </c>
      <c r="D1669" t="n">
        <v>87228.921875</v>
      </c>
      <c r="E1669" t="n">
        <v>89102.5703125</v>
      </c>
      <c r="F1669" t="n">
        <v>38744942267</v>
      </c>
    </row>
    <row r="1670">
      <c r="A1670" t="inlineStr">
        <is>
          <t>2026-01-28</t>
        </is>
      </c>
      <c r="B1670" t="n">
        <v>89104.046875</v>
      </c>
      <c r="C1670" t="n">
        <v>90439.2890625</v>
      </c>
      <c r="D1670" t="n">
        <v>88721.4609375</v>
      </c>
      <c r="E1670" t="n">
        <v>89184.5703125</v>
      </c>
      <c r="F1670" t="n">
        <v>39807419296</v>
      </c>
    </row>
    <row r="1671">
      <c r="A1671" t="inlineStr">
        <is>
          <t>2026-01-29</t>
        </is>
      </c>
      <c r="B1671" t="n">
        <v>89169.8515625</v>
      </c>
      <c r="C1671" t="n">
        <v>89200.78125</v>
      </c>
      <c r="D1671" t="n">
        <v>83250.6015625</v>
      </c>
      <c r="E1671" t="n">
        <v>84561.5859375</v>
      </c>
      <c r="F1671" t="n">
        <v>64653083162</v>
      </c>
    </row>
    <row r="1672">
      <c r="A1672" t="inlineStr">
        <is>
          <t>2026-01-30</t>
        </is>
      </c>
      <c r="B1672" t="n">
        <v>84562.7265625</v>
      </c>
      <c r="C1672" t="n">
        <v>84602.1640625</v>
      </c>
      <c r="D1672" t="n">
        <v>81071.4765625</v>
      </c>
      <c r="E1672" t="n">
        <v>84128.65625</v>
      </c>
      <c r="F1672" t="n">
        <v>72083816087</v>
      </c>
    </row>
    <row r="1673">
      <c r="A1673" t="inlineStr">
        <is>
          <t>2026-01-31</t>
        </is>
      </c>
      <c r="B1673" t="n">
        <v>84126.5</v>
      </c>
      <c r="C1673" t="n">
        <v>84136.921875</v>
      </c>
      <c r="D1673" t="n">
        <v>75815.8828125</v>
      </c>
      <c r="E1673" t="n">
        <v>78621.1171875</v>
      </c>
      <c r="F1673" t="n">
        <v>70479259159</v>
      </c>
    </row>
    <row r="1674">
      <c r="A1674" t="inlineStr">
        <is>
          <t>2026-02-01</t>
        </is>
      </c>
      <c r="B1674" t="n">
        <v>78626.125</v>
      </c>
      <c r="C1674" t="n">
        <v>79322.609375</v>
      </c>
      <c r="D1674" t="n">
        <v>75698.8984375</v>
      </c>
      <c r="E1674" t="n">
        <v>76974.4453125</v>
      </c>
      <c r="F1674" t="n">
        <v>53372509744</v>
      </c>
    </row>
    <row r="1675">
      <c r="A1675" t="inlineStr">
        <is>
          <t>2026-02-02</t>
        </is>
      </c>
      <c r="B1675" t="n">
        <v>76968.875</v>
      </c>
      <c r="C1675" t="n">
        <v>79258.609375</v>
      </c>
      <c r="D1675" t="n">
        <v>74551.3359375</v>
      </c>
      <c r="E1675" t="n">
        <v>78688.765625</v>
      </c>
      <c r="F1675" t="n">
        <v>75140589684</v>
      </c>
    </row>
    <row r="1676">
      <c r="A1676" t="inlineStr">
        <is>
          <t>2026-02-03</t>
        </is>
      </c>
      <c r="B1676" t="n">
        <v>78693.5078125</v>
      </c>
      <c r="C1676" t="n">
        <v>79118.8515625</v>
      </c>
      <c r="D1676" t="n">
        <v>72897.140625</v>
      </c>
      <c r="E1676" t="n">
        <v>75633.546875</v>
      </c>
      <c r="F1676" t="n">
        <v>68249110822</v>
      </c>
    </row>
    <row r="1677">
      <c r="A1677" t="inlineStr">
        <is>
          <t>2026-02-04</t>
        </is>
      </c>
      <c r="B1677" t="n">
        <v>75640.09375</v>
      </c>
      <c r="C1677" t="n">
        <v>76864.65625</v>
      </c>
      <c r="D1677" t="n">
        <v>71779.9296875</v>
      </c>
      <c r="E1677" t="n">
        <v>73019.703125</v>
      </c>
      <c r="F1677" t="n">
        <v>67215363944</v>
      </c>
    </row>
    <row r="1678">
      <c r="A1678" t="inlineStr">
        <is>
          <t>2026-02-05</t>
        </is>
      </c>
      <c r="B1678" t="n">
        <v>73016.375</v>
      </c>
      <c r="C1678" t="n">
        <v>73161.5546875</v>
      </c>
      <c r="D1678" t="n">
        <v>62353.53515625</v>
      </c>
      <c r="E1678" t="n">
        <v>62702.09765625</v>
      </c>
      <c r="F1678" t="n">
        <v>125509410908</v>
      </c>
    </row>
    <row r="1679">
      <c r="A1679" t="inlineStr">
        <is>
          <t>2026-02-06</t>
        </is>
      </c>
      <c r="B1679" t="n">
        <v>62704.453125</v>
      </c>
      <c r="C1679" t="n">
        <v>71681.3046875</v>
      </c>
      <c r="D1679" t="n">
        <v>60074.203125</v>
      </c>
      <c r="E1679" t="n">
        <v>70555.390625</v>
      </c>
      <c r="F1679" t="n">
        <v>114674259489</v>
      </c>
    </row>
    <row r="1680">
      <c r="A1680" t="inlineStr">
        <is>
          <t>2026-02-07</t>
        </is>
      </c>
      <c r="B1680" t="n">
        <v>70553.796875</v>
      </c>
      <c r="C1680" t="n">
        <v>71611.1484375</v>
      </c>
      <c r="D1680" t="n">
        <v>67364.4453125</v>
      </c>
      <c r="E1680" t="n">
        <v>69281.96875</v>
      </c>
      <c r="F1680" t="n">
        <v>62347107663</v>
      </c>
    </row>
    <row r="1681">
      <c r="A1681" t="inlineStr">
        <is>
          <t>2026-02-08</t>
        </is>
      </c>
      <c r="B1681" t="n">
        <v>69283.7265625</v>
      </c>
      <c r="C1681" t="n">
        <v>72206.90625</v>
      </c>
      <c r="D1681" t="n">
        <v>68852.8984375</v>
      </c>
      <c r="E1681" t="n">
        <v>70264.7265625</v>
      </c>
      <c r="F1681" t="n">
        <v>39721722619</v>
      </c>
    </row>
    <row r="1682">
      <c r="A1682" t="inlineStr">
        <is>
          <t>2026-02-09</t>
        </is>
      </c>
      <c r="B1682" t="n">
        <v>70243.328125</v>
      </c>
      <c r="C1682" t="n">
        <v>71369.96875</v>
      </c>
      <c r="D1682" t="n">
        <v>68291.03125</v>
      </c>
      <c r="E1682" t="n">
        <v>70120.78125</v>
      </c>
      <c r="F1682" t="n">
        <v>52081598792</v>
      </c>
    </row>
    <row r="1683">
      <c r="A1683" t="inlineStr">
        <is>
          <t>2026-02-10</t>
        </is>
      </c>
      <c r="B1683" t="n">
        <v>70137.390625</v>
      </c>
      <c r="C1683" t="n">
        <v>70464.265625</v>
      </c>
      <c r="D1683" t="n">
        <v>67913.09375</v>
      </c>
      <c r="E1683" t="n">
        <v>68793.9609375</v>
      </c>
      <c r="F1683" t="n">
        <v>40593063077</v>
      </c>
    </row>
    <row r="1684">
      <c r="A1684" t="inlineStr">
        <is>
          <t>2026-02-11</t>
        </is>
      </c>
      <c r="B1684" t="n">
        <v>68791.859375</v>
      </c>
      <c r="C1684" t="n">
        <v>69242.6796875</v>
      </c>
      <c r="D1684" t="n">
        <v>65757.3046875</v>
      </c>
      <c r="E1684" t="n">
        <v>66991.96875</v>
      </c>
      <c r="F1684" t="n">
        <v>49671946030</v>
      </c>
    </row>
    <row r="1685">
      <c r="A1685" t="inlineStr">
        <is>
          <t>2026-02-12</t>
        </is>
      </c>
      <c r="B1685" t="n">
        <v>66992.1953125</v>
      </c>
      <c r="C1685" t="n">
        <v>68339.4921875</v>
      </c>
      <c r="D1685" t="n">
        <v>65092.109375</v>
      </c>
      <c r="E1685" t="n">
        <v>66221.84375</v>
      </c>
      <c r="F1685" t="n">
        <v>44651071271</v>
      </c>
    </row>
    <row r="1686">
      <c r="A1686" t="inlineStr">
        <is>
          <t>2026-02-13</t>
        </is>
      </c>
      <c r="B1686" t="n">
        <v>66213.375</v>
      </c>
      <c r="C1686" t="n">
        <v>69382.8359375</v>
      </c>
      <c r="D1686" t="n">
        <v>65835.78125</v>
      </c>
      <c r="E1686" t="n">
        <v>68857.84375</v>
      </c>
      <c r="F1686" t="n">
        <v>40820775886</v>
      </c>
    </row>
    <row r="1687">
      <c r="A1687" t="inlineStr">
        <is>
          <t>2026-02-14</t>
        </is>
      </c>
      <c r="B1687" t="n">
        <v>68856.984375</v>
      </c>
      <c r="C1687" t="n">
        <v>70481.1640625</v>
      </c>
      <c r="D1687" t="n">
        <v>68706.6171875</v>
      </c>
      <c r="E1687" t="n">
        <v>69767.625</v>
      </c>
      <c r="F1687" t="n">
        <v>36012397645</v>
      </c>
    </row>
    <row r="1688">
      <c r="A1688" t="inlineStr">
        <is>
          <t>2026-02-15</t>
        </is>
      </c>
      <c r="B1688" t="n">
        <v>69764.953125</v>
      </c>
      <c r="C1688" t="n">
        <v>70939.2890625</v>
      </c>
      <c r="D1688" t="n">
        <v>68052.546875</v>
      </c>
      <c r="E1688" t="n">
        <v>68788.1875</v>
      </c>
      <c r="F1688" t="n">
        <v>40191152750</v>
      </c>
    </row>
    <row r="1689">
      <c r="A1689" t="inlineStr">
        <is>
          <t>2026-02-16</t>
        </is>
      </c>
      <c r="B1689" t="n">
        <v>68782.3984375</v>
      </c>
      <c r="C1689" t="n">
        <v>70067.234375</v>
      </c>
      <c r="D1689" t="n">
        <v>67301.5859375</v>
      </c>
      <c r="E1689" t="n">
        <v>68843.15625</v>
      </c>
      <c r="F1689" t="n">
        <v>33618145426</v>
      </c>
    </row>
    <row r="1690">
      <c r="A1690" t="inlineStr">
        <is>
          <t>2026-02-17</t>
        </is>
      </c>
      <c r="B1690" t="n">
        <v>68843.09375</v>
      </c>
      <c r="C1690" t="n">
        <v>69201.8671875</v>
      </c>
      <c r="D1690" t="n">
        <v>66615.28125</v>
      </c>
      <c r="E1690" t="n">
        <v>67494.21875</v>
      </c>
      <c r="F1690" t="n">
        <v>34866936040</v>
      </c>
    </row>
    <row r="1691">
      <c r="A1691" t="inlineStr">
        <is>
          <t>2026-02-18</t>
        </is>
      </c>
      <c r="B1691" t="n">
        <v>67488.0234375</v>
      </c>
      <c r="C1691" t="n">
        <v>68434.4296875</v>
      </c>
      <c r="D1691" t="n">
        <v>65845.8984375</v>
      </c>
      <c r="E1691" t="n">
        <v>66425.3203125</v>
      </c>
      <c r="F1691" t="n">
        <v>33094301643</v>
      </c>
    </row>
    <row r="1692">
      <c r="A1692" t="inlineStr">
        <is>
          <t>2026-02-19</t>
        </is>
      </c>
      <c r="B1692" t="n">
        <v>66425.625</v>
      </c>
      <c r="C1692" t="n">
        <v>67277.125</v>
      </c>
      <c r="D1692" t="n">
        <v>65637.4296875</v>
      </c>
      <c r="E1692" t="n">
        <v>66957.5234375</v>
      </c>
      <c r="F1692" t="n">
        <v>31492987019</v>
      </c>
    </row>
    <row r="1693">
      <c r="A1693" t="inlineStr">
        <is>
          <t>2026-02-20</t>
        </is>
      </c>
      <c r="B1693" t="n">
        <v>66958.578125</v>
      </c>
      <c r="C1693" t="n">
        <v>68269.03125</v>
      </c>
      <c r="D1693" t="n">
        <v>66452.484375</v>
      </c>
      <c r="E1693" t="n">
        <v>68005.421875</v>
      </c>
      <c r="F1693" t="n">
        <v>47507867304</v>
      </c>
    </row>
    <row r="1694">
      <c r="A1694" t="inlineStr">
        <is>
          <t>2026-02-21</t>
        </is>
      </c>
      <c r="B1694" t="n">
        <v>68000.25</v>
      </c>
      <c r="C1694" t="n">
        <v>68657.703125</v>
      </c>
      <c r="D1694" t="n">
        <v>67533.0703125</v>
      </c>
      <c r="E1694" t="n">
        <v>68003.765625</v>
      </c>
      <c r="F1694" t="n">
        <v>18357635642</v>
      </c>
    </row>
    <row r="1695">
      <c r="A1695" t="inlineStr">
        <is>
          <t>2026-02-22</t>
        </is>
      </c>
      <c r="B1695" t="n">
        <v>67998.828125</v>
      </c>
      <c r="C1695" t="n">
        <v>68235.2265625</v>
      </c>
      <c r="D1695" t="n">
        <v>67185.6015625</v>
      </c>
      <c r="E1695" t="n">
        <v>67659.390625</v>
      </c>
      <c r="F1695" t="n">
        <v>17893536012</v>
      </c>
    </row>
    <row r="1696">
      <c r="A1696" t="inlineStr">
        <is>
          <t>2026-02-23</t>
        </is>
      </c>
      <c r="B1696" t="n">
        <v>67668.4296875</v>
      </c>
      <c r="C1696" t="n">
        <v>67668.4296875</v>
      </c>
      <c r="D1696" t="n">
        <v>63924.4375</v>
      </c>
      <c r="E1696" t="n">
        <v>64616.73828125</v>
      </c>
      <c r="F1696" t="n">
        <v>50953457309</v>
      </c>
    </row>
    <row r="1697">
      <c r="A1697" t="inlineStr">
        <is>
          <t>2026-02-24</t>
        </is>
      </c>
      <c r="B1697" t="n">
        <v>64616.015625</v>
      </c>
      <c r="C1697" t="n">
        <v>64992.15625</v>
      </c>
      <c r="D1697" t="n">
        <v>62553.1875</v>
      </c>
      <c r="E1697" t="n">
        <v>64080.04296875</v>
      </c>
      <c r="F1697" t="n">
        <v>40849331086</v>
      </c>
    </row>
    <row r="1698">
      <c r="A1698" t="inlineStr">
        <is>
          <t>2026-02-25</t>
        </is>
      </c>
      <c r="B1698" t="n">
        <v>64077.76953125</v>
      </c>
      <c r="C1698" t="n">
        <v>69953.53125</v>
      </c>
      <c r="D1698" t="n">
        <v>63942.484375</v>
      </c>
      <c r="E1698" t="n">
        <v>67960.125</v>
      </c>
      <c r="F1698" t="n">
        <v>53629234355</v>
      </c>
    </row>
    <row r="1699">
      <c r="A1699" t="inlineStr">
        <is>
          <t>2026-02-26</t>
        </is>
      </c>
      <c r="B1699" t="n">
        <v>67954.8671875</v>
      </c>
      <c r="C1699" t="n">
        <v>68843.3515625</v>
      </c>
      <c r="D1699" t="n">
        <v>66523.734375</v>
      </c>
      <c r="E1699" t="n">
        <v>67453.7734375</v>
      </c>
      <c r="F1699" t="n">
        <v>42988597523</v>
      </c>
    </row>
    <row r="1700">
      <c r="A1700" t="inlineStr">
        <is>
          <t>2026-02-27</t>
        </is>
      </c>
      <c r="B1700" t="n">
        <v>67456.515625</v>
      </c>
      <c r="C1700" t="n">
        <v>68220.40625</v>
      </c>
      <c r="D1700" t="n">
        <v>64946.03515625</v>
      </c>
      <c r="E1700" t="n">
        <v>65881.796875</v>
      </c>
      <c r="F1700" t="n">
        <v>40283655942</v>
      </c>
    </row>
    <row r="1701">
      <c r="A1701" t="inlineStr">
        <is>
          <t>2026-02-28</t>
        </is>
      </c>
      <c r="B1701" t="n">
        <v>65878.9296875</v>
      </c>
      <c r="C1701" t="n">
        <v>67714.5234375</v>
      </c>
      <c r="D1701" t="n">
        <v>63062.21875</v>
      </c>
      <c r="E1701" t="n">
        <v>66995.859375</v>
      </c>
      <c r="F1701" t="n">
        <v>42041497112</v>
      </c>
    </row>
    <row r="1702">
      <c r="A1702" t="inlineStr">
        <is>
          <t>2026-03-01</t>
        </is>
      </c>
      <c r="B1702" t="n">
        <v>67005.8828125</v>
      </c>
      <c r="C1702" t="n">
        <v>68162.8203125</v>
      </c>
      <c r="D1702" t="n">
        <v>65076.73046875</v>
      </c>
      <c r="E1702" t="n">
        <v>65738.1015625</v>
      </c>
      <c r="F1702" t="n">
        <v>40733141929</v>
      </c>
    </row>
    <row r="1703">
      <c r="A1703" t="inlineStr">
        <is>
          <t>2026-03-02</t>
        </is>
      </c>
      <c r="B1703" t="n">
        <v>65734.078125</v>
      </c>
      <c r="C1703" t="n">
        <v>70044</v>
      </c>
      <c r="D1703" t="n">
        <v>65303.13671875</v>
      </c>
      <c r="E1703" t="n">
        <v>68775.8515625</v>
      </c>
      <c r="F1703" t="n">
        <v>56698092052</v>
      </c>
    </row>
    <row r="1704">
      <c r="A1704" t="inlineStr">
        <is>
          <t>2026-03-03</t>
        </is>
      </c>
      <c r="B1704" t="n">
        <v>68785.078125</v>
      </c>
      <c r="C1704" t="n">
        <v>69232.890625</v>
      </c>
      <c r="D1704" t="n">
        <v>66237.6171875</v>
      </c>
      <c r="E1704" t="n">
        <v>68293.6484375</v>
      </c>
      <c r="F1704" t="n">
        <v>47947999049</v>
      </c>
    </row>
    <row r="1705">
      <c r="A1705" t="inlineStr">
        <is>
          <t>2026-03-04</t>
        </is>
      </c>
      <c r="B1705" t="n">
        <v>68290.5625</v>
      </c>
      <c r="C1705" t="n">
        <v>74051.8046875</v>
      </c>
      <c r="D1705" t="n">
        <v>67437.40625</v>
      </c>
      <c r="E1705" t="n">
        <v>72710.578125</v>
      </c>
      <c r="F1705" t="n">
        <v>75073101274</v>
      </c>
    </row>
    <row r="1706">
      <c r="A1706" t="inlineStr">
        <is>
          <t>2026-03-05</t>
        </is>
      </c>
      <c r="B1706" t="n">
        <v>72712.65625</v>
      </c>
      <c r="C1706" t="n">
        <v>73555.7890625</v>
      </c>
      <c r="D1706" t="n">
        <v>70654.8828125</v>
      </c>
      <c r="E1706" t="n">
        <v>70841.125</v>
      </c>
      <c r="F1706" t="n">
        <v>51172841727</v>
      </c>
    </row>
    <row r="1707">
      <c r="A1707" t="inlineStr">
        <is>
          <t>2026-03-06</t>
        </is>
      </c>
      <c r="B1707" t="n">
        <v>70842.15625</v>
      </c>
      <c r="C1707" t="n">
        <v>71378.5703125</v>
      </c>
      <c r="D1707" t="n">
        <v>67757.8203125</v>
      </c>
      <c r="E1707" t="n">
        <v>68136.4921875</v>
      </c>
      <c r="F1707" t="n">
        <v>43776962871</v>
      </c>
    </row>
    <row r="1708">
      <c r="A1708" t="inlineStr">
        <is>
          <t>2026-03-07</t>
        </is>
      </c>
      <c r="B1708" t="n">
        <v>68136.6875</v>
      </c>
      <c r="C1708" t="n">
        <v>68515.1640625</v>
      </c>
      <c r="D1708" t="n">
        <v>66969.2578125</v>
      </c>
      <c r="E1708" t="n">
        <v>67272.59375</v>
      </c>
      <c r="F1708" t="n">
        <v>23258701211</v>
      </c>
    </row>
    <row r="1709">
      <c r="A1709" t="inlineStr">
        <is>
          <t>2026-03-08</t>
        </is>
      </c>
      <c r="B1709" t="n">
        <v>67272.5</v>
      </c>
      <c r="C1709" t="n">
        <v>68177.7890625</v>
      </c>
      <c r="D1709" t="n">
        <v>65639.1953125</v>
      </c>
      <c r="E1709" t="n">
        <v>65969.78125</v>
      </c>
      <c r="F1709" t="n">
        <v>33195080116</v>
      </c>
    </row>
    <row r="1710">
      <c r="A1710" t="inlineStr">
        <is>
          <t>2026-03-09</t>
        </is>
      </c>
      <c r="B1710" t="n">
        <v>65969.5859375</v>
      </c>
      <c r="C1710" t="n">
        <v>69474.9453125</v>
      </c>
      <c r="D1710" t="n">
        <v>65858.0078125</v>
      </c>
      <c r="E1710" t="n">
        <v>68402.3828125</v>
      </c>
      <c r="F1710" t="n">
        <v>49499875378</v>
      </c>
    </row>
    <row r="1711">
      <c r="A1711" t="inlineStr">
        <is>
          <t>2026-03-10</t>
        </is>
      </c>
      <c r="B1711" t="n">
        <v>68402.71875</v>
      </c>
      <c r="C1711" t="n">
        <v>71770.8984375</v>
      </c>
      <c r="D1711" t="n">
        <v>68402.71875</v>
      </c>
      <c r="E1711" t="n">
        <v>69926.921875</v>
      </c>
      <c r="F1711" t="n">
        <v>54003996096</v>
      </c>
    </row>
    <row r="1712">
      <c r="A1712" t="inlineStr">
        <is>
          <t>2026-03-11</t>
        </is>
      </c>
      <c r="B1712" t="n">
        <v>69931.25</v>
      </c>
      <c r="C1712" t="n">
        <v>71337.6640625</v>
      </c>
      <c r="D1712" t="n">
        <v>68998.8671875</v>
      </c>
      <c r="E1712" t="n">
        <v>70204.8828125</v>
      </c>
      <c r="F1712" t="n">
        <v>45236859848</v>
      </c>
    </row>
    <row r="1713">
      <c r="A1713" t="inlineStr">
        <is>
          <t>2026-03-12</t>
        </is>
      </c>
      <c r="B1713" t="n">
        <v>70209.765625</v>
      </c>
      <c r="C1713" t="n">
        <v>70775.828125</v>
      </c>
      <c r="D1713" t="n">
        <v>69230.15625</v>
      </c>
      <c r="E1713" t="n">
        <v>70493.4609375</v>
      </c>
      <c r="F1713" t="n">
        <v>40871848129</v>
      </c>
    </row>
    <row r="1714">
      <c r="A1714" t="inlineStr">
        <is>
          <t>2026-03-13</t>
        </is>
      </c>
      <c r="B1714" t="n">
        <v>70497.046875</v>
      </c>
      <c r="C1714" t="n">
        <v>73927.328125</v>
      </c>
      <c r="D1714" t="n">
        <v>70410.7265625</v>
      </c>
      <c r="E1714" t="n">
        <v>70968.265625</v>
      </c>
      <c r="F1714" t="n">
        <v>61167226505</v>
      </c>
    </row>
    <row r="1715">
      <c r="A1715" t="inlineStr">
        <is>
          <t>2026-03-14</t>
        </is>
      </c>
      <c r="B1715" t="n">
        <v>70965.3828125</v>
      </c>
      <c r="C1715" t="n">
        <v>71291.203125</v>
      </c>
      <c r="D1715" t="n">
        <v>70339.5859375</v>
      </c>
      <c r="E1715" t="n">
        <v>71214.625</v>
      </c>
      <c r="F1715" t="n">
        <v>22283546496</v>
      </c>
    </row>
    <row r="1716">
      <c r="A1716" t="inlineStr">
        <is>
          <t>2026-03-15</t>
        </is>
      </c>
      <c r="B1716" t="n">
        <v>71213.6796875</v>
      </c>
      <c r="C1716" t="n">
        <v>73173.0078125</v>
      </c>
      <c r="D1716" t="n">
        <v>70882.421875</v>
      </c>
      <c r="E1716" t="n">
        <v>72789.9140625</v>
      </c>
      <c r="F1716" t="n">
        <v>27991268669</v>
      </c>
    </row>
    <row r="1717">
      <c r="A1717" t="inlineStr">
        <is>
          <t>2026-03-16</t>
        </is>
      </c>
      <c r="B1717" t="n">
        <v>72798.171875</v>
      </c>
      <c r="C1717" t="n">
        <v>74901.859375</v>
      </c>
      <c r="D1717" t="n">
        <v>72300.6328125</v>
      </c>
      <c r="E1717" t="n">
        <v>74861.0859375</v>
      </c>
      <c r="F1717" t="n">
        <v>55572438409</v>
      </c>
    </row>
    <row r="1718">
      <c r="A1718" t="inlineStr">
        <is>
          <t>2026-03-17</t>
        </is>
      </c>
      <c r="B1718" t="n">
        <v>74855.296875</v>
      </c>
      <c r="C1718" t="n">
        <v>75988.3984375</v>
      </c>
      <c r="D1718" t="n">
        <v>73444.2265625</v>
      </c>
      <c r="E1718" t="n">
        <v>73922.4765625</v>
      </c>
      <c r="F1718" t="n">
        <v>49500721728</v>
      </c>
    </row>
    <row r="1719">
      <c r="A1719" t="inlineStr">
        <is>
          <t>2026-03-18</t>
        </is>
      </c>
      <c r="B1719" t="n">
        <v>73936.8515625</v>
      </c>
      <c r="C1719" t="n">
        <v>74658.9765625</v>
      </c>
      <c r="D1719" t="n">
        <v>70503.859375</v>
      </c>
      <c r="E1719" t="n">
        <v>71245.578125</v>
      </c>
      <c r="F1719" t="n">
        <v>46229011155</v>
      </c>
    </row>
    <row r="1720">
      <c r="A1720" t="inlineStr">
        <is>
          <t>2026-03-19</t>
        </is>
      </c>
      <c r="B1720" t="n">
        <v>71250.3515625</v>
      </c>
      <c r="C1720" t="n">
        <v>71598.84375</v>
      </c>
      <c r="D1720" t="n">
        <v>68805.5234375</v>
      </c>
      <c r="E1720" t="n">
        <v>69912.7890625</v>
      </c>
      <c r="F1720" t="n">
        <v>44631433398</v>
      </c>
    </row>
    <row r="1721">
      <c r="A1721" t="inlineStr">
        <is>
          <t>2026-03-20</t>
        </is>
      </c>
      <c r="B1721" t="n">
        <v>69911.53125</v>
      </c>
      <c r="C1721" t="n">
        <v>71346.796875</v>
      </c>
      <c r="D1721" t="n">
        <v>69398.8828125</v>
      </c>
      <c r="E1721" t="n">
        <v>70522.5859375</v>
      </c>
      <c r="F1721" t="n">
        <v>38299078407</v>
      </c>
    </row>
    <row r="1722">
      <c r="A1722" t="inlineStr">
        <is>
          <t>2026-03-21</t>
        </is>
      </c>
      <c r="B1722" t="n">
        <v>70522.46875</v>
      </c>
      <c r="C1722" t="n">
        <v>71051.2734375</v>
      </c>
      <c r="D1722" t="n">
        <v>68602.9140625</v>
      </c>
      <c r="E1722" t="n">
        <v>68711.5234375</v>
      </c>
      <c r="F1722" t="n">
        <v>21109354718</v>
      </c>
    </row>
    <row r="1723">
      <c r="A1723" t="inlineStr">
        <is>
          <t>2026-03-22</t>
        </is>
      </c>
      <c r="B1723" t="n">
        <v>68737.4453125</v>
      </c>
      <c r="C1723" t="n">
        <v>69561.7734375</v>
      </c>
      <c r="D1723" t="n">
        <v>67372.875</v>
      </c>
      <c r="E1723" t="n">
        <v>67845.2109375</v>
      </c>
      <c r="F1723" t="n">
        <v>30108051508</v>
      </c>
    </row>
    <row r="1724">
      <c r="A1724" t="inlineStr">
        <is>
          <t>2026-03-23</t>
        </is>
      </c>
      <c r="B1724" t="n">
        <v>67843</v>
      </c>
      <c r="C1724" t="n">
        <v>71782.2578125</v>
      </c>
      <c r="D1724" t="n">
        <v>67458.84375</v>
      </c>
      <c r="E1724" t="n">
        <v>70914.859375</v>
      </c>
      <c r="F1724" t="n">
        <v>51508669357</v>
      </c>
    </row>
    <row r="1725">
      <c r="A1725" t="inlineStr">
        <is>
          <t>2026-03-24</t>
        </is>
      </c>
      <c r="B1725" t="n">
        <v>70912.671875</v>
      </c>
      <c r="C1725" t="n">
        <v>71371.3046875</v>
      </c>
      <c r="D1725" t="n">
        <v>68920.6953125</v>
      </c>
      <c r="E1725" t="n">
        <v>70517.859375</v>
      </c>
      <c r="F1725" t="n">
        <v>40181522399</v>
      </c>
    </row>
    <row r="1726">
      <c r="A1726" t="inlineStr">
        <is>
          <t>2026-03-25</t>
        </is>
      </c>
      <c r="B1726" t="n">
        <v>70520.046875</v>
      </c>
      <c r="C1726" t="n">
        <v>71985.7421875</v>
      </c>
      <c r="D1726" t="n">
        <v>70383.59375</v>
      </c>
      <c r="E1726" t="n">
        <v>71309.8828125</v>
      </c>
      <c r="F1726" t="n">
        <v>35409791747</v>
      </c>
    </row>
    <row r="1727">
      <c r="A1727" t="inlineStr">
        <is>
          <t>2026-03-26</t>
        </is>
      </c>
      <c r="B1727" t="n">
        <v>71310.1171875</v>
      </c>
      <c r="C1727" t="n">
        <v>71410.390625</v>
      </c>
      <c r="D1727" t="n">
        <v>68118.3515625</v>
      </c>
      <c r="E1727" t="n">
        <v>68791.625</v>
      </c>
      <c r="F1727" t="n">
        <v>38962070215</v>
      </c>
    </row>
    <row r="1728">
      <c r="A1728" t="inlineStr">
        <is>
          <t>2026-03-27</t>
        </is>
      </c>
      <c r="B1728" t="n">
        <v>68790.8359375</v>
      </c>
      <c r="C1728" t="n">
        <v>69117.53125</v>
      </c>
      <c r="D1728" t="n">
        <v>65532.5703125</v>
      </c>
      <c r="E1728" t="n">
        <v>66338.375</v>
      </c>
      <c r="F1728" t="n">
        <v>46483453594</v>
      </c>
    </row>
    <row r="1729">
      <c r="A1729" t="inlineStr">
        <is>
          <t>2026-03-28</t>
        </is>
      </c>
      <c r="B1729" t="n">
        <v>66338.5</v>
      </c>
      <c r="C1729" t="n">
        <v>67232.859375</v>
      </c>
      <c r="D1729" t="n">
        <v>65906.7421875</v>
      </c>
      <c r="E1729" t="n">
        <v>66319.6953125</v>
      </c>
      <c r="F1729" t="n">
        <v>20924883455</v>
      </c>
    </row>
    <row r="1730">
      <c r="A1730" t="inlineStr">
        <is>
          <t>2026-03-29</t>
        </is>
      </c>
      <c r="B1730" t="n">
        <v>66319.6953125</v>
      </c>
      <c r="C1730" t="n">
        <v>67052.953125</v>
      </c>
      <c r="D1730" t="n">
        <v>64971.70703125</v>
      </c>
      <c r="E1730" t="n">
        <v>65954.921875</v>
      </c>
      <c r="F1730" t="n">
        <v>21645889785</v>
      </c>
    </row>
    <row r="1731">
      <c r="A1731" t="inlineStr">
        <is>
          <t>2026-03-30</t>
        </is>
      </c>
      <c r="B1731" t="n">
        <v>65958.3515625</v>
      </c>
      <c r="C1731" t="n">
        <v>68087.2890625</v>
      </c>
      <c r="D1731" t="n">
        <v>65759.8046875</v>
      </c>
      <c r="E1731" t="n">
        <v>66691.4453125</v>
      </c>
      <c r="F1731" t="n">
        <v>37694994180</v>
      </c>
    </row>
    <row r="1732">
      <c r="A1732" t="inlineStr">
        <is>
          <t>2026-03-31</t>
        </is>
      </c>
      <c r="B1732" t="n">
        <v>66694.5859375</v>
      </c>
      <c r="C1732" t="n">
        <v>68495.2734375</v>
      </c>
      <c r="D1732" t="n">
        <v>65950.4375</v>
      </c>
      <c r="E1732" t="n">
        <v>68233.3125</v>
      </c>
      <c r="F1732" t="n">
        <v>42997691338</v>
      </c>
    </row>
    <row r="1733">
      <c r="A1733" t="inlineStr">
        <is>
          <t>2026-04-01</t>
        </is>
      </c>
      <c r="B1733" t="n">
        <v>68232.890625</v>
      </c>
      <c r="C1733" t="n">
        <v>69230.359375</v>
      </c>
      <c r="D1733" t="n">
        <v>67555.359375</v>
      </c>
      <c r="E1733" t="n">
        <v>68078.5546875</v>
      </c>
      <c r="F1733" t="n">
        <v>36465393617</v>
      </c>
    </row>
    <row r="1734">
      <c r="A1734" t="inlineStr">
        <is>
          <t>2026-04-02</t>
        </is>
      </c>
      <c r="B1734" t="n">
        <v>68077.8984375</v>
      </c>
      <c r="C1734" t="n">
        <v>68633.1484375</v>
      </c>
      <c r="D1734" t="n">
        <v>65725.2578125</v>
      </c>
      <c r="E1734" t="n">
        <v>66888.5703125</v>
      </c>
      <c r="F1734" t="n">
        <v>39323384518</v>
      </c>
    </row>
    <row r="1735">
      <c r="A1735" t="inlineStr">
        <is>
          <t>2026-04-03</t>
        </is>
      </c>
      <c r="B1735" t="n">
        <v>66889.015625</v>
      </c>
      <c r="C1735" t="n">
        <v>67296.234375</v>
      </c>
      <c r="D1735" t="n">
        <v>66281.5390625</v>
      </c>
      <c r="E1735" t="n">
        <v>66931.1015625</v>
      </c>
      <c r="F1735" t="n">
        <v>22815543346</v>
      </c>
    </row>
    <row r="1736">
      <c r="A1736" t="inlineStr">
        <is>
          <t>2026-04-04</t>
        </is>
      </c>
      <c r="B1736" t="n">
        <v>66938.6484375</v>
      </c>
      <c r="C1736" t="n">
        <v>67515.015625</v>
      </c>
      <c r="D1736" t="n">
        <v>66769.640625</v>
      </c>
      <c r="E1736" t="n">
        <v>67290.515625</v>
      </c>
      <c r="F1736" t="n">
        <v>15878814963</v>
      </c>
    </row>
    <row r="1737">
      <c r="A1737" t="inlineStr">
        <is>
          <t>2026-04-05</t>
        </is>
      </c>
      <c r="B1737" t="n">
        <v>67291.1953125</v>
      </c>
      <c r="C1737" t="n">
        <v>69087.65625</v>
      </c>
      <c r="D1737" t="n">
        <v>66610.6328125</v>
      </c>
      <c r="E1737" t="n">
        <v>68981.8984375</v>
      </c>
      <c r="F1737" t="n">
        <v>22972648674</v>
      </c>
    </row>
    <row r="1738">
      <c r="A1738" t="inlineStr">
        <is>
          <t>2026-04-06</t>
        </is>
      </c>
      <c r="B1738" t="n">
        <v>68982.9140625</v>
      </c>
      <c r="C1738" t="n">
        <v>70305.421875</v>
      </c>
      <c r="D1738" t="n">
        <v>68347.078125</v>
      </c>
      <c r="E1738" t="n">
        <v>68859.828125</v>
      </c>
      <c r="F1738" t="n">
        <v>39542143229</v>
      </c>
    </row>
    <row r="1739">
      <c r="A1739" t="inlineStr">
        <is>
          <t>2026-04-07</t>
        </is>
      </c>
      <c r="B1739" t="n">
        <v>68859.375</v>
      </c>
      <c r="C1739" t="n">
        <v>72732.4296875</v>
      </c>
      <c r="D1739" t="n">
        <v>67740.5078125</v>
      </c>
      <c r="E1739" t="n">
        <v>71940.703125</v>
      </c>
      <c r="F1739" t="n">
        <v>44650511480</v>
      </c>
    </row>
    <row r="1740">
      <c r="A1740" t="inlineStr">
        <is>
          <t>2026-04-08</t>
        </is>
      </c>
      <c r="B1740" t="n">
        <v>71950.1484375</v>
      </c>
      <c r="C1740" t="n">
        <v>72825.1875</v>
      </c>
      <c r="D1740" t="n">
        <v>70707.46875</v>
      </c>
      <c r="E1740" t="n">
        <v>71123.359375</v>
      </c>
      <c r="F1740" t="n">
        <v>42444631703</v>
      </c>
    </row>
    <row r="1741">
      <c r="A1741" t="inlineStr">
        <is>
          <t>2026-04-09</t>
        </is>
      </c>
      <c r="B1741" t="n">
        <v>71120.5703125</v>
      </c>
      <c r="C1741" t="n">
        <v>73107.265625</v>
      </c>
      <c r="D1741" t="n">
        <v>70486.359375</v>
      </c>
      <c r="E1741" t="n">
        <v>71767.828125</v>
      </c>
      <c r="F1741" t="n">
        <v>38799581473</v>
      </c>
    </row>
    <row r="1742">
      <c r="A1742" t="inlineStr">
        <is>
          <t>2026-04-10</t>
        </is>
      </c>
      <c r="B1742" t="n">
        <v>71774.3671875</v>
      </c>
      <c r="C1742" t="n">
        <v>73440.1171875</v>
      </c>
      <c r="D1742" t="n">
        <v>71434.828125</v>
      </c>
      <c r="E1742" t="n">
        <v>72979.046875</v>
      </c>
      <c r="F1742" t="n">
        <v>37722595732</v>
      </c>
    </row>
    <row r="1743">
      <c r="A1743" t="inlineStr">
        <is>
          <t>2026-04-11</t>
        </is>
      </c>
      <c r="B1743" t="n">
        <v>72976.125</v>
      </c>
      <c r="C1743" t="n">
        <v>73784.234375</v>
      </c>
      <c r="D1743" t="n">
        <v>72556.3359375</v>
      </c>
      <c r="E1743" t="n">
        <v>73054.2734375</v>
      </c>
      <c r="F1743" t="n">
        <v>23287073965</v>
      </c>
    </row>
    <row r="1744">
      <c r="A1744" t="inlineStr">
        <is>
          <t>2026-04-12</t>
        </is>
      </c>
      <c r="B1744" t="n">
        <v>73056.046875</v>
      </c>
      <c r="C1744" t="n">
        <v>73154.03125</v>
      </c>
      <c r="D1744" t="n">
        <v>70540.5703125</v>
      </c>
      <c r="E1744" t="n">
        <v>70753.40625</v>
      </c>
      <c r="F1744" t="n">
        <v>29882740487</v>
      </c>
    </row>
    <row r="1745">
      <c r="A1745" t="inlineStr">
        <is>
          <t>2026-04-13</t>
        </is>
      </c>
      <c r="B1745" t="n">
        <v>70757.6171875</v>
      </c>
      <c r="C1745" t="n">
        <v>74896.3125</v>
      </c>
      <c r="D1745" t="n">
        <v>70588.5234375</v>
      </c>
      <c r="E1745" t="n">
        <v>74484.640625</v>
      </c>
      <c r="F1745" t="n">
        <v>52278211554</v>
      </c>
    </row>
    <row r="1746">
      <c r="A1746" t="inlineStr">
        <is>
          <t>2026-04-14</t>
        </is>
      </c>
      <c r="B1746" t="n">
        <v>74478.3984375</v>
      </c>
      <c r="C1746" t="n">
        <v>76061.7578125</v>
      </c>
      <c r="D1746" t="n">
        <v>73877.203125</v>
      </c>
      <c r="E1746" t="n">
        <v>74181.609375</v>
      </c>
      <c r="F1746" t="n">
        <v>53540826530</v>
      </c>
    </row>
    <row r="1747">
      <c r="A1747" t="inlineStr">
        <is>
          <t>2026-04-15</t>
        </is>
      </c>
      <c r="B1747" t="n">
        <v>74182.0234375</v>
      </c>
      <c r="C1747" t="n">
        <v>75409.2734375</v>
      </c>
      <c r="D1747" t="n">
        <v>73549.203125</v>
      </c>
      <c r="E1747" t="n">
        <v>74805.078125</v>
      </c>
      <c r="F1747" t="n">
        <v>38090174312</v>
      </c>
    </row>
    <row r="1748">
      <c r="A1748" t="inlineStr">
        <is>
          <t>2026-04-16</t>
        </is>
      </c>
      <c r="B1748" t="n">
        <v>74810.875</v>
      </c>
      <c r="C1748" t="n">
        <v>75506.5703125</v>
      </c>
      <c r="D1748" t="n">
        <v>73346.265625</v>
      </c>
      <c r="E1748" t="n">
        <v>75152.1328125</v>
      </c>
      <c r="F1748" t="n">
        <v>41312783855</v>
      </c>
    </row>
    <row r="1749">
      <c r="A1749" t="inlineStr">
        <is>
          <t>2026-04-17</t>
        </is>
      </c>
      <c r="B1749" t="n">
        <v>75164.0390625</v>
      </c>
      <c r="C1749" t="n">
        <v>78320.6796875</v>
      </c>
      <c r="D1749" t="n">
        <v>74558.6015625</v>
      </c>
      <c r="E1749" t="n">
        <v>77126.875</v>
      </c>
      <c r="F1749" t="n">
        <v>54137194839</v>
      </c>
    </row>
    <row r="1750">
      <c r="A1750" t="inlineStr">
        <is>
          <t>2026-04-18</t>
        </is>
      </c>
      <c r="B1750" t="n">
        <v>77136.046875</v>
      </c>
      <c r="C1750" t="n">
        <v>77416.703125</v>
      </c>
      <c r="D1750" t="n">
        <v>75504.9453125</v>
      </c>
      <c r="E1750" t="n">
        <v>75726.2109375</v>
      </c>
      <c r="F1750" t="n">
        <v>26014416776</v>
      </c>
    </row>
    <row r="1751">
      <c r="A1751" t="inlineStr">
        <is>
          <t>2026-04-19</t>
        </is>
      </c>
      <c r="B1751" t="n">
        <v>75723.6953125</v>
      </c>
      <c r="C1751" t="n">
        <v>76243.09375</v>
      </c>
      <c r="D1751" t="n">
        <v>73802.3828125</v>
      </c>
      <c r="E1751" t="n">
        <v>73856.3515625</v>
      </c>
      <c r="F1751" t="n">
        <v>30931515195</v>
      </c>
    </row>
    <row r="1752">
      <c r="A1752" t="inlineStr">
        <is>
          <t>2026-04-20</t>
        </is>
      </c>
      <c r="B1752" t="n">
        <v>73854.25</v>
      </c>
      <c r="C1752" t="n">
        <v>76575.359375</v>
      </c>
      <c r="D1752" t="n">
        <v>73775.5703125</v>
      </c>
      <c r="E1752" t="n">
        <v>75872.5234375</v>
      </c>
      <c r="F1752" t="n">
        <v>39674447916</v>
      </c>
    </row>
    <row r="1753">
      <c r="A1753" t="inlineStr">
        <is>
          <t>2026-04-21</t>
        </is>
      </c>
      <c r="B1753" t="n">
        <v>75872.828125</v>
      </c>
      <c r="C1753" t="n">
        <v>76881.4765625</v>
      </c>
      <c r="D1753" t="n">
        <v>74852.671875</v>
      </c>
      <c r="E1753" t="n">
        <v>76352.7734375</v>
      </c>
      <c r="F1753" t="n">
        <v>36453522626</v>
      </c>
    </row>
    <row r="1754">
      <c r="A1754" t="inlineStr">
        <is>
          <t>2026-04-22</t>
        </is>
      </c>
      <c r="B1754" t="n">
        <v>76354.21875</v>
      </c>
      <c r="C1754" t="n">
        <v>79468</v>
      </c>
      <c r="D1754" t="n">
        <v>76159.578125</v>
      </c>
      <c r="E1754" t="n">
        <v>78203.1015625</v>
      </c>
      <c r="F1754" t="n">
        <v>48336654537</v>
      </c>
    </row>
    <row r="1755">
      <c r="A1755" t="inlineStr">
        <is>
          <t>2026-04-23</t>
        </is>
      </c>
      <c r="B1755" t="n">
        <v>78203.875</v>
      </c>
      <c r="C1755" t="n">
        <v>78676.9375</v>
      </c>
      <c r="D1755" t="n">
        <v>77014.453125</v>
      </c>
      <c r="E1755" t="n">
        <v>78268.953125</v>
      </c>
      <c r="F1755" t="n">
        <v>40354900916</v>
      </c>
    </row>
    <row r="1756">
      <c r="A1756" t="inlineStr">
        <is>
          <t>2026-04-24</t>
        </is>
      </c>
      <c r="B1756" t="n">
        <v>78263.8203125</v>
      </c>
      <c r="C1756" t="n">
        <v>78554.09375</v>
      </c>
      <c r="D1756" t="n">
        <v>77318.4453125</v>
      </c>
      <c r="E1756" t="n">
        <v>77455.3125</v>
      </c>
      <c r="F1756" t="n">
        <v>32784213526</v>
      </c>
    </row>
    <row r="1757">
      <c r="A1757" t="inlineStr">
        <is>
          <t>2026-04-25</t>
        </is>
      </c>
      <c r="B1757" t="n">
        <v>77457.2109375</v>
      </c>
      <c r="C1757" t="n">
        <v>77882.640625</v>
      </c>
      <c r="D1757" t="n">
        <v>77184.6640625</v>
      </c>
      <c r="E1757" t="n">
        <v>77612.015625</v>
      </c>
      <c r="F1757" t="n">
        <v>16702933134</v>
      </c>
    </row>
    <row r="1758">
      <c r="A1758" t="inlineStr">
        <is>
          <t>2026-04-26</t>
        </is>
      </c>
      <c r="B1758" t="n">
        <v>77613.1171875</v>
      </c>
      <c r="C1758" t="n">
        <v>78923.5625</v>
      </c>
      <c r="D1758" t="n">
        <v>77334.890625</v>
      </c>
      <c r="E1758" t="n">
        <v>78657.5390625</v>
      </c>
      <c r="F1758" t="n">
        <v>21482934750</v>
      </c>
    </row>
    <row r="1759">
      <c r="A1759" t="inlineStr">
        <is>
          <t>2026-04-27</t>
        </is>
      </c>
      <c r="B1759" t="n">
        <v>78661.015625</v>
      </c>
      <c r="C1759" t="n">
        <v>79488.171875</v>
      </c>
      <c r="D1759" t="n">
        <v>76481.34375</v>
      </c>
      <c r="E1759" t="n">
        <v>77366.625</v>
      </c>
      <c r="F1759" t="n">
        <v>38135631927</v>
      </c>
    </row>
    <row r="1760">
      <c r="A1760" t="inlineStr">
        <is>
          <t>2026-04-28</t>
        </is>
      </c>
      <c r="B1760" t="n">
        <v>77368.1171875</v>
      </c>
      <c r="C1760" t="n">
        <v>77483.8671875</v>
      </c>
      <c r="D1760" t="n">
        <v>75673.6015625</v>
      </c>
      <c r="E1760" t="n">
        <v>76350.671875</v>
      </c>
      <c r="F1760" t="n">
        <v>32056900880</v>
      </c>
    </row>
    <row r="1761">
      <c r="A1761" t="inlineStr">
        <is>
          <t>2026-04-29</t>
        </is>
      </c>
      <c r="B1761" t="n">
        <v>76350.6875</v>
      </c>
      <c r="C1761" t="n">
        <v>77884.96875</v>
      </c>
      <c r="D1761" t="n">
        <v>74958.5703125</v>
      </c>
      <c r="E1761" t="n">
        <v>75776.1328125</v>
      </c>
      <c r="F1761" t="n">
        <v>41460907886</v>
      </c>
    </row>
    <row r="1762">
      <c r="A1762" t="inlineStr">
        <is>
          <t>2026-04-30</t>
        </is>
      </c>
      <c r="B1762" t="n">
        <v>75778.6328125</v>
      </c>
      <c r="C1762" t="n">
        <v>76611.484375</v>
      </c>
      <c r="D1762" t="n">
        <v>75318.984375</v>
      </c>
      <c r="E1762" t="n">
        <v>76304.3203125</v>
      </c>
      <c r="F1762" t="n">
        <v>29497862305</v>
      </c>
    </row>
    <row r="1763">
      <c r="A1763" t="inlineStr">
        <is>
          <t>2026-05-01</t>
        </is>
      </c>
      <c r="B1763" t="n">
        <v>76305.0546875</v>
      </c>
      <c r="C1763" t="n">
        <v>78894.9765625</v>
      </c>
      <c r="D1763" t="n">
        <v>76294.6953125</v>
      </c>
      <c r="E1763" t="n">
        <v>78179</v>
      </c>
      <c r="F1763" t="n">
        <v>39164328894</v>
      </c>
    </row>
    <row r="1764">
      <c r="A1764" t="inlineStr">
        <is>
          <t>2026-05-02</t>
        </is>
      </c>
      <c r="B1764" t="n">
        <v>78177.75</v>
      </c>
      <c r="C1764" t="n">
        <v>79119.7890625</v>
      </c>
      <c r="D1764" t="n">
        <v>78031.9609375</v>
      </c>
      <c r="E1764" t="n">
        <v>78657.25</v>
      </c>
      <c r="F1764" t="n">
        <v>16761531851</v>
      </c>
    </row>
    <row r="1765">
      <c r="A1765" t="inlineStr">
        <is>
          <t>2026-05-03</t>
        </is>
      </c>
      <c r="B1765" t="n">
        <v>78656.7265625</v>
      </c>
      <c r="C1765" t="n">
        <v>79402.359375</v>
      </c>
      <c r="D1765" t="n">
        <v>78073.078125</v>
      </c>
      <c r="E1765" t="n">
        <v>78538.2265625</v>
      </c>
      <c r="F1765" t="n">
        <v>20544392639</v>
      </c>
    </row>
    <row r="1766">
      <c r="A1766" t="inlineStr">
        <is>
          <t>2026-05-04</t>
        </is>
      </c>
      <c r="B1766" t="n">
        <v>78540.2890625</v>
      </c>
      <c r="C1766" t="n">
        <v>80742.359375</v>
      </c>
      <c r="D1766" t="n">
        <v>78217.9609375</v>
      </c>
      <c r="E1766" t="n">
        <v>79827.90625</v>
      </c>
      <c r="F1766" t="n">
        <v>54325085296</v>
      </c>
    </row>
    <row r="1767">
      <c r="A1767" t="inlineStr">
        <is>
          <t>2026-05-05</t>
        </is>
      </c>
      <c r="B1767" t="n">
        <v>79823.53125</v>
      </c>
      <c r="C1767" t="n">
        <v>81751.453125</v>
      </c>
      <c r="D1767" t="n">
        <v>79787.578125</v>
      </c>
      <c r="E1767" t="n">
        <v>80927.0546875</v>
      </c>
      <c r="F1767" t="n">
        <v>39700107376</v>
      </c>
    </row>
    <row r="1768">
      <c r="A1768" t="inlineStr">
        <is>
          <t>2026-05-06</t>
        </is>
      </c>
      <c r="B1768" t="n">
        <v>80930.734375</v>
      </c>
      <c r="C1768" t="n">
        <v>82792.2109375</v>
      </c>
      <c r="D1768" t="n">
        <v>80751.0234375</v>
      </c>
      <c r="E1768" t="n">
        <v>81427.53125</v>
      </c>
      <c r="F1768" t="n">
        <v>41751540000</v>
      </c>
    </row>
    <row r="1769">
      <c r="A1769" t="inlineStr">
        <is>
          <t>2026-05-07</t>
        </is>
      </c>
      <c r="B1769" t="n">
        <v>81428.8515625</v>
      </c>
      <c r="C1769" t="n">
        <v>81684.953125</v>
      </c>
      <c r="D1769" t="n">
        <v>79522.65625</v>
      </c>
      <c r="E1769" t="n">
        <v>80009.9921875</v>
      </c>
      <c r="F1769" t="n">
        <v>36931193154</v>
      </c>
    </row>
    <row r="1770">
      <c r="A1770" t="inlineStr">
        <is>
          <t>2026-05-08</t>
        </is>
      </c>
      <c r="B1770" t="n">
        <v>80009.625</v>
      </c>
      <c r="C1770" t="n">
        <v>80447.265625</v>
      </c>
      <c r="D1770" t="n">
        <v>79205.515625</v>
      </c>
      <c r="E1770" t="n">
        <v>80186.765625</v>
      </c>
      <c r="F1770" t="n">
        <v>33789351540</v>
      </c>
    </row>
    <row r="1771">
      <c r="A1771" t="inlineStr">
        <is>
          <t>2026-05-09</t>
        </is>
      </c>
      <c r="B1771" t="n">
        <v>80187.7421875</v>
      </c>
      <c r="C1771" t="n">
        <v>81030.0625</v>
      </c>
      <c r="D1771" t="n">
        <v>80119.9296875</v>
      </c>
      <c r="E1771" t="n">
        <v>80664.3671875</v>
      </c>
      <c r="F1771" t="n">
        <v>18102086996</v>
      </c>
    </row>
    <row r="1772">
      <c r="A1772" t="inlineStr">
        <is>
          <t>2026-05-10</t>
        </is>
      </c>
      <c r="B1772" t="n">
        <v>80665.609375</v>
      </c>
      <c r="C1772" t="n">
        <v>82430.171875</v>
      </c>
      <c r="D1772" t="n">
        <v>80274.1328125</v>
      </c>
      <c r="E1772" t="n">
        <v>82138.9296875</v>
      </c>
      <c r="F1772" t="n">
        <v>26965971077</v>
      </c>
    </row>
    <row r="1773">
      <c r="A1773" t="inlineStr">
        <is>
          <t>2026-05-11</t>
        </is>
      </c>
      <c r="B1773" t="n">
        <v>82139.046875</v>
      </c>
      <c r="C1773" t="n">
        <v>82326.234375</v>
      </c>
      <c r="D1773" t="n">
        <v>80451.421875</v>
      </c>
      <c r="E1773" t="n">
        <v>81728.296875</v>
      </c>
      <c r="F1773" t="n">
        <v>32409774919</v>
      </c>
    </row>
    <row r="1774">
      <c r="A1774" t="inlineStr">
        <is>
          <t>2026-05-12</t>
        </is>
      </c>
      <c r="B1774" t="n">
        <v>81725.3515625</v>
      </c>
      <c r="C1774" t="n">
        <v>81753.03125</v>
      </c>
      <c r="D1774" t="n">
        <v>79832.1015625</v>
      </c>
      <c r="E1774" t="n">
        <v>80477.4921875</v>
      </c>
      <c r="F1774" t="n">
        <v>32186688600</v>
      </c>
    </row>
    <row r="1775">
      <c r="A1775" t="inlineStr">
        <is>
          <t>2026-05-13</t>
        </is>
      </c>
      <c r="B1775" t="n">
        <v>80476.7890625</v>
      </c>
      <c r="C1775" t="n">
        <v>81276.671875</v>
      </c>
      <c r="D1775" t="n">
        <v>78725.5078125</v>
      </c>
      <c r="E1775" t="n">
        <v>79277.1171875</v>
      </c>
      <c r="F1775" t="n">
        <v>34075428359</v>
      </c>
    </row>
    <row r="1776">
      <c r="A1776" t="inlineStr">
        <is>
          <t>2026-05-14</t>
        </is>
      </c>
      <c r="B1776" t="n">
        <v>79276.9453125</v>
      </c>
      <c r="C1776" t="n">
        <v>82005.9609375</v>
      </c>
      <c r="D1776" t="n">
        <v>78909.6796875</v>
      </c>
      <c r="E1776" t="n">
        <v>81051.25</v>
      </c>
      <c r="F1776" t="n">
        <v>43731663431</v>
      </c>
    </row>
    <row r="1777">
      <c r="A1777" t="inlineStr">
        <is>
          <t>2026-05-15</t>
        </is>
      </c>
      <c r="B1777" t="n">
        <v>81046.8671875</v>
      </c>
      <c r="C1777" t="n">
        <v>81634.84375</v>
      </c>
      <c r="D1777" t="n">
        <v>78635.3671875</v>
      </c>
      <c r="E1777" t="n">
        <v>79065.6796875</v>
      </c>
      <c r="F1777" t="n">
        <v>38183347368</v>
      </c>
    </row>
    <row r="1778">
      <c r="A1778" t="inlineStr">
        <is>
          <t>2026-05-16</t>
        </is>
      </c>
      <c r="B1778" t="n">
        <v>79066</v>
      </c>
      <c r="C1778" t="n">
        <v>79173.5</v>
      </c>
      <c r="D1778" t="n">
        <v>77630.734375</v>
      </c>
      <c r="E1778" t="n">
        <v>78131.4375</v>
      </c>
      <c r="F1778" t="n">
        <v>25895799905</v>
      </c>
    </row>
    <row r="1779">
      <c r="A1779" t="inlineStr">
        <is>
          <t>2026-05-17</t>
        </is>
      </c>
      <c r="B1779" t="n">
        <v>78133.5859375</v>
      </c>
      <c r="C1779" t="n">
        <v>78539.3984375</v>
      </c>
      <c r="D1779" t="n">
        <v>76783.4140625</v>
      </c>
      <c r="E1779" t="n">
        <v>77429.3515625</v>
      </c>
      <c r="F1779" t="n">
        <v>20900166465</v>
      </c>
    </row>
    <row r="1780">
      <c r="A1780" t="inlineStr">
        <is>
          <t>2026-05-18</t>
        </is>
      </c>
      <c r="B1780" t="n">
        <v>77426.34375</v>
      </c>
      <c r="C1780" t="n">
        <v>77749.3203125</v>
      </c>
      <c r="D1780" t="n">
        <v>76029.2265625</v>
      </c>
      <c r="E1780" t="n">
        <v>76954.171875</v>
      </c>
      <c r="F1780" t="n">
        <v>41520471808</v>
      </c>
    </row>
    <row r="1781">
      <c r="A1781" t="inlineStr">
        <is>
          <t>2026-05-19</t>
        </is>
      </c>
      <c r="B1781" t="n">
        <v>76954.75</v>
      </c>
      <c r="C1781" t="n">
        <v>77346.8671875</v>
      </c>
      <c r="D1781" t="n">
        <v>76082.3671875</v>
      </c>
      <c r="E1781" t="n">
        <v>76750.90625</v>
      </c>
      <c r="F1781" t="n">
        <v>26031898332</v>
      </c>
    </row>
    <row r="1782">
      <c r="A1782" t="inlineStr">
        <is>
          <t>2026-05-20</t>
        </is>
      </c>
      <c r="B1782" t="n">
        <v>76749.453125</v>
      </c>
      <c r="C1782" t="n">
        <v>77775.5703125</v>
      </c>
      <c r="D1782" t="n">
        <v>76463.6484375</v>
      </c>
      <c r="E1782" t="n">
        <v>77457.7734375</v>
      </c>
      <c r="F1782" t="n">
        <v>26668360936</v>
      </c>
    </row>
    <row r="1783">
      <c r="A1783" t="inlineStr">
        <is>
          <t>2026-05-21</t>
        </is>
      </c>
      <c r="B1783" t="n">
        <v>77462.5078125</v>
      </c>
      <c r="C1783" t="n">
        <v>78100.5625</v>
      </c>
      <c r="D1783" t="n">
        <v>76655.4375</v>
      </c>
      <c r="E1783" t="n">
        <v>77539.171875</v>
      </c>
      <c r="F1783" t="n">
        <v>27141485404</v>
      </c>
    </row>
    <row r="1784">
      <c r="A1784" t="inlineStr">
        <is>
          <t>2026-05-22</t>
        </is>
      </c>
      <c r="B1784" t="n">
        <v>77538.1171875</v>
      </c>
      <c r="C1784" t="n">
        <v>77819.453125</v>
      </c>
      <c r="D1784" t="n">
        <v>75323.875</v>
      </c>
      <c r="E1784" t="n">
        <v>75488.2421875</v>
      </c>
      <c r="F1784" t="n">
        <v>27859040109</v>
      </c>
    </row>
    <row r="1785">
      <c r="A1785" t="inlineStr">
        <is>
          <t>2026-05-23</t>
        </is>
      </c>
      <c r="B1785" t="n">
        <v>75488.3125</v>
      </c>
      <c r="C1785" t="n">
        <v>77288.1171875</v>
      </c>
      <c r="D1785" t="n">
        <v>74255.234375</v>
      </c>
      <c r="E1785" t="n">
        <v>76673.3671875</v>
      </c>
      <c r="F1785" t="n">
        <v>29973220002</v>
      </c>
    </row>
    <row r="1786">
      <c r="A1786" t="inlineStr">
        <is>
          <t>2026-05-24</t>
        </is>
      </c>
      <c r="B1786" t="n">
        <v>76670.65625</v>
      </c>
      <c r="C1786" t="n">
        <v>77372.5390625</v>
      </c>
      <c r="D1786" t="n">
        <v>76019.890625</v>
      </c>
      <c r="E1786" t="n">
        <v>76981.125</v>
      </c>
      <c r="F1786" t="n">
        <v>20572738918</v>
      </c>
    </row>
    <row r="1787">
      <c r="A1787" t="inlineStr">
        <is>
          <t>2026-05-25</t>
        </is>
      </c>
      <c r="B1787" t="n">
        <v>76981.125</v>
      </c>
      <c r="C1787" t="n">
        <v>77804.921875</v>
      </c>
      <c r="D1787" t="n">
        <v>76833.0390625</v>
      </c>
      <c r="E1787" t="n">
        <v>77279.9296875</v>
      </c>
      <c r="F1787" t="n">
        <v>19808387601</v>
      </c>
    </row>
    <row r="1788">
      <c r="A1788" t="inlineStr">
        <is>
          <t>2026-05-26</t>
        </is>
      </c>
      <c r="B1788" t="n">
        <v>77280.125</v>
      </c>
      <c r="C1788" t="n">
        <v>77990.8671875</v>
      </c>
      <c r="D1788" t="n">
        <v>75569.46875</v>
      </c>
      <c r="E1788" t="n">
        <v>75825.734375</v>
      </c>
      <c r="F1788" t="n">
        <v>35999475458</v>
      </c>
    </row>
    <row r="1789">
      <c r="A1789" t="inlineStr">
        <is>
          <t>2026-05-27</t>
        </is>
      </c>
      <c r="B1789" t="n">
        <v>75825.3046875</v>
      </c>
      <c r="C1789" t="n">
        <v>76014.296875</v>
      </c>
      <c r="D1789" t="n">
        <v>74136.5</v>
      </c>
      <c r="E1789" t="n">
        <v>74344.703125</v>
      </c>
      <c r="F1789" t="n">
        <v>33802172927</v>
      </c>
    </row>
    <row r="1790">
      <c r="A1790" t="inlineStr">
        <is>
          <t>2026-05-28</t>
        </is>
      </c>
      <c r="B1790" t="n">
        <v>74339.5703125</v>
      </c>
      <c r="C1790" t="n">
        <v>74460.125</v>
      </c>
      <c r="D1790" t="n">
        <v>72493.4140625</v>
      </c>
      <c r="E1790" t="n">
        <v>73536.5546875</v>
      </c>
      <c r="F1790" t="n">
        <v>40148145327</v>
      </c>
    </row>
    <row r="1791">
      <c r="A1791" t="inlineStr">
        <is>
          <t>2026-05-29</t>
        </is>
      </c>
      <c r="B1791" t="n">
        <v>73537.03125</v>
      </c>
      <c r="C1791" t="n">
        <v>74218.5625</v>
      </c>
      <c r="D1791" t="n">
        <v>72435.625</v>
      </c>
      <c r="E1791" t="n">
        <v>73372.5234375</v>
      </c>
      <c r="F1791" t="n">
        <v>34457929250</v>
      </c>
    </row>
    <row r="1792">
      <c r="A1792" t="inlineStr">
        <is>
          <t>2026-05-30</t>
        </is>
      </c>
      <c r="B1792" t="n">
        <v>73370.8515625</v>
      </c>
      <c r="C1792" t="n">
        <v>74020.7578125</v>
      </c>
      <c r="D1792" t="n">
        <v>73125.234375</v>
      </c>
      <c r="E1792" t="n">
        <v>73754.8359375</v>
      </c>
      <c r="F1792" t="n">
        <v>19563589191</v>
      </c>
    </row>
    <row r="1793">
      <c r="A1793" t="inlineStr">
        <is>
          <t>2026-05-31</t>
        </is>
      </c>
      <c r="B1793" t="n">
        <v>73753.75</v>
      </c>
      <c r="C1793" t="n">
        <v>74153.5</v>
      </c>
      <c r="D1793" t="n">
        <v>73315.015625</v>
      </c>
      <c r="E1793" t="n">
        <v>73579.6875</v>
      </c>
      <c r="F1793" t="n">
        <v>17445435650</v>
      </c>
    </row>
    <row r="1794">
      <c r="A1794" t="inlineStr">
        <is>
          <t>2026-06-01</t>
        </is>
      </c>
      <c r="B1794" t="n">
        <v>73580.2109375</v>
      </c>
      <c r="C1794" t="n">
        <v>73969.5703125</v>
      </c>
      <c r="D1794" t="n">
        <v>70599.5078125</v>
      </c>
      <c r="E1794" t="n">
        <v>71319.7734375</v>
      </c>
      <c r="F1794" t="n">
        <v>43378836121</v>
      </c>
    </row>
    <row r="1795">
      <c r="A1795" t="inlineStr">
        <is>
          <t>2026-06-02</t>
        </is>
      </c>
      <c r="B1795" t="n">
        <v>71321.03125</v>
      </c>
      <c r="C1795" t="n">
        <v>71334.953125</v>
      </c>
      <c r="D1795" t="n">
        <v>66127.265625</v>
      </c>
      <c r="E1795" t="n">
        <v>66703.65625</v>
      </c>
      <c r="F1795" t="n">
        <v>54990073882</v>
      </c>
    </row>
    <row r="1796">
      <c r="A1796" t="inlineStr">
        <is>
          <t>2026-06-03</t>
        </is>
      </c>
      <c r="B1796" t="n">
        <v>66694.0078125</v>
      </c>
      <c r="C1796" t="n">
        <v>67402.9296875</v>
      </c>
      <c r="D1796" t="n">
        <v>64009.67578125</v>
      </c>
      <c r="E1796" t="n">
        <v>64014.3671875</v>
      </c>
      <c r="F1796" t="n">
        <v>47411556213</v>
      </c>
    </row>
    <row r="1797">
      <c r="A1797" t="inlineStr">
        <is>
          <t>2026-06-04</t>
        </is>
      </c>
      <c r="B1797" t="n">
        <v>64020.0703125</v>
      </c>
      <c r="C1797" t="n">
        <v>64664.4453125</v>
      </c>
      <c r="D1797" t="n">
        <v>61335.75</v>
      </c>
      <c r="E1797" t="n">
        <v>63801.57421875</v>
      </c>
      <c r="F1797" t="n">
        <v>63800151780</v>
      </c>
    </row>
    <row r="1798">
      <c r="A1798" t="inlineStr">
        <is>
          <t>2026-06-05</t>
        </is>
      </c>
      <c r="B1798" t="n">
        <v>63807.69140625</v>
      </c>
      <c r="C1798" t="n">
        <v>63901.515625</v>
      </c>
      <c r="D1798" t="n">
        <v>59108.91796875</v>
      </c>
      <c r="E1798" t="n">
        <v>60922.66796875</v>
      </c>
      <c r="F1798" t="n">
        <v>71465606706</v>
      </c>
    </row>
    <row r="1799">
      <c r="A1799" t="inlineStr">
        <is>
          <t>2026-06-06</t>
        </is>
      </c>
      <c r="B1799" t="n">
        <v>60924.4765625</v>
      </c>
      <c r="C1799" t="n">
        <v>61491.703125</v>
      </c>
      <c r="D1799" t="n">
        <v>59496.625</v>
      </c>
      <c r="E1799" t="n">
        <v>60867.4140625</v>
      </c>
      <c r="F1799" t="n">
        <v>30898464957</v>
      </c>
    </row>
    <row r="1800">
      <c r="A1800" t="inlineStr">
        <is>
          <t>2026-06-07</t>
        </is>
      </c>
      <c r="B1800" t="n">
        <v>60866.94140625</v>
      </c>
      <c r="C1800" t="n">
        <v>64128.04296875</v>
      </c>
      <c r="D1800" t="n">
        <v>60724.06640625</v>
      </c>
      <c r="E1800" t="n">
        <v>63239.51953125</v>
      </c>
      <c r="F1800" t="n">
        <v>36006496194</v>
      </c>
    </row>
    <row r="1801">
      <c r="A1801" t="inlineStr">
        <is>
          <t>2026-06-08</t>
        </is>
      </c>
      <c r="B1801" t="n">
        <v>63244.0859375</v>
      </c>
      <c r="C1801" t="n">
        <v>64185.765625</v>
      </c>
      <c r="D1801" t="n">
        <v>62384.66796875</v>
      </c>
      <c r="E1801" t="n">
        <v>63090.58984375</v>
      </c>
      <c r="F1801" t="n">
        <v>34133252457</v>
      </c>
    </row>
    <row r="1802">
      <c r="A1802" t="inlineStr">
        <is>
          <t>2026-06-09</t>
        </is>
      </c>
      <c r="B1802" t="n">
        <v>63092.890625</v>
      </c>
      <c r="C1802" t="n">
        <v>63486.08984375</v>
      </c>
      <c r="D1802" t="n">
        <v>60756.6875</v>
      </c>
      <c r="E1802" t="n">
        <v>61643.78125</v>
      </c>
      <c r="F1802" t="n">
        <v>40144449754</v>
      </c>
    </row>
    <row r="1803">
      <c r="A1803" t="inlineStr">
        <is>
          <t>2026-06-10</t>
        </is>
      </c>
      <c r="B1803" t="n">
        <v>61643.20703125</v>
      </c>
      <c r="C1803" t="n">
        <v>62788.27734375</v>
      </c>
      <c r="D1803" t="n">
        <v>60788.0234375</v>
      </c>
      <c r="E1803" t="n">
        <v>61449.2890625</v>
      </c>
      <c r="F1803" t="n">
        <v>27493506779</v>
      </c>
    </row>
    <row r="1804">
      <c r="A1804" t="inlineStr">
        <is>
          <t>2026-06-11</t>
        </is>
      </c>
      <c r="B1804" t="n">
        <v>61448.87890625</v>
      </c>
      <c r="C1804" t="n">
        <v>63851.94921875</v>
      </c>
      <c r="D1804" t="n">
        <v>61447.96875</v>
      </c>
      <c r="E1804" t="n">
        <v>63561.0546875</v>
      </c>
      <c r="F1804" t="n">
        <v>29316677897</v>
      </c>
    </row>
    <row r="1805">
      <c r="A1805" t="inlineStr">
        <is>
          <t>2026-06-12</t>
        </is>
      </c>
      <c r="B1805" t="n">
        <v>63547.44140625</v>
      </c>
      <c r="C1805" t="n">
        <v>64334.015625</v>
      </c>
      <c r="D1805" t="n">
        <v>62778.79296875</v>
      </c>
      <c r="E1805" t="n">
        <v>63543.19921875</v>
      </c>
      <c r="F1805" t="n">
        <v>26881868307</v>
      </c>
    </row>
    <row r="1806">
      <c r="A1806" t="inlineStr">
        <is>
          <t>2026-06-13</t>
        </is>
      </c>
      <c r="B1806" t="n">
        <v>63541.515625</v>
      </c>
      <c r="C1806" t="n">
        <v>64700.87890625</v>
      </c>
      <c r="D1806" t="n">
        <v>63431.3203125</v>
      </c>
      <c r="E1806" t="n">
        <v>64421.32421875</v>
      </c>
      <c r="F1806" t="n">
        <v>16956245530</v>
      </c>
    </row>
    <row r="1807">
      <c r="A1807" t="inlineStr">
        <is>
          <t>2026-06-14</t>
        </is>
      </c>
      <c r="B1807" t="n">
        <v>64420.16796875</v>
      </c>
      <c r="C1807" t="n">
        <v>65749.78125</v>
      </c>
      <c r="D1807" t="n">
        <v>63634.0234375</v>
      </c>
      <c r="E1807" t="n">
        <v>65710.3984375</v>
      </c>
      <c r="F1807" t="n">
        <v>21572226975</v>
      </c>
    </row>
    <row r="1808">
      <c r="A1808" t="inlineStr">
        <is>
          <t>2026-06-15</t>
        </is>
      </c>
      <c r="B1808" t="n">
        <v>65711.109375</v>
      </c>
      <c r="C1808" t="n">
        <v>67248.1328125</v>
      </c>
      <c r="D1808" t="n">
        <v>65315.8359375</v>
      </c>
      <c r="E1808" t="n">
        <v>66289.5</v>
      </c>
      <c r="F1808" t="n">
        <v>32927321950</v>
      </c>
    </row>
    <row r="1809">
      <c r="A1809" t="inlineStr">
        <is>
          <t>2026-06-16</t>
        </is>
      </c>
      <c r="B1809" t="n">
        <v>66289.4609375</v>
      </c>
      <c r="C1809" t="n">
        <v>66928.609375</v>
      </c>
      <c r="D1809" t="n">
        <v>65315.0703125</v>
      </c>
      <c r="E1809" t="n">
        <v>65600.640625</v>
      </c>
      <c r="F1809" t="n">
        <v>25063963967</v>
      </c>
    </row>
    <row r="1810">
      <c r="A1810" t="inlineStr">
        <is>
          <t>2026-06-17</t>
        </is>
      </c>
      <c r="B1810" t="n">
        <v>65600.4296875</v>
      </c>
      <c r="C1810" t="n">
        <v>66354.625</v>
      </c>
      <c r="D1810" t="n">
        <v>63870.9296875</v>
      </c>
      <c r="E1810" t="n">
        <v>64418.4453125</v>
      </c>
      <c r="F1810" t="n">
        <v>31288885189</v>
      </c>
    </row>
    <row r="1811">
      <c r="A1811" t="inlineStr">
        <is>
          <t>2026-06-18</t>
        </is>
      </c>
      <c r="B1811" t="n">
        <v>64419.64453125</v>
      </c>
      <c r="C1811" t="n">
        <v>64736.921875</v>
      </c>
      <c r="D1811" t="n">
        <v>62201.14453125</v>
      </c>
      <c r="E1811" t="n">
        <v>62896.47265625</v>
      </c>
      <c r="F1811" t="n">
        <v>30432454936</v>
      </c>
    </row>
    <row r="1812">
      <c r="A1812" t="inlineStr">
        <is>
          <t>2026-06-19</t>
        </is>
      </c>
      <c r="B1812" t="n">
        <v>62897.515625</v>
      </c>
      <c r="C1812" t="n">
        <v>63568.22265625</v>
      </c>
      <c r="D1812" t="n">
        <v>62275.58203125</v>
      </c>
      <c r="E1812" t="n">
        <v>63540.8359375</v>
      </c>
      <c r="F1812" t="n">
        <v>22361931660</v>
      </c>
    </row>
    <row r="1813">
      <c r="A1813" t="inlineStr">
        <is>
          <t>2026-06-20</t>
        </is>
      </c>
      <c r="B1813" t="n">
        <v>63535.80859375</v>
      </c>
      <c r="C1813" t="n">
        <v>64307.13671875</v>
      </c>
      <c r="D1813" t="n">
        <v>63149.66015625</v>
      </c>
      <c r="E1813" t="n">
        <v>64239.67578125</v>
      </c>
      <c r="F1813" t="n">
        <v>17486384117</v>
      </c>
    </row>
    <row r="1814">
      <c r="A1814" t="inlineStr">
        <is>
          <t>2026-06-21</t>
        </is>
      </c>
      <c r="B1814" t="n">
        <v>64242.32421875</v>
      </c>
      <c r="C1814" t="n">
        <v>64506.578125</v>
      </c>
      <c r="D1814" t="n">
        <v>63221</v>
      </c>
      <c r="E1814" t="n">
        <v>63237.5390625</v>
      </c>
      <c r="F1814" t="n">
        <v>15739619591</v>
      </c>
    </row>
    <row r="1815">
      <c r="A1815" t="inlineStr">
        <is>
          <t>2026-06-22</t>
        </is>
      </c>
      <c r="B1815" t="n">
        <v>63240.7890625</v>
      </c>
      <c r="C1815" t="n">
        <v>65544</v>
      </c>
      <c r="D1815" t="n">
        <v>63233.53125</v>
      </c>
      <c r="E1815" t="n">
        <v>63952.10546875</v>
      </c>
      <c r="F1815" t="n">
        <v>26561496819</v>
      </c>
    </row>
    <row r="1816">
      <c r="A1816" t="inlineStr">
        <is>
          <t>2026-06-23</t>
        </is>
      </c>
      <c r="B1816" t="n">
        <v>63952.79296875</v>
      </c>
      <c r="C1816" t="n">
        <v>64196.5625</v>
      </c>
      <c r="D1816" t="n">
        <v>61893.20703125</v>
      </c>
      <c r="E1816" t="n">
        <v>62668.01953125</v>
      </c>
      <c r="F1816" t="n">
        <v>29608942370</v>
      </c>
    </row>
    <row r="1817">
      <c r="A1817" t="inlineStr">
        <is>
          <t>2026-06-24</t>
        </is>
      </c>
      <c r="B1817" t="n">
        <v>62663.03125</v>
      </c>
      <c r="C1817" t="n">
        <v>63097.7578125</v>
      </c>
      <c r="D1817" t="n">
        <v>59029.85546875</v>
      </c>
      <c r="E1817" t="n">
        <v>60995.1328125</v>
      </c>
      <c r="F1817" t="n">
        <v>42644106535</v>
      </c>
    </row>
    <row r="1818">
      <c r="A1818" t="inlineStr">
        <is>
          <t>2026-06-25</t>
        </is>
      </c>
      <c r="B1818" t="n">
        <v>60992.0703125</v>
      </c>
      <c r="C1818" t="n">
        <v>61868.90625</v>
      </c>
      <c r="D1818" t="n">
        <v>58075.921875</v>
      </c>
      <c r="E1818" t="n">
        <v>59721.67578125</v>
      </c>
      <c r="F1818" t="n">
        <v>40625024718</v>
      </c>
    </row>
    <row r="1819">
      <c r="A1819" t="inlineStr">
        <is>
          <t>2026-06-26</t>
        </is>
      </c>
      <c r="B1819" t="n">
        <v>59712.0546875</v>
      </c>
      <c r="C1819" t="n">
        <v>60647.1875</v>
      </c>
      <c r="D1819" t="n">
        <v>58269.125</v>
      </c>
      <c r="E1819" t="n">
        <v>60016.4296875</v>
      </c>
      <c r="F1819" t="n">
        <v>41502864671</v>
      </c>
    </row>
    <row r="1820">
      <c r="A1820" t="inlineStr">
        <is>
          <t>2026-06-27</t>
        </is>
      </c>
      <c r="B1820" t="n">
        <v>60016.3125</v>
      </c>
      <c r="C1820" t="n">
        <v>60835.046875</v>
      </c>
      <c r="D1820" t="n">
        <v>59794.62109375</v>
      </c>
      <c r="E1820" t="n">
        <v>59940.09765625</v>
      </c>
      <c r="F1820" t="n">
        <v>15099836554</v>
      </c>
    </row>
    <row r="1821">
      <c r="A1821" t="inlineStr">
        <is>
          <t>2026-06-28</t>
        </is>
      </c>
      <c r="B1821" t="n">
        <v>59940.3515625</v>
      </c>
      <c r="C1821" t="n">
        <v>60432.70703125</v>
      </c>
      <c r="D1821" t="n">
        <v>58879.6328125</v>
      </c>
      <c r="E1821" t="n">
        <v>59532.33984375</v>
      </c>
      <c r="F1821" t="n">
        <v>16282230874</v>
      </c>
    </row>
    <row r="1822">
      <c r="A1822" t="inlineStr">
        <is>
          <t>2026-06-29</t>
        </is>
      </c>
      <c r="B1822" t="n">
        <v>59522.7890625</v>
      </c>
      <c r="C1822" t="n">
        <v>60682.33984375</v>
      </c>
      <c r="D1822" t="n">
        <v>58856.1875</v>
      </c>
      <c r="E1822" t="n">
        <v>60138.37890625</v>
      </c>
      <c r="F1822" t="n">
        <v>30829983083</v>
      </c>
    </row>
    <row r="1823">
      <c r="A1823" t="inlineStr">
        <is>
          <t>2026-06-30</t>
        </is>
      </c>
      <c r="B1823" t="n">
        <v>60136.453125</v>
      </c>
      <c r="C1823" t="n">
        <v>60173.21875</v>
      </c>
      <c r="D1823" t="n">
        <v>58111.671875</v>
      </c>
      <c r="E1823" t="n">
        <v>58558.859375</v>
      </c>
      <c r="F1823" t="n">
        <v>32747419391</v>
      </c>
    </row>
    <row r="1824">
      <c r="A1824" t="inlineStr">
        <is>
          <t>2026-07-01</t>
        </is>
      </c>
      <c r="B1824" t="n">
        <v>58562.4453125</v>
      </c>
      <c r="C1824" t="n">
        <v>61223.76953125</v>
      </c>
      <c r="D1824" t="n">
        <v>57747.765625</v>
      </c>
      <c r="E1824" t="n">
        <v>60003.7578125</v>
      </c>
      <c r="F1824" t="n">
        <v>37904450118</v>
      </c>
    </row>
    <row r="1825">
      <c r="A1825" t="inlineStr">
        <is>
          <t>2026-07-02</t>
        </is>
      </c>
      <c r="B1825" t="n">
        <v>60004.76953125</v>
      </c>
      <c r="C1825" t="n">
        <v>62117.875</v>
      </c>
      <c r="D1825" t="n">
        <v>59532.32421875</v>
      </c>
      <c r="E1825" t="n">
        <v>61485.30078125</v>
      </c>
      <c r="F1825" t="n">
        <v>40109297349</v>
      </c>
    </row>
    <row r="1826">
      <c r="A1826" t="inlineStr">
        <is>
          <t>2026-07-03</t>
        </is>
      </c>
      <c r="B1826" t="n">
        <v>61492.06640625</v>
      </c>
      <c r="C1826" t="n">
        <v>62879.0078125</v>
      </c>
      <c r="D1826" t="n">
        <v>61176.72265625</v>
      </c>
      <c r="E1826" t="n">
        <v>62544.19921875</v>
      </c>
      <c r="F1826" t="n">
        <v>26131813598</v>
      </c>
    </row>
    <row r="1827">
      <c r="A1827" t="inlineStr">
        <is>
          <t>2026-07-05</t>
        </is>
      </c>
      <c r="B1827" t="n">
        <v>63087.7421875</v>
      </c>
      <c r="C1827" t="n">
        <v>63087.7421875</v>
      </c>
      <c r="D1827" t="n">
        <v>62576.2734375</v>
      </c>
      <c r="E1827" t="n">
        <v>62965.2890625</v>
      </c>
      <c r="F1827" t="n">
        <v>17628848128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参数</t>
        </is>
      </c>
      <c r="B1" s="1" t="inlineStr">
        <is>
          <t>值</t>
        </is>
      </c>
      <c r="C1" s="1" t="inlineStr">
        <is>
          <t>说明</t>
        </is>
      </c>
    </row>
    <row r="2">
      <c r="A2" t="inlineStr">
        <is>
          <t>滚动窗口（交易日）</t>
        </is>
      </c>
      <c r="B2" t="n">
        <v>30</v>
      </c>
      <c r="C2" t="inlineStr">
        <is>
          <t>改动后指标sheet的滚动波动率联动重算</t>
        </is>
      </c>
    </row>
    <row r="3">
      <c r="A3" t="inlineStr">
        <is>
          <t>年化系数</t>
        </is>
      </c>
      <c r="B3" t="n">
        <v>252</v>
      </c>
      <c r="C3" t="inlineStr">
        <is>
          <t>波动率年化用，√年化系数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58"/>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黄金 GC=F收盘</t>
        </is>
      </c>
      <c r="C1" s="1" t="inlineStr">
        <is>
          <t>比特币 BTC-USD收盘</t>
        </is>
      </c>
    </row>
    <row r="2">
      <c r="A2" t="inlineStr">
        <is>
          <t>2021-07-06</t>
        </is>
      </c>
      <c r="B2" t="n">
        <v>1793.5</v>
      </c>
      <c r="C2" t="n">
        <v>34235.1953125</v>
      </c>
    </row>
    <row r="3">
      <c r="A3" t="inlineStr">
        <is>
          <t>2021-07-07</t>
        </is>
      </c>
      <c r="B3" t="n">
        <v>1801.5</v>
      </c>
      <c r="C3" t="n">
        <v>33855.328125</v>
      </c>
    </row>
    <row r="4">
      <c r="A4" t="inlineStr">
        <is>
          <t>2021-07-08</t>
        </is>
      </c>
      <c r="B4" t="n">
        <v>1799.599975585938</v>
      </c>
      <c r="C4" t="n">
        <v>32877.37109375</v>
      </c>
    </row>
    <row r="5">
      <c r="A5" t="inlineStr">
        <is>
          <t>2021-07-09</t>
        </is>
      </c>
      <c r="B5" t="n">
        <v>1810</v>
      </c>
      <c r="C5" t="n">
        <v>33798.01171875</v>
      </c>
    </row>
    <row r="6">
      <c r="A6" t="inlineStr">
        <is>
          <t>2021-07-12</t>
        </is>
      </c>
      <c r="B6" t="n">
        <v>1805.5</v>
      </c>
      <c r="C6" t="n">
        <v>33155.84765625</v>
      </c>
    </row>
    <row r="7">
      <c r="A7" t="inlineStr">
        <is>
          <t>2021-07-13</t>
        </is>
      </c>
      <c r="B7" t="n">
        <v>1809.400024414062</v>
      </c>
      <c r="C7" t="n">
        <v>32702.025390625</v>
      </c>
    </row>
    <row r="8">
      <c r="A8" t="inlineStr">
        <is>
          <t>2021-07-14</t>
        </is>
      </c>
      <c r="B8" t="n">
        <v>1824.300048828125</v>
      </c>
      <c r="C8" t="n">
        <v>32822.34765625</v>
      </c>
    </row>
    <row r="9">
      <c r="A9" t="inlineStr">
        <is>
          <t>2021-07-15</t>
        </is>
      </c>
      <c r="B9" t="n">
        <v>1828.400024414062</v>
      </c>
      <c r="C9" t="n">
        <v>31780.73046875</v>
      </c>
    </row>
    <row r="10">
      <c r="A10" t="inlineStr">
        <is>
          <t>2021-07-16</t>
        </is>
      </c>
      <c r="B10" t="n">
        <v>1814.5</v>
      </c>
      <c r="C10" t="n">
        <v>31421.5390625</v>
      </c>
    </row>
    <row r="11">
      <c r="A11" t="inlineStr">
        <is>
          <t>2021-07-19</t>
        </is>
      </c>
      <c r="B11" t="n">
        <v>1808.699951171875</v>
      </c>
      <c r="C11" t="n">
        <v>30817.83203125</v>
      </c>
    </row>
    <row r="12">
      <c r="A12" t="inlineStr">
        <is>
          <t>2021-07-20</t>
        </is>
      </c>
      <c r="B12" t="n">
        <v>1810.900024414062</v>
      </c>
      <c r="C12" t="n">
        <v>29807.34765625</v>
      </c>
    </row>
    <row r="13">
      <c r="A13" t="inlineStr">
        <is>
          <t>2021-07-21</t>
        </is>
      </c>
      <c r="B13" t="n">
        <v>1802.900024414062</v>
      </c>
      <c r="C13" t="n">
        <v>32110.693359375</v>
      </c>
    </row>
    <row r="14">
      <c r="A14" t="inlineStr">
        <is>
          <t>2021-07-22</t>
        </is>
      </c>
      <c r="B14" t="n">
        <v>1805</v>
      </c>
      <c r="C14" t="n">
        <v>32313.10546875</v>
      </c>
    </row>
    <row r="15">
      <c r="A15" t="inlineStr">
        <is>
          <t>2021-07-23</t>
        </is>
      </c>
      <c r="B15" t="n">
        <v>1801.400024414062</v>
      </c>
      <c r="C15" t="n">
        <v>33581.55078125</v>
      </c>
    </row>
    <row r="16">
      <c r="A16" t="inlineStr">
        <is>
          <t>2021-07-26</t>
        </is>
      </c>
      <c r="B16" t="n">
        <v>1798.699951171875</v>
      </c>
      <c r="C16" t="n">
        <v>37337.53515625</v>
      </c>
    </row>
    <row r="17">
      <c r="A17" t="inlineStr">
        <is>
          <t>2021-07-27</t>
        </is>
      </c>
      <c r="B17" t="n">
        <v>1799.5</v>
      </c>
      <c r="C17" t="n">
        <v>39406.94140625</v>
      </c>
    </row>
    <row r="18">
      <c r="A18" t="inlineStr">
        <is>
          <t>2021-07-28</t>
        </is>
      </c>
      <c r="B18" t="n">
        <v>1799.5</v>
      </c>
      <c r="C18" t="n">
        <v>39995.90625</v>
      </c>
    </row>
    <row r="19">
      <c r="A19" t="inlineStr">
        <is>
          <t>2021-07-29</t>
        </is>
      </c>
      <c r="B19" t="n">
        <v>1831.199951171875</v>
      </c>
      <c r="C19" t="n">
        <v>40008.421875</v>
      </c>
    </row>
    <row r="20">
      <c r="A20" t="inlineStr">
        <is>
          <t>2021-07-30</t>
        </is>
      </c>
      <c r="B20" t="n">
        <v>1812.599975585938</v>
      </c>
      <c r="C20" t="n">
        <v>42235.546875</v>
      </c>
    </row>
    <row r="21">
      <c r="A21" t="inlineStr">
        <is>
          <t>2021-08-02</t>
        </is>
      </c>
      <c r="B21" t="n">
        <v>1818.099975585938</v>
      </c>
      <c r="C21" t="n">
        <v>39201.9453125</v>
      </c>
    </row>
    <row r="22">
      <c r="A22" t="inlineStr">
        <is>
          <t>2021-08-03</t>
        </is>
      </c>
      <c r="B22" t="n">
        <v>1810.099975585938</v>
      </c>
      <c r="C22" t="n">
        <v>38152.98046875</v>
      </c>
    </row>
    <row r="23">
      <c r="A23" t="inlineStr">
        <is>
          <t>2021-08-04</t>
        </is>
      </c>
      <c r="B23" t="n">
        <v>1810.5</v>
      </c>
      <c r="C23" t="n">
        <v>39747.50390625</v>
      </c>
    </row>
    <row r="24">
      <c r="A24" t="inlineStr">
        <is>
          <t>2021-08-05</t>
        </is>
      </c>
      <c r="B24" t="n">
        <v>1805.099975585938</v>
      </c>
      <c r="C24" t="n">
        <v>40869.5546875</v>
      </c>
    </row>
    <row r="25">
      <c r="A25" t="inlineStr">
        <is>
          <t>2021-08-06</t>
        </is>
      </c>
      <c r="B25" t="n">
        <v>1760</v>
      </c>
      <c r="C25" t="n">
        <v>42816.5</v>
      </c>
    </row>
    <row r="26">
      <c r="A26" t="inlineStr">
        <is>
          <t>2021-08-09</t>
        </is>
      </c>
      <c r="B26" t="n">
        <v>1723.400024414062</v>
      </c>
      <c r="C26" t="n">
        <v>46365.40234375</v>
      </c>
    </row>
    <row r="27">
      <c r="A27" t="inlineStr">
        <is>
          <t>2021-08-10</t>
        </is>
      </c>
      <c r="B27" t="n">
        <v>1728.800048828125</v>
      </c>
      <c r="C27" t="n">
        <v>45585.03125</v>
      </c>
    </row>
    <row r="28">
      <c r="A28" t="inlineStr">
        <is>
          <t>2021-08-11</t>
        </is>
      </c>
      <c r="B28" t="n">
        <v>1750.400024414062</v>
      </c>
      <c r="C28" t="n">
        <v>45593.63671875</v>
      </c>
    </row>
    <row r="29">
      <c r="A29" t="inlineStr">
        <is>
          <t>2021-08-12</t>
        </is>
      </c>
      <c r="B29" t="n">
        <v>1749</v>
      </c>
      <c r="C29" t="n">
        <v>44428.2890625</v>
      </c>
    </row>
    <row r="30">
      <c r="A30" t="inlineStr">
        <is>
          <t>2021-08-13</t>
        </is>
      </c>
      <c r="B30" t="n">
        <v>1775.199951171875</v>
      </c>
      <c r="C30" t="n">
        <v>47793.3203125</v>
      </c>
    </row>
    <row r="31">
      <c r="A31" t="inlineStr">
        <is>
          <t>2021-08-16</t>
        </is>
      </c>
      <c r="B31" t="n">
        <v>1786.900024414062</v>
      </c>
      <c r="C31" t="n">
        <v>46004.484375</v>
      </c>
    </row>
    <row r="32">
      <c r="A32" t="inlineStr">
        <is>
          <t>2021-08-17</t>
        </is>
      </c>
      <c r="B32" t="n">
        <v>1785</v>
      </c>
      <c r="C32" t="n">
        <v>44695.359375</v>
      </c>
    </row>
    <row r="33">
      <c r="A33" t="inlineStr">
        <is>
          <t>2021-08-18</t>
        </is>
      </c>
      <c r="B33" t="n">
        <v>1781.599975585938</v>
      </c>
      <c r="C33" t="n">
        <v>44801.1875</v>
      </c>
    </row>
    <row r="34">
      <c r="A34" t="inlineStr">
        <is>
          <t>2021-08-19</t>
        </is>
      </c>
      <c r="B34" t="n">
        <v>1780.199951171875</v>
      </c>
      <c r="C34" t="n">
        <v>46717.578125</v>
      </c>
    </row>
    <row r="35">
      <c r="A35" t="inlineStr">
        <is>
          <t>2021-08-20</t>
        </is>
      </c>
      <c r="B35" t="n">
        <v>1781</v>
      </c>
      <c r="C35" t="n">
        <v>49339.17578125</v>
      </c>
    </row>
    <row r="36">
      <c r="A36" t="inlineStr">
        <is>
          <t>2021-08-23</t>
        </is>
      </c>
      <c r="B36" t="n">
        <v>1803.199951171875</v>
      </c>
      <c r="C36" t="n">
        <v>49546.1484375</v>
      </c>
    </row>
    <row r="37">
      <c r="A37" t="inlineStr">
        <is>
          <t>2021-08-24</t>
        </is>
      </c>
      <c r="B37" t="n">
        <v>1805.599975585938</v>
      </c>
      <c r="C37" t="n">
        <v>47706.1171875</v>
      </c>
    </row>
    <row r="38">
      <c r="A38" t="inlineStr">
        <is>
          <t>2021-08-25</t>
        </is>
      </c>
      <c r="B38" t="n">
        <v>1788.199951171875</v>
      </c>
      <c r="C38" t="n">
        <v>48960.7890625</v>
      </c>
    </row>
    <row r="39">
      <c r="A39" t="inlineStr">
        <is>
          <t>2021-08-26</t>
        </is>
      </c>
      <c r="B39" t="n">
        <v>1792.199951171875</v>
      </c>
      <c r="C39" t="n">
        <v>46942.21875</v>
      </c>
    </row>
    <row r="40">
      <c r="A40" t="inlineStr">
        <is>
          <t>2021-08-27</t>
        </is>
      </c>
      <c r="B40" t="n">
        <v>1816.599975585938</v>
      </c>
      <c r="C40" t="n">
        <v>49058.66796875</v>
      </c>
    </row>
    <row r="41">
      <c r="A41" t="inlineStr">
        <is>
          <t>2021-08-30</t>
        </is>
      </c>
      <c r="B41" t="n">
        <v>1809</v>
      </c>
      <c r="C41" t="n">
        <v>47054.984375</v>
      </c>
    </row>
    <row r="42">
      <c r="A42" t="inlineStr">
        <is>
          <t>2021-08-31</t>
        </is>
      </c>
      <c r="B42" t="n">
        <v>1815</v>
      </c>
      <c r="C42" t="n">
        <v>47166.6875</v>
      </c>
    </row>
    <row r="43">
      <c r="A43" t="inlineStr">
        <is>
          <t>2021-09-01</t>
        </is>
      </c>
      <c r="B43" t="n">
        <v>1813.099975585938</v>
      </c>
      <c r="C43" t="n">
        <v>48847.02734375</v>
      </c>
    </row>
    <row r="44">
      <c r="A44" t="inlineStr">
        <is>
          <t>2021-09-02</t>
        </is>
      </c>
      <c r="B44" t="n">
        <v>1808.699951171875</v>
      </c>
      <c r="C44" t="n">
        <v>49327.72265625</v>
      </c>
    </row>
    <row r="45">
      <c r="A45" t="inlineStr">
        <is>
          <t>2021-09-03</t>
        </is>
      </c>
      <c r="B45" t="n">
        <v>1830.900024414062</v>
      </c>
      <c r="C45" t="n">
        <v>50025.375</v>
      </c>
    </row>
    <row r="46">
      <c r="A46" t="inlineStr">
        <is>
          <t>2021-09-07</t>
        </is>
      </c>
      <c r="B46" t="n">
        <v>1795.900024414062</v>
      </c>
      <c r="C46" t="n">
        <v>46811.12890625</v>
      </c>
    </row>
    <row r="47">
      <c r="A47" t="inlineStr">
        <is>
          <t>2021-09-08</t>
        </is>
      </c>
      <c r="B47" t="n">
        <v>1790.699951171875</v>
      </c>
      <c r="C47" t="n">
        <v>46091.390625</v>
      </c>
    </row>
    <row r="48">
      <c r="A48" t="inlineStr">
        <is>
          <t>2021-09-09</t>
        </is>
      </c>
      <c r="B48" t="n">
        <v>1797.400024414062</v>
      </c>
      <c r="C48" t="n">
        <v>46391.421875</v>
      </c>
    </row>
    <row r="49">
      <c r="A49" t="inlineStr">
        <is>
          <t>2021-09-10</t>
        </is>
      </c>
      <c r="B49" t="n">
        <v>1789.599975585938</v>
      </c>
      <c r="C49" t="n">
        <v>44883.91015625</v>
      </c>
    </row>
    <row r="50">
      <c r="A50" t="inlineStr">
        <is>
          <t>2021-09-13</t>
        </is>
      </c>
      <c r="B50" t="n">
        <v>1792</v>
      </c>
      <c r="C50" t="n">
        <v>44963.07421875</v>
      </c>
    </row>
    <row r="51">
      <c r="A51" t="inlineStr">
        <is>
          <t>2021-09-14</t>
        </is>
      </c>
      <c r="B51" t="n">
        <v>1804.699951171875</v>
      </c>
      <c r="C51" t="n">
        <v>47092.4921875</v>
      </c>
    </row>
    <row r="52">
      <c r="A52" t="inlineStr">
        <is>
          <t>2021-09-15</t>
        </is>
      </c>
      <c r="B52" t="n">
        <v>1792.400024414062</v>
      </c>
      <c r="C52" t="n">
        <v>48176.34765625</v>
      </c>
    </row>
    <row r="53">
      <c r="A53" t="inlineStr">
        <is>
          <t>2021-09-16</t>
        </is>
      </c>
      <c r="B53" t="n">
        <v>1754.599975585938</v>
      </c>
      <c r="C53" t="n">
        <v>47783.359375</v>
      </c>
    </row>
    <row r="54">
      <c r="A54" t="inlineStr">
        <is>
          <t>2021-09-17</t>
        </is>
      </c>
      <c r="B54" t="n">
        <v>1749.400024414062</v>
      </c>
      <c r="C54" t="n">
        <v>47267.51953125</v>
      </c>
    </row>
    <row r="55">
      <c r="A55" t="inlineStr">
        <is>
          <t>2021-09-20</t>
        </is>
      </c>
      <c r="B55" t="n">
        <v>1761.800048828125</v>
      </c>
      <c r="C55" t="n">
        <v>42843.80078125</v>
      </c>
    </row>
    <row r="56">
      <c r="A56" t="inlineStr">
        <is>
          <t>2021-09-21</t>
        </is>
      </c>
      <c r="B56" t="n">
        <v>1776</v>
      </c>
      <c r="C56" t="n">
        <v>40693.67578125</v>
      </c>
    </row>
    <row r="57">
      <c r="A57" t="inlineStr">
        <is>
          <t>2021-09-22</t>
        </is>
      </c>
      <c r="B57" t="n">
        <v>1776.699951171875</v>
      </c>
      <c r="C57" t="n">
        <v>43574.5078125</v>
      </c>
    </row>
    <row r="58">
      <c r="A58" t="inlineStr">
        <is>
          <t>2021-09-23</t>
        </is>
      </c>
      <c r="B58" t="n">
        <v>1747.699951171875</v>
      </c>
      <c r="C58" t="n">
        <v>44895.09765625</v>
      </c>
    </row>
    <row r="59">
      <c r="A59" t="inlineStr">
        <is>
          <t>2021-09-24</t>
        </is>
      </c>
      <c r="B59" t="n">
        <v>1749.699951171875</v>
      </c>
      <c r="C59" t="n">
        <v>42839.75</v>
      </c>
    </row>
    <row r="60">
      <c r="A60" t="inlineStr">
        <is>
          <t>2021-09-27</t>
        </is>
      </c>
      <c r="B60" t="n">
        <v>1750</v>
      </c>
      <c r="C60" t="n">
        <v>42235.73046875</v>
      </c>
    </row>
    <row r="61">
      <c r="A61" t="inlineStr">
        <is>
          <t>2021-09-28</t>
        </is>
      </c>
      <c r="B61" t="n">
        <v>1735.800048828125</v>
      </c>
      <c r="C61" t="n">
        <v>41034.54296875</v>
      </c>
    </row>
    <row r="62">
      <c r="A62" t="inlineStr">
        <is>
          <t>2021-09-29</t>
        </is>
      </c>
      <c r="B62" t="n">
        <v>1721.5</v>
      </c>
      <c r="C62" t="n">
        <v>41564.36328125</v>
      </c>
    </row>
    <row r="63">
      <c r="A63" t="inlineStr">
        <is>
          <t>2021-09-30</t>
        </is>
      </c>
      <c r="B63" t="n">
        <v>1755.300048828125</v>
      </c>
      <c r="C63" t="n">
        <v>43790.89453125</v>
      </c>
    </row>
    <row r="64">
      <c r="A64" t="inlineStr">
        <is>
          <t>2021-10-01</t>
        </is>
      </c>
      <c r="B64" t="n">
        <v>1757</v>
      </c>
      <c r="C64" t="n">
        <v>48116.94140625</v>
      </c>
    </row>
    <row r="65">
      <c r="A65" t="inlineStr">
        <is>
          <t>2021-10-04</t>
        </is>
      </c>
      <c r="B65" t="n">
        <v>1766.199951171875</v>
      </c>
      <c r="C65" t="n">
        <v>49112.90234375</v>
      </c>
    </row>
    <row r="66">
      <c r="A66" t="inlineStr">
        <is>
          <t>2021-10-05</t>
        </is>
      </c>
      <c r="B66" t="n">
        <v>1759.599975585938</v>
      </c>
      <c r="C66" t="n">
        <v>51514.8125</v>
      </c>
    </row>
    <row r="67">
      <c r="A67" t="inlineStr">
        <is>
          <t>2021-10-06</t>
        </is>
      </c>
      <c r="B67" t="n">
        <v>1760.5</v>
      </c>
      <c r="C67" t="n">
        <v>55361.44921875</v>
      </c>
    </row>
    <row r="68">
      <c r="A68" t="inlineStr">
        <is>
          <t>2021-10-07</t>
        </is>
      </c>
      <c r="B68" t="n">
        <v>1757.900024414062</v>
      </c>
      <c r="C68" t="n">
        <v>53805.984375</v>
      </c>
    </row>
    <row r="69">
      <c r="A69" t="inlineStr">
        <is>
          <t>2021-10-08</t>
        </is>
      </c>
      <c r="B69" t="n">
        <v>1756.300048828125</v>
      </c>
      <c r="C69" t="n">
        <v>53967.84765625</v>
      </c>
    </row>
    <row r="70">
      <c r="A70" t="inlineStr">
        <is>
          <t>2021-10-11</t>
        </is>
      </c>
      <c r="B70" t="n">
        <v>1754.599975585938</v>
      </c>
      <c r="C70" t="n">
        <v>57484.7890625</v>
      </c>
    </row>
    <row r="71">
      <c r="A71" t="inlineStr">
        <is>
          <t>2021-10-12</t>
        </is>
      </c>
      <c r="B71" t="n">
        <v>1758.300048828125</v>
      </c>
      <c r="C71" t="n">
        <v>56041.05859375</v>
      </c>
    </row>
    <row r="72">
      <c r="A72" t="inlineStr">
        <is>
          <t>2021-10-13</t>
        </is>
      </c>
      <c r="B72" t="n">
        <v>1793.699951171875</v>
      </c>
      <c r="C72" t="n">
        <v>57401.09765625</v>
      </c>
    </row>
    <row r="73">
      <c r="A73" t="inlineStr">
        <is>
          <t>2021-10-14</t>
        </is>
      </c>
      <c r="B73" t="n">
        <v>1796.699951171875</v>
      </c>
      <c r="C73" t="n">
        <v>57321.5234375</v>
      </c>
    </row>
    <row r="74">
      <c r="A74" t="inlineStr">
        <is>
          <t>2021-10-15</t>
        </is>
      </c>
      <c r="B74" t="n">
        <v>1767.199951171875</v>
      </c>
      <c r="C74" t="n">
        <v>61593.94921875</v>
      </c>
    </row>
    <row r="75">
      <c r="A75" t="inlineStr">
        <is>
          <t>2021-10-18</t>
        </is>
      </c>
      <c r="B75" t="n">
        <v>1764.800048828125</v>
      </c>
      <c r="C75" t="n">
        <v>62026.078125</v>
      </c>
    </row>
    <row r="76">
      <c r="A76" t="inlineStr">
        <is>
          <t>2021-10-19</t>
        </is>
      </c>
      <c r="B76" t="n">
        <v>1769.699951171875</v>
      </c>
      <c r="C76" t="n">
        <v>64261.9921875</v>
      </c>
    </row>
    <row r="77">
      <c r="A77" t="inlineStr">
        <is>
          <t>2021-10-20</t>
        </is>
      </c>
      <c r="B77" t="n">
        <v>1784.099975585938</v>
      </c>
      <c r="C77" t="n">
        <v>65992.8359375</v>
      </c>
    </row>
    <row r="78">
      <c r="A78" t="inlineStr">
        <is>
          <t>2021-10-21</t>
        </is>
      </c>
      <c r="B78" t="n">
        <v>1781.199951171875</v>
      </c>
      <c r="C78" t="n">
        <v>62210.171875</v>
      </c>
    </row>
    <row r="79">
      <c r="A79" t="inlineStr">
        <is>
          <t>2021-10-22</t>
        </is>
      </c>
      <c r="B79" t="n">
        <v>1795.5</v>
      </c>
      <c r="C79" t="n">
        <v>60692.265625</v>
      </c>
    </row>
    <row r="80">
      <c r="A80" t="inlineStr">
        <is>
          <t>2021-10-25</t>
        </is>
      </c>
      <c r="B80" t="n">
        <v>1806</v>
      </c>
      <c r="C80" t="n">
        <v>63039.82421875</v>
      </c>
    </row>
    <row r="81">
      <c r="A81" t="inlineStr">
        <is>
          <t>2021-10-26</t>
        </is>
      </c>
      <c r="B81" t="n">
        <v>1792.699951171875</v>
      </c>
      <c r="C81" t="n">
        <v>60363.79296875</v>
      </c>
    </row>
    <row r="82">
      <c r="A82" t="inlineStr">
        <is>
          <t>2021-10-27</t>
        </is>
      </c>
      <c r="B82" t="n">
        <v>1797.900024414062</v>
      </c>
      <c r="C82" t="n">
        <v>58482.38671875</v>
      </c>
    </row>
    <row r="83">
      <c r="A83" t="inlineStr">
        <is>
          <t>2021-10-28</t>
        </is>
      </c>
      <c r="B83" t="n">
        <v>1801.599975585938</v>
      </c>
      <c r="C83" t="n">
        <v>60622.13671875</v>
      </c>
    </row>
    <row r="84">
      <c r="A84" t="inlineStr">
        <is>
          <t>2021-10-29</t>
        </is>
      </c>
      <c r="B84" t="n">
        <v>1783</v>
      </c>
      <c r="C84" t="n">
        <v>62227.96484375</v>
      </c>
    </row>
    <row r="85">
      <c r="A85" t="inlineStr">
        <is>
          <t>2021-11-01</t>
        </is>
      </c>
      <c r="B85" t="n">
        <v>1795.099975585938</v>
      </c>
      <c r="C85" t="n">
        <v>61004.40625</v>
      </c>
    </row>
    <row r="86">
      <c r="A86" t="inlineStr">
        <is>
          <t>2021-11-02</t>
        </is>
      </c>
      <c r="B86" t="n">
        <v>1788.699951171875</v>
      </c>
      <c r="C86" t="n">
        <v>63226.40234375</v>
      </c>
    </row>
    <row r="87">
      <c r="A87" t="inlineStr">
        <is>
          <t>2021-11-03</t>
        </is>
      </c>
      <c r="B87" t="n">
        <v>1763.599975585938</v>
      </c>
      <c r="C87" t="n">
        <v>62970.046875</v>
      </c>
    </row>
    <row r="88">
      <c r="A88" t="inlineStr">
        <is>
          <t>2021-11-04</t>
        </is>
      </c>
      <c r="B88" t="n">
        <v>1793</v>
      </c>
      <c r="C88" t="n">
        <v>61452.23046875</v>
      </c>
    </row>
    <row r="89">
      <c r="A89" t="inlineStr">
        <is>
          <t>2021-11-05</t>
        </is>
      </c>
      <c r="B89" t="n">
        <v>1816.400024414062</v>
      </c>
      <c r="C89" t="n">
        <v>61125.67578125</v>
      </c>
    </row>
    <row r="90">
      <c r="A90" t="inlineStr">
        <is>
          <t>2021-11-08</t>
        </is>
      </c>
      <c r="B90" t="n">
        <v>1827.400024414062</v>
      </c>
      <c r="C90" t="n">
        <v>67566.828125</v>
      </c>
    </row>
    <row r="91">
      <c r="A91" t="inlineStr">
        <is>
          <t>2021-11-09</t>
        </is>
      </c>
      <c r="B91" t="n">
        <v>1830.199951171875</v>
      </c>
      <c r="C91" t="n">
        <v>66971.828125</v>
      </c>
    </row>
    <row r="92">
      <c r="A92" t="inlineStr">
        <is>
          <t>2021-11-10</t>
        </is>
      </c>
      <c r="B92" t="n">
        <v>1847.599975585938</v>
      </c>
      <c r="C92" t="n">
        <v>64995.23046875</v>
      </c>
    </row>
    <row r="93">
      <c r="A93" t="inlineStr">
        <is>
          <t>2021-11-11</t>
        </is>
      </c>
      <c r="B93" t="n">
        <v>1863.199951171875</v>
      </c>
      <c r="C93" t="n">
        <v>64949.9609375</v>
      </c>
    </row>
    <row r="94">
      <c r="A94" t="inlineStr">
        <is>
          <t>2021-11-12</t>
        </is>
      </c>
      <c r="B94" t="n">
        <v>1867.900024414062</v>
      </c>
      <c r="C94" t="n">
        <v>64155.94140625</v>
      </c>
    </row>
    <row r="95">
      <c r="A95" t="inlineStr">
        <is>
          <t>2021-11-15</t>
        </is>
      </c>
      <c r="B95" t="n">
        <v>1866.099975585938</v>
      </c>
      <c r="C95" t="n">
        <v>63557.87109375</v>
      </c>
    </row>
    <row r="96">
      <c r="A96" t="inlineStr">
        <is>
          <t>2021-11-16</t>
        </is>
      </c>
      <c r="B96" t="n">
        <v>1853.599975585938</v>
      </c>
      <c r="C96" t="n">
        <v>60161.24609375</v>
      </c>
    </row>
    <row r="97">
      <c r="A97" t="inlineStr">
        <is>
          <t>2021-11-17</t>
        </is>
      </c>
      <c r="B97" t="n">
        <v>1869.699951171875</v>
      </c>
      <c r="C97" t="n">
        <v>60368.01171875</v>
      </c>
    </row>
    <row r="98">
      <c r="A98" t="inlineStr">
        <is>
          <t>2021-11-18</t>
        </is>
      </c>
      <c r="B98" t="n">
        <v>1861</v>
      </c>
      <c r="C98" t="n">
        <v>56942.13671875</v>
      </c>
    </row>
    <row r="99">
      <c r="A99" t="inlineStr">
        <is>
          <t>2021-11-19</t>
        </is>
      </c>
      <c r="B99" t="n">
        <v>1851.199951171875</v>
      </c>
      <c r="C99" t="n">
        <v>58119.578125</v>
      </c>
    </row>
    <row r="100">
      <c r="A100" t="inlineStr">
        <is>
          <t>2021-11-22</t>
        </is>
      </c>
      <c r="B100" t="n">
        <v>1806</v>
      </c>
      <c r="C100" t="n">
        <v>56289.2890625</v>
      </c>
    </row>
    <row r="101">
      <c r="A101" t="inlineStr">
        <is>
          <t>2021-11-23</t>
        </is>
      </c>
      <c r="B101" t="n">
        <v>1783.5</v>
      </c>
      <c r="C101" t="n">
        <v>57569.07421875</v>
      </c>
    </row>
    <row r="102">
      <c r="A102" t="inlineStr">
        <is>
          <t>2021-11-24</t>
        </is>
      </c>
      <c r="B102" t="n">
        <v>1784.099975585938</v>
      </c>
      <c r="C102" t="n">
        <v>56280.42578125</v>
      </c>
    </row>
    <row r="103">
      <c r="A103" t="inlineStr">
        <is>
          <t>2021-11-26</t>
        </is>
      </c>
      <c r="B103" t="n">
        <v>1785.300048828125</v>
      </c>
      <c r="C103" t="n">
        <v>53569.765625</v>
      </c>
    </row>
    <row r="104">
      <c r="A104" t="inlineStr">
        <is>
          <t>2021-11-29</t>
        </is>
      </c>
      <c r="B104" t="n">
        <v>1782.300048828125</v>
      </c>
      <c r="C104" t="n">
        <v>57806.56640625</v>
      </c>
    </row>
    <row r="105">
      <c r="A105" t="inlineStr">
        <is>
          <t>2021-11-30</t>
        </is>
      </c>
      <c r="B105" t="n">
        <v>1773.599975585938</v>
      </c>
      <c r="C105" t="n">
        <v>57005.42578125</v>
      </c>
    </row>
    <row r="106">
      <c r="A106" t="inlineStr">
        <is>
          <t>2021-12-01</t>
        </is>
      </c>
      <c r="B106" t="n">
        <v>1781.599975585938</v>
      </c>
      <c r="C106" t="n">
        <v>57229.828125</v>
      </c>
    </row>
    <row r="107">
      <c r="A107" t="inlineStr">
        <is>
          <t>2021-12-02</t>
        </is>
      </c>
      <c r="B107" t="n">
        <v>1760.699951171875</v>
      </c>
      <c r="C107" t="n">
        <v>56477.81640625</v>
      </c>
    </row>
    <row r="108">
      <c r="A108" t="inlineStr">
        <is>
          <t>2021-12-03</t>
        </is>
      </c>
      <c r="B108" t="n">
        <v>1782</v>
      </c>
      <c r="C108" t="n">
        <v>53598.24609375</v>
      </c>
    </row>
    <row r="109">
      <c r="A109" t="inlineStr">
        <is>
          <t>2021-12-06</t>
        </is>
      </c>
      <c r="B109" t="n">
        <v>1777.5</v>
      </c>
      <c r="C109" t="n">
        <v>50582.625</v>
      </c>
    </row>
    <row r="110">
      <c r="A110" t="inlineStr">
        <is>
          <t>2021-12-07</t>
        </is>
      </c>
      <c r="B110" t="n">
        <v>1782.599975585938</v>
      </c>
      <c r="C110" t="n">
        <v>50700.0859375</v>
      </c>
    </row>
    <row r="111">
      <c r="A111" t="inlineStr">
        <is>
          <t>2021-12-08</t>
        </is>
      </c>
      <c r="B111" t="n">
        <v>1783.400024414062</v>
      </c>
      <c r="C111" t="n">
        <v>50504.796875</v>
      </c>
    </row>
    <row r="112">
      <c r="A112" t="inlineStr">
        <is>
          <t>2021-12-09</t>
        </is>
      </c>
      <c r="B112" t="n">
        <v>1774.599975585938</v>
      </c>
      <c r="C112" t="n">
        <v>47672.12109375</v>
      </c>
    </row>
    <row r="113">
      <c r="A113" t="inlineStr">
        <is>
          <t>2021-12-10</t>
        </is>
      </c>
      <c r="B113" t="n">
        <v>1782.900024414062</v>
      </c>
      <c r="C113" t="n">
        <v>47243.3046875</v>
      </c>
    </row>
    <row r="114">
      <c r="A114" t="inlineStr">
        <is>
          <t>2021-12-13</t>
        </is>
      </c>
      <c r="B114" t="n">
        <v>1786.300048828125</v>
      </c>
      <c r="C114" t="n">
        <v>46737.48046875</v>
      </c>
    </row>
    <row r="115">
      <c r="A115" t="inlineStr">
        <is>
          <t>2021-12-14</t>
        </is>
      </c>
      <c r="B115" t="n">
        <v>1770.400024414062</v>
      </c>
      <c r="C115" t="n">
        <v>46612.6328125</v>
      </c>
    </row>
    <row r="116">
      <c r="A116" t="inlineStr">
        <is>
          <t>2021-12-15</t>
        </is>
      </c>
      <c r="B116" t="n">
        <v>1762.599975585938</v>
      </c>
      <c r="C116" t="n">
        <v>48896.72265625</v>
      </c>
    </row>
    <row r="117">
      <c r="A117" t="inlineStr">
        <is>
          <t>2021-12-16</t>
        </is>
      </c>
      <c r="B117" t="n">
        <v>1796.599975585938</v>
      </c>
      <c r="C117" t="n">
        <v>47665.42578125</v>
      </c>
    </row>
    <row r="118">
      <c r="A118" t="inlineStr">
        <is>
          <t>2021-12-17</t>
        </is>
      </c>
      <c r="B118" t="n">
        <v>1803.800048828125</v>
      </c>
      <c r="C118" t="n">
        <v>46202.14453125</v>
      </c>
    </row>
    <row r="119">
      <c r="A119" t="inlineStr">
        <is>
          <t>2021-12-20</t>
        </is>
      </c>
      <c r="B119" t="n">
        <v>1793.699951171875</v>
      </c>
      <c r="C119" t="n">
        <v>46880.27734375</v>
      </c>
    </row>
    <row r="120">
      <c r="A120" t="inlineStr">
        <is>
          <t>2021-12-21</t>
        </is>
      </c>
      <c r="B120" t="n">
        <v>1787.900024414062</v>
      </c>
      <c r="C120" t="n">
        <v>48936.61328125</v>
      </c>
    </row>
    <row r="121">
      <c r="A121" t="inlineStr">
        <is>
          <t>2021-12-22</t>
        </is>
      </c>
      <c r="B121" t="n">
        <v>1801.599975585938</v>
      </c>
      <c r="C121" t="n">
        <v>48628.51171875</v>
      </c>
    </row>
    <row r="122">
      <c r="A122" t="inlineStr">
        <is>
          <t>2021-12-23</t>
        </is>
      </c>
      <c r="B122" t="n">
        <v>1811.199951171875</v>
      </c>
      <c r="C122" t="n">
        <v>50784.5390625</v>
      </c>
    </row>
    <row r="123">
      <c r="A123" t="inlineStr">
        <is>
          <t>2021-12-27</t>
        </is>
      </c>
      <c r="B123" t="n">
        <v>1808.099975585938</v>
      </c>
      <c r="C123" t="n">
        <v>50640.41796875</v>
      </c>
    </row>
    <row r="124">
      <c r="A124" t="inlineStr">
        <is>
          <t>2021-12-28</t>
        </is>
      </c>
      <c r="B124" t="n">
        <v>1810.199951171875</v>
      </c>
      <c r="C124" t="n">
        <v>47588.85546875</v>
      </c>
    </row>
    <row r="125">
      <c r="A125" t="inlineStr">
        <is>
          <t>2021-12-29</t>
        </is>
      </c>
      <c r="B125" t="n">
        <v>1805.099975585938</v>
      </c>
      <c r="C125" t="n">
        <v>46444.7109375</v>
      </c>
    </row>
    <row r="126">
      <c r="A126" t="inlineStr">
        <is>
          <t>2021-12-30</t>
        </is>
      </c>
      <c r="B126" t="n">
        <v>1812.699951171875</v>
      </c>
      <c r="C126" t="n">
        <v>47178.125</v>
      </c>
    </row>
    <row r="127">
      <c r="A127" t="inlineStr">
        <is>
          <t>2021-12-31</t>
        </is>
      </c>
      <c r="B127" t="n">
        <v>1827.5</v>
      </c>
      <c r="C127" t="n">
        <v>46306.4453125</v>
      </c>
    </row>
    <row r="128">
      <c r="A128" t="inlineStr">
        <is>
          <t>2022-01-03</t>
        </is>
      </c>
      <c r="B128" t="n">
        <v>1799.400024414062</v>
      </c>
      <c r="C128" t="n">
        <v>46458.1171875</v>
      </c>
    </row>
    <row r="129">
      <c r="A129" t="inlineStr">
        <is>
          <t>2022-01-04</t>
        </is>
      </c>
      <c r="B129" t="n">
        <v>1814</v>
      </c>
      <c r="C129" t="n">
        <v>45897.57421875</v>
      </c>
    </row>
    <row r="130">
      <c r="A130" t="inlineStr">
        <is>
          <t>2022-01-05</t>
        </is>
      </c>
      <c r="B130" t="n">
        <v>1824.599975585938</v>
      </c>
      <c r="C130" t="n">
        <v>43569.00390625</v>
      </c>
    </row>
    <row r="131">
      <c r="A131" t="inlineStr">
        <is>
          <t>2022-01-06</t>
        </is>
      </c>
      <c r="B131" t="n">
        <v>1788.699951171875</v>
      </c>
      <c r="C131" t="n">
        <v>43160.9296875</v>
      </c>
    </row>
    <row r="132">
      <c r="A132" t="inlineStr">
        <is>
          <t>2022-01-07</t>
        </is>
      </c>
      <c r="B132" t="n">
        <v>1797</v>
      </c>
      <c r="C132" t="n">
        <v>41557.90234375</v>
      </c>
    </row>
    <row r="133">
      <c r="A133" t="inlineStr">
        <is>
          <t>2022-01-10</t>
        </is>
      </c>
      <c r="B133" t="n">
        <v>1798.400024414062</v>
      </c>
      <c r="C133" t="n">
        <v>41821.26171875</v>
      </c>
    </row>
    <row r="134">
      <c r="A134" t="inlineStr">
        <is>
          <t>2022-01-11</t>
        </is>
      </c>
      <c r="B134" t="n">
        <v>1818.599975585938</v>
      </c>
      <c r="C134" t="n">
        <v>42735.85546875</v>
      </c>
    </row>
    <row r="135">
      <c r="A135" t="inlineStr">
        <is>
          <t>2022-01-12</t>
        </is>
      </c>
      <c r="B135" t="n">
        <v>1827.199951171875</v>
      </c>
      <c r="C135" t="n">
        <v>43949.1015625</v>
      </c>
    </row>
    <row r="136">
      <c r="A136" t="inlineStr">
        <is>
          <t>2022-01-13</t>
        </is>
      </c>
      <c r="B136" t="n">
        <v>1821.199951171875</v>
      </c>
      <c r="C136" t="n">
        <v>42591.5703125</v>
      </c>
    </row>
    <row r="137">
      <c r="A137" t="inlineStr">
        <is>
          <t>2022-01-14</t>
        </is>
      </c>
      <c r="B137" t="n">
        <v>1816.5</v>
      </c>
      <c r="C137" t="n">
        <v>43099.69921875</v>
      </c>
    </row>
    <row r="138">
      <c r="A138" t="inlineStr">
        <is>
          <t>2022-01-18</t>
        </is>
      </c>
      <c r="B138" t="n">
        <v>1812.300048828125</v>
      </c>
      <c r="C138" t="n">
        <v>42375.6328125</v>
      </c>
    </row>
    <row r="139">
      <c r="A139" t="inlineStr">
        <is>
          <t>2022-01-19</t>
        </is>
      </c>
      <c r="B139" t="n">
        <v>1843.099975585938</v>
      </c>
      <c r="C139" t="n">
        <v>41744.328125</v>
      </c>
    </row>
    <row r="140">
      <c r="A140" t="inlineStr">
        <is>
          <t>2022-01-20</t>
        </is>
      </c>
      <c r="B140" t="n">
        <v>1842.5</v>
      </c>
      <c r="C140" t="n">
        <v>40680.41796875</v>
      </c>
    </row>
    <row r="141">
      <c r="A141" t="inlineStr">
        <is>
          <t>2022-01-21</t>
        </is>
      </c>
      <c r="B141" t="n">
        <v>1831.800048828125</v>
      </c>
      <c r="C141" t="n">
        <v>36457.31640625</v>
      </c>
    </row>
    <row r="142">
      <c r="A142" t="inlineStr">
        <is>
          <t>2022-01-24</t>
        </is>
      </c>
      <c r="B142" t="n">
        <v>1841.699951171875</v>
      </c>
      <c r="C142" t="n">
        <v>36654.328125</v>
      </c>
    </row>
    <row r="143">
      <c r="A143" t="inlineStr">
        <is>
          <t>2022-01-25</t>
        </is>
      </c>
      <c r="B143" t="n">
        <v>1852.699951171875</v>
      </c>
      <c r="C143" t="n">
        <v>36954.00390625</v>
      </c>
    </row>
    <row r="144">
      <c r="A144" t="inlineStr">
        <is>
          <t>2022-01-26</t>
        </is>
      </c>
      <c r="B144" t="n">
        <v>1829.900024414062</v>
      </c>
      <c r="C144" t="n">
        <v>36852.12109375</v>
      </c>
    </row>
    <row r="145">
      <c r="A145" t="inlineStr">
        <is>
          <t>2022-01-27</t>
        </is>
      </c>
      <c r="B145" t="n">
        <v>1793.300048828125</v>
      </c>
      <c r="C145" t="n">
        <v>37138.234375</v>
      </c>
    </row>
    <row r="146">
      <c r="A146" t="inlineStr">
        <is>
          <t>2022-01-28</t>
        </is>
      </c>
      <c r="B146" t="n">
        <v>1784.900024414062</v>
      </c>
      <c r="C146" t="n">
        <v>37784.33203125</v>
      </c>
    </row>
    <row r="147">
      <c r="A147" t="inlineStr">
        <is>
          <t>2022-01-31</t>
        </is>
      </c>
      <c r="B147" t="n">
        <v>1795</v>
      </c>
      <c r="C147" t="n">
        <v>38483.125</v>
      </c>
    </row>
    <row r="148">
      <c r="A148" t="inlineStr">
        <is>
          <t>2022-02-01</t>
        </is>
      </c>
      <c r="B148" t="n">
        <v>1800.300048828125</v>
      </c>
      <c r="C148" t="n">
        <v>38743.2734375</v>
      </c>
    </row>
    <row r="149">
      <c r="A149" t="inlineStr">
        <is>
          <t>2022-02-02</t>
        </is>
      </c>
      <c r="B149" t="n">
        <v>1809.199951171875</v>
      </c>
      <c r="C149" t="n">
        <v>36952.984375</v>
      </c>
    </row>
    <row r="150">
      <c r="A150" t="inlineStr">
        <is>
          <t>2022-02-03</t>
        </is>
      </c>
      <c r="B150" t="n">
        <v>1803</v>
      </c>
      <c r="C150" t="n">
        <v>37154.6015625</v>
      </c>
    </row>
    <row r="151">
      <c r="A151" t="inlineStr">
        <is>
          <t>2022-02-04</t>
        </is>
      </c>
      <c r="B151" t="n">
        <v>1806.599975585938</v>
      </c>
      <c r="C151" t="n">
        <v>41500.875</v>
      </c>
    </row>
    <row r="152">
      <c r="A152" t="inlineStr">
        <is>
          <t>2022-02-07</t>
        </is>
      </c>
      <c r="B152" t="n">
        <v>1820.599975585938</v>
      </c>
      <c r="C152" t="n">
        <v>43840.28515625</v>
      </c>
    </row>
    <row r="153">
      <c r="A153" t="inlineStr">
        <is>
          <t>2022-02-08</t>
        </is>
      </c>
      <c r="B153" t="n">
        <v>1826.599975585938</v>
      </c>
      <c r="C153" t="n">
        <v>44118.4453125</v>
      </c>
    </row>
    <row r="154">
      <c r="A154" t="inlineStr">
        <is>
          <t>2022-02-09</t>
        </is>
      </c>
      <c r="B154" t="n">
        <v>1835.199951171875</v>
      </c>
      <c r="C154" t="n">
        <v>44338.796875</v>
      </c>
    </row>
    <row r="155">
      <c r="A155" t="inlineStr">
        <is>
          <t>2022-02-10</t>
        </is>
      </c>
      <c r="B155" t="n">
        <v>1836.199951171875</v>
      </c>
      <c r="C155" t="n">
        <v>43565.11328125</v>
      </c>
    </row>
    <row r="156">
      <c r="A156" t="inlineStr">
        <is>
          <t>2022-02-11</t>
        </is>
      </c>
      <c r="B156" t="n">
        <v>1840.800048828125</v>
      </c>
      <c r="C156" t="n">
        <v>42407.9375</v>
      </c>
    </row>
    <row r="157">
      <c r="A157" t="inlineStr">
        <is>
          <t>2022-02-14</t>
        </is>
      </c>
      <c r="B157" t="n">
        <v>1868</v>
      </c>
      <c r="C157" t="n">
        <v>42586.91796875</v>
      </c>
    </row>
    <row r="158">
      <c r="A158" t="inlineStr">
        <is>
          <t>2022-02-15</t>
        </is>
      </c>
      <c r="B158" t="n">
        <v>1854.800048828125</v>
      </c>
      <c r="C158" t="n">
        <v>44575.203125</v>
      </c>
    </row>
    <row r="159">
      <c r="A159" t="inlineStr">
        <is>
          <t>2022-02-16</t>
        </is>
      </c>
      <c r="B159" t="n">
        <v>1870.199951171875</v>
      </c>
      <c r="C159" t="n">
        <v>43961.859375</v>
      </c>
    </row>
    <row r="160">
      <c r="A160" t="inlineStr">
        <is>
          <t>2022-02-17</t>
        </is>
      </c>
      <c r="B160" t="n">
        <v>1900.699951171875</v>
      </c>
      <c r="C160" t="n">
        <v>40538.01171875</v>
      </c>
    </row>
    <row r="161">
      <c r="A161" t="inlineStr">
        <is>
          <t>2022-02-18</t>
        </is>
      </c>
      <c r="B161" t="n">
        <v>1898.599975585938</v>
      </c>
      <c r="C161" t="n">
        <v>40030.9765625</v>
      </c>
    </row>
    <row r="162">
      <c r="A162" t="inlineStr">
        <is>
          <t>2022-02-22</t>
        </is>
      </c>
      <c r="B162" t="n">
        <v>1906.099975585938</v>
      </c>
      <c r="C162" t="n">
        <v>38286.02734375</v>
      </c>
    </row>
    <row r="163">
      <c r="A163" t="inlineStr">
        <is>
          <t>2022-02-23</t>
        </is>
      </c>
      <c r="B163" t="n">
        <v>1909.199951171875</v>
      </c>
      <c r="C163" t="n">
        <v>37296.5703125</v>
      </c>
    </row>
    <row r="164">
      <c r="A164" t="inlineStr">
        <is>
          <t>2022-02-24</t>
        </is>
      </c>
      <c r="B164" t="n">
        <v>1925.099975585938</v>
      </c>
      <c r="C164" t="n">
        <v>38332.609375</v>
      </c>
    </row>
    <row r="165">
      <c r="A165" t="inlineStr">
        <is>
          <t>2022-02-25</t>
        </is>
      </c>
      <c r="B165" t="n">
        <v>1886.5</v>
      </c>
      <c r="C165" t="n">
        <v>39214.21875</v>
      </c>
    </row>
    <row r="166">
      <c r="A166" t="inlineStr">
        <is>
          <t>2022-02-28</t>
        </is>
      </c>
      <c r="B166" t="n">
        <v>1899.400024414062</v>
      </c>
      <c r="C166" t="n">
        <v>43193.234375</v>
      </c>
    </row>
    <row r="167">
      <c r="A167" t="inlineStr">
        <is>
          <t>2022-03-01</t>
        </is>
      </c>
      <c r="B167" t="n">
        <v>1942.400024414062</v>
      </c>
      <c r="C167" t="n">
        <v>44354.63671875</v>
      </c>
    </row>
    <row r="168">
      <c r="A168" t="inlineStr">
        <is>
          <t>2022-03-02</t>
        </is>
      </c>
      <c r="B168" t="n">
        <v>1920.900024414062</v>
      </c>
      <c r="C168" t="n">
        <v>43924.1171875</v>
      </c>
    </row>
    <row r="169">
      <c r="A169" t="inlineStr">
        <is>
          <t>2022-03-03</t>
        </is>
      </c>
      <c r="B169" t="n">
        <v>1934.400024414062</v>
      </c>
      <c r="C169" t="n">
        <v>42451.7890625</v>
      </c>
    </row>
    <row r="170">
      <c r="A170" t="inlineStr">
        <is>
          <t>2022-03-04</t>
        </is>
      </c>
      <c r="B170" t="n">
        <v>1965.099975585938</v>
      </c>
      <c r="C170" t="n">
        <v>39137.60546875</v>
      </c>
    </row>
    <row r="171">
      <c r="A171" t="inlineStr">
        <is>
          <t>2022-03-07</t>
        </is>
      </c>
      <c r="B171" t="n">
        <v>1993.900024414062</v>
      </c>
      <c r="C171" t="n">
        <v>38062.0390625</v>
      </c>
    </row>
    <row r="172">
      <c r="A172" t="inlineStr">
        <is>
          <t>2022-03-08</t>
        </is>
      </c>
      <c r="B172" t="n">
        <v>2040.099975585938</v>
      </c>
      <c r="C172" t="n">
        <v>38737.26953125</v>
      </c>
    </row>
    <row r="173">
      <c r="A173" t="inlineStr">
        <is>
          <t>2022-03-09</t>
        </is>
      </c>
      <c r="B173" t="n">
        <v>1985.900024414062</v>
      </c>
      <c r="C173" t="n">
        <v>41982.92578125</v>
      </c>
    </row>
    <row r="174">
      <c r="A174" t="inlineStr">
        <is>
          <t>2022-03-10</t>
        </is>
      </c>
      <c r="B174" t="n">
        <v>1998.099975585938</v>
      </c>
      <c r="C174" t="n">
        <v>39437.4609375</v>
      </c>
    </row>
    <row r="175">
      <c r="A175" t="inlineStr">
        <is>
          <t>2022-03-11</t>
        </is>
      </c>
      <c r="B175" t="n">
        <v>1982.699951171875</v>
      </c>
      <c r="C175" t="n">
        <v>38794.97265625</v>
      </c>
    </row>
    <row r="176">
      <c r="A176" t="inlineStr">
        <is>
          <t>2022-03-14</t>
        </is>
      </c>
      <c r="B176" t="n">
        <v>1959.599975585938</v>
      </c>
      <c r="C176" t="n">
        <v>39666.75390625</v>
      </c>
    </row>
    <row r="177">
      <c r="A177" t="inlineStr">
        <is>
          <t>2022-03-15</t>
        </is>
      </c>
      <c r="B177" t="n">
        <v>1928.5</v>
      </c>
      <c r="C177" t="n">
        <v>39338.78515625</v>
      </c>
    </row>
    <row r="178">
      <c r="A178" t="inlineStr">
        <is>
          <t>2022-03-16</t>
        </is>
      </c>
      <c r="B178" t="n">
        <v>1908</v>
      </c>
      <c r="C178" t="n">
        <v>41143.9296875</v>
      </c>
    </row>
    <row r="179">
      <c r="A179" t="inlineStr">
        <is>
          <t>2022-03-17</t>
        </is>
      </c>
      <c r="B179" t="n">
        <v>1942.099975585938</v>
      </c>
      <c r="C179" t="n">
        <v>40951.37890625</v>
      </c>
    </row>
    <row r="180">
      <c r="A180" t="inlineStr">
        <is>
          <t>2022-03-18</t>
        </is>
      </c>
      <c r="B180" t="n">
        <v>1928.199951171875</v>
      </c>
      <c r="C180" t="n">
        <v>41801.15625</v>
      </c>
    </row>
    <row r="181">
      <c r="A181" t="inlineStr">
        <is>
          <t>2022-03-21</t>
        </is>
      </c>
      <c r="B181" t="n">
        <v>1928.599975585938</v>
      </c>
      <c r="C181" t="n">
        <v>41077.99609375</v>
      </c>
    </row>
    <row r="182">
      <c r="A182" t="inlineStr">
        <is>
          <t>2022-03-22</t>
        </is>
      </c>
      <c r="B182" t="n">
        <v>1920.699951171875</v>
      </c>
      <c r="C182" t="n">
        <v>42358.80859375</v>
      </c>
    </row>
    <row r="183">
      <c r="A183" t="inlineStr">
        <is>
          <t>2022-03-23</t>
        </is>
      </c>
      <c r="B183" t="n">
        <v>1936.599975585938</v>
      </c>
      <c r="C183" t="n">
        <v>42892.95703125</v>
      </c>
    </row>
    <row r="184">
      <c r="A184" t="inlineStr">
        <is>
          <t>2022-03-24</t>
        </is>
      </c>
      <c r="B184" t="n">
        <v>1961.599975585938</v>
      </c>
      <c r="C184" t="n">
        <v>43960.93359375</v>
      </c>
    </row>
    <row r="185">
      <c r="A185" t="inlineStr">
        <is>
          <t>2022-03-25</t>
        </is>
      </c>
      <c r="B185" t="n">
        <v>1953.800048828125</v>
      </c>
      <c r="C185" t="n">
        <v>44348.73046875</v>
      </c>
    </row>
    <row r="186">
      <c r="A186" t="inlineStr">
        <is>
          <t>2022-03-28</t>
        </is>
      </c>
      <c r="B186" t="n">
        <v>1939.599975585938</v>
      </c>
      <c r="C186" t="n">
        <v>47128.00390625</v>
      </c>
    </row>
    <row r="187">
      <c r="A187" t="inlineStr">
        <is>
          <t>2022-03-29</t>
        </is>
      </c>
      <c r="B187" t="n">
        <v>1912</v>
      </c>
      <c r="C187" t="n">
        <v>47465.73046875</v>
      </c>
    </row>
    <row r="188">
      <c r="A188" t="inlineStr">
        <is>
          <t>2022-03-30</t>
        </is>
      </c>
      <c r="B188" t="n">
        <v>1933.5</v>
      </c>
      <c r="C188" t="n">
        <v>47062.6640625</v>
      </c>
    </row>
    <row r="189">
      <c r="A189" t="inlineStr">
        <is>
          <t>2022-03-31</t>
        </is>
      </c>
      <c r="B189" t="n">
        <v>1949.199951171875</v>
      </c>
      <c r="C189" t="n">
        <v>45538.67578125</v>
      </c>
    </row>
    <row r="190">
      <c r="A190" t="inlineStr">
        <is>
          <t>2022-04-01</t>
        </is>
      </c>
      <c r="B190" t="n">
        <v>1919.099975585938</v>
      </c>
      <c r="C190" t="n">
        <v>46281.64453125</v>
      </c>
    </row>
    <row r="191">
      <c r="A191" t="inlineStr">
        <is>
          <t>2022-04-04</t>
        </is>
      </c>
      <c r="B191" t="n">
        <v>1929.199951171875</v>
      </c>
      <c r="C191" t="n">
        <v>46622.67578125</v>
      </c>
    </row>
    <row r="192">
      <c r="A192" t="inlineStr">
        <is>
          <t>2022-04-05</t>
        </is>
      </c>
      <c r="B192" t="n">
        <v>1922.900024414062</v>
      </c>
      <c r="C192" t="n">
        <v>45555.9921875</v>
      </c>
    </row>
    <row r="193">
      <c r="A193" t="inlineStr">
        <is>
          <t>2022-04-06</t>
        </is>
      </c>
      <c r="B193" t="n">
        <v>1918.400024414062</v>
      </c>
      <c r="C193" t="n">
        <v>43206.73828125</v>
      </c>
    </row>
    <row r="194">
      <c r="A194" t="inlineStr">
        <is>
          <t>2022-04-07</t>
        </is>
      </c>
      <c r="B194" t="n">
        <v>1933.800048828125</v>
      </c>
      <c r="C194" t="n">
        <v>43503.84765625</v>
      </c>
    </row>
    <row r="195">
      <c r="A195" t="inlineStr">
        <is>
          <t>2022-04-08</t>
        </is>
      </c>
      <c r="B195" t="n">
        <v>1941.599975585938</v>
      </c>
      <c r="C195" t="n">
        <v>42287.6640625</v>
      </c>
    </row>
    <row r="196">
      <c r="A196" t="inlineStr">
        <is>
          <t>2022-04-11</t>
        </is>
      </c>
      <c r="B196" t="n">
        <v>1944.300048828125</v>
      </c>
      <c r="C196" t="n">
        <v>39521.90234375</v>
      </c>
    </row>
    <row r="197">
      <c r="A197" t="inlineStr">
        <is>
          <t>2022-04-12</t>
        </is>
      </c>
      <c r="B197" t="n">
        <v>1972.099975585938</v>
      </c>
      <c r="C197" t="n">
        <v>40127.18359375</v>
      </c>
    </row>
    <row r="198">
      <c r="A198" t="inlineStr">
        <is>
          <t>2022-04-13</t>
        </is>
      </c>
      <c r="B198" t="n">
        <v>1981</v>
      </c>
      <c r="C198" t="n">
        <v>41166.73046875</v>
      </c>
    </row>
    <row r="199">
      <c r="A199" t="inlineStr">
        <is>
          <t>2022-04-14</t>
        </is>
      </c>
      <c r="B199" t="n">
        <v>1970.900024414062</v>
      </c>
      <c r="C199" t="n">
        <v>39935.515625</v>
      </c>
    </row>
    <row r="200">
      <c r="A200" t="inlineStr">
        <is>
          <t>2022-04-18</t>
        </is>
      </c>
      <c r="B200" t="n">
        <v>1982.900024414062</v>
      </c>
      <c r="C200" t="n">
        <v>40826.21484375</v>
      </c>
    </row>
    <row r="201">
      <c r="A201" t="inlineStr">
        <is>
          <t>2022-04-19</t>
        </is>
      </c>
      <c r="B201" t="n">
        <v>1955.699951171875</v>
      </c>
      <c r="C201" t="n">
        <v>41502.75</v>
      </c>
    </row>
    <row r="202">
      <c r="A202" t="inlineStr">
        <is>
          <t>2022-04-20</t>
        </is>
      </c>
      <c r="B202" t="n">
        <v>1952.300048828125</v>
      </c>
      <c r="C202" t="n">
        <v>41374.37890625</v>
      </c>
    </row>
    <row r="203">
      <c r="A203" t="inlineStr">
        <is>
          <t>2022-04-21</t>
        </is>
      </c>
      <c r="B203" t="n">
        <v>1944.900024414062</v>
      </c>
      <c r="C203" t="n">
        <v>40527.36328125</v>
      </c>
    </row>
    <row r="204">
      <c r="A204" t="inlineStr">
        <is>
          <t>2022-04-22</t>
        </is>
      </c>
      <c r="B204" t="n">
        <v>1931</v>
      </c>
      <c r="C204" t="n">
        <v>39740.3203125</v>
      </c>
    </row>
    <row r="205">
      <c r="A205" t="inlineStr">
        <is>
          <t>2022-04-25</t>
        </is>
      </c>
      <c r="B205" t="n">
        <v>1893.199951171875</v>
      </c>
      <c r="C205" t="n">
        <v>40458.30859375</v>
      </c>
    </row>
    <row r="206">
      <c r="A206" t="inlineStr">
        <is>
          <t>2022-04-26</t>
        </is>
      </c>
      <c r="B206" t="n">
        <v>1901.400024414062</v>
      </c>
      <c r="C206" t="n">
        <v>38117.4609375</v>
      </c>
    </row>
    <row r="207">
      <c r="A207" t="inlineStr">
        <is>
          <t>2022-04-27</t>
        </is>
      </c>
      <c r="B207" t="n">
        <v>1885.900024414062</v>
      </c>
      <c r="C207" t="n">
        <v>39241.12109375</v>
      </c>
    </row>
    <row r="208">
      <c r="A208" t="inlineStr">
        <is>
          <t>2022-04-28</t>
        </is>
      </c>
      <c r="B208" t="n">
        <v>1888.699951171875</v>
      </c>
      <c r="C208" t="n">
        <v>39773.828125</v>
      </c>
    </row>
    <row r="209">
      <c r="A209" t="inlineStr">
        <is>
          <t>2022-04-29</t>
        </is>
      </c>
      <c r="B209" t="n">
        <v>1909.300048828125</v>
      </c>
      <c r="C209" t="n">
        <v>38609.82421875</v>
      </c>
    </row>
    <row r="210">
      <c r="A210" t="inlineStr">
        <is>
          <t>2022-05-02</t>
        </is>
      </c>
      <c r="B210" t="n">
        <v>1861.800048828125</v>
      </c>
      <c r="C210" t="n">
        <v>38529.328125</v>
      </c>
    </row>
    <row r="211">
      <c r="A211" t="inlineStr">
        <is>
          <t>2022-05-03</t>
        </is>
      </c>
      <c r="B211" t="n">
        <v>1868.800048828125</v>
      </c>
      <c r="C211" t="n">
        <v>37750.453125</v>
      </c>
    </row>
    <row r="212">
      <c r="A212" t="inlineStr">
        <is>
          <t>2022-05-04</t>
        </is>
      </c>
      <c r="B212" t="n">
        <v>1867</v>
      </c>
      <c r="C212" t="n">
        <v>39698.37109375</v>
      </c>
    </row>
    <row r="213">
      <c r="A213" t="inlineStr">
        <is>
          <t>2022-05-05</t>
        </is>
      </c>
      <c r="B213" t="n">
        <v>1874</v>
      </c>
      <c r="C213" t="n">
        <v>36575.140625</v>
      </c>
    </row>
    <row r="214">
      <c r="A214" t="inlineStr">
        <is>
          <t>2022-05-06</t>
        </is>
      </c>
      <c r="B214" t="n">
        <v>1881.199951171875</v>
      </c>
      <c r="C214" t="n">
        <v>36040.921875</v>
      </c>
    </row>
    <row r="215">
      <c r="A215" t="inlineStr">
        <is>
          <t>2022-05-09</t>
        </is>
      </c>
      <c r="B215" t="n">
        <v>1857.099975585938</v>
      </c>
      <c r="C215" t="n">
        <v>30296.953125</v>
      </c>
    </row>
    <row r="216">
      <c r="A216" t="inlineStr">
        <is>
          <t>2022-05-10</t>
        </is>
      </c>
      <c r="B216" t="n">
        <v>1839.900024414062</v>
      </c>
      <c r="C216" t="n">
        <v>31022.90625</v>
      </c>
    </row>
    <row r="217">
      <c r="A217" t="inlineStr">
        <is>
          <t>2022-05-11</t>
        </is>
      </c>
      <c r="B217" t="n">
        <v>1852.599975585938</v>
      </c>
      <c r="C217" t="n">
        <v>28936.35546875</v>
      </c>
    </row>
    <row r="218">
      <c r="A218" t="inlineStr">
        <is>
          <t>2022-05-12</t>
        </is>
      </c>
      <c r="B218" t="n">
        <v>1823.800048828125</v>
      </c>
      <c r="C218" t="n">
        <v>29047.751953125</v>
      </c>
    </row>
    <row r="219">
      <c r="A219" t="inlineStr">
        <is>
          <t>2022-05-13</t>
        </is>
      </c>
      <c r="B219" t="n">
        <v>1807.400024414062</v>
      </c>
      <c r="C219" t="n">
        <v>29283.103515625</v>
      </c>
    </row>
    <row r="220">
      <c r="A220" t="inlineStr">
        <is>
          <t>2022-05-16</t>
        </is>
      </c>
      <c r="B220" t="n">
        <v>1813.5</v>
      </c>
      <c r="C220" t="n">
        <v>29862.91796875</v>
      </c>
    </row>
    <row r="221">
      <c r="A221" t="inlineStr">
        <is>
          <t>2022-05-17</t>
        </is>
      </c>
      <c r="B221" t="n">
        <v>1818.199951171875</v>
      </c>
      <c r="C221" t="n">
        <v>30425.857421875</v>
      </c>
    </row>
    <row r="222">
      <c r="A222" t="inlineStr">
        <is>
          <t>2022-05-18</t>
        </is>
      </c>
      <c r="B222" t="n">
        <v>1815.900024414062</v>
      </c>
      <c r="C222" t="n">
        <v>28720.271484375</v>
      </c>
    </row>
    <row r="223">
      <c r="A223" t="inlineStr">
        <is>
          <t>2022-05-19</t>
        </is>
      </c>
      <c r="B223" t="n">
        <v>1841.199951171875</v>
      </c>
      <c r="C223" t="n">
        <v>30314.333984375</v>
      </c>
    </row>
    <row r="224">
      <c r="A224" t="inlineStr">
        <is>
          <t>2022-05-20</t>
        </is>
      </c>
      <c r="B224" t="n">
        <v>1841.800048828125</v>
      </c>
      <c r="C224" t="n">
        <v>29200.740234375</v>
      </c>
    </row>
    <row r="225">
      <c r="A225" t="inlineStr">
        <is>
          <t>2022-05-23</t>
        </is>
      </c>
      <c r="B225" t="n">
        <v>1847.800048828125</v>
      </c>
      <c r="C225" t="n">
        <v>29098.91015625</v>
      </c>
    </row>
    <row r="226">
      <c r="A226" t="inlineStr">
        <is>
          <t>2022-05-24</t>
        </is>
      </c>
      <c r="B226" t="n">
        <v>1865.099975585938</v>
      </c>
      <c r="C226" t="n">
        <v>29655.5859375</v>
      </c>
    </row>
    <row r="227">
      <c r="A227" t="inlineStr">
        <is>
          <t>2022-05-25</t>
        </is>
      </c>
      <c r="B227" t="n">
        <v>1846.199951171875</v>
      </c>
      <c r="C227" t="n">
        <v>29562.361328125</v>
      </c>
    </row>
    <row r="228">
      <c r="A228" t="inlineStr">
        <is>
          <t>2022-05-26</t>
        </is>
      </c>
      <c r="B228" t="n">
        <v>1847.400024414062</v>
      </c>
      <c r="C228" t="n">
        <v>29267.224609375</v>
      </c>
    </row>
    <row r="229">
      <c r="A229" t="inlineStr">
        <is>
          <t>2022-05-27</t>
        </is>
      </c>
      <c r="B229" t="n">
        <v>1851.300048828125</v>
      </c>
      <c r="C229" t="n">
        <v>28627.57421875</v>
      </c>
    </row>
    <row r="230">
      <c r="A230" t="inlineStr">
        <is>
          <t>2022-05-31</t>
        </is>
      </c>
      <c r="B230" t="n">
        <v>1842.699951171875</v>
      </c>
      <c r="C230" t="n">
        <v>31792.310546875</v>
      </c>
    </row>
    <row r="231">
      <c r="A231" t="inlineStr">
        <is>
          <t>2022-06-01</t>
        </is>
      </c>
      <c r="B231" t="n">
        <v>1843.300048828125</v>
      </c>
      <c r="C231" t="n">
        <v>29799.080078125</v>
      </c>
    </row>
    <row r="232">
      <c r="A232" t="inlineStr">
        <is>
          <t>2022-06-02</t>
        </is>
      </c>
      <c r="B232" t="n">
        <v>1866.5</v>
      </c>
      <c r="C232" t="n">
        <v>30467.48828125</v>
      </c>
    </row>
    <row r="233">
      <c r="A233" t="inlineStr">
        <is>
          <t>2022-06-03</t>
        </is>
      </c>
      <c r="B233" t="n">
        <v>1845.400024414062</v>
      </c>
      <c r="C233" t="n">
        <v>29704.390625</v>
      </c>
    </row>
    <row r="234">
      <c r="A234" t="inlineStr">
        <is>
          <t>2022-06-06</t>
        </is>
      </c>
      <c r="B234" t="n">
        <v>1839.199951171875</v>
      </c>
      <c r="C234" t="n">
        <v>31370.671875</v>
      </c>
    </row>
    <row r="235">
      <c r="A235" t="inlineStr">
        <is>
          <t>2022-06-07</t>
        </is>
      </c>
      <c r="B235" t="n">
        <v>1847.5</v>
      </c>
      <c r="C235" t="n">
        <v>31155.478515625</v>
      </c>
    </row>
    <row r="236">
      <c r="A236" t="inlineStr">
        <is>
          <t>2022-06-08</t>
        </is>
      </c>
      <c r="B236" t="n">
        <v>1851.900024414062</v>
      </c>
      <c r="C236" t="n">
        <v>30214.35546875</v>
      </c>
    </row>
    <row r="237">
      <c r="A237" t="inlineStr">
        <is>
          <t>2022-06-09</t>
        </is>
      </c>
      <c r="B237" t="n">
        <v>1848.800048828125</v>
      </c>
      <c r="C237" t="n">
        <v>30111.998046875</v>
      </c>
    </row>
    <row r="238">
      <c r="A238" t="inlineStr">
        <is>
          <t>2022-06-10</t>
        </is>
      </c>
      <c r="B238" t="n">
        <v>1871.5</v>
      </c>
      <c r="C238" t="n">
        <v>29083.8046875</v>
      </c>
    </row>
    <row r="239">
      <c r="A239" t="inlineStr">
        <is>
          <t>2022-06-13</t>
        </is>
      </c>
      <c r="B239" t="n">
        <v>1828</v>
      </c>
      <c r="C239" t="n">
        <v>22487.388671875</v>
      </c>
    </row>
    <row r="240">
      <c r="A240" t="inlineStr">
        <is>
          <t>2022-06-14</t>
        </is>
      </c>
      <c r="B240" t="n">
        <v>1809.5</v>
      </c>
      <c r="C240" t="n">
        <v>22206.79296875</v>
      </c>
    </row>
    <row r="241">
      <c r="A241" t="inlineStr">
        <is>
          <t>2022-06-15</t>
        </is>
      </c>
      <c r="B241" t="n">
        <v>1815.300048828125</v>
      </c>
      <c r="C241" t="n">
        <v>22572.83984375</v>
      </c>
    </row>
    <row r="242">
      <c r="A242" t="inlineStr">
        <is>
          <t>2022-06-16</t>
        </is>
      </c>
      <c r="B242" t="n">
        <v>1845.699951171875</v>
      </c>
      <c r="C242" t="n">
        <v>20381.650390625</v>
      </c>
    </row>
    <row r="243">
      <c r="A243" t="inlineStr">
        <is>
          <t>2022-06-17</t>
        </is>
      </c>
      <c r="B243" t="n">
        <v>1835.599975585938</v>
      </c>
      <c r="C243" t="n">
        <v>20471.482421875</v>
      </c>
    </row>
    <row r="244">
      <c r="A244" t="inlineStr">
        <is>
          <t>2022-06-21</t>
        </is>
      </c>
      <c r="B244" t="n">
        <v>1834.599975585938</v>
      </c>
      <c r="C244" t="n">
        <v>20710.59765625</v>
      </c>
    </row>
    <row r="245">
      <c r="A245" t="inlineStr">
        <is>
          <t>2022-06-22</t>
        </is>
      </c>
      <c r="B245" t="n">
        <v>1834.300048828125</v>
      </c>
      <c r="C245" t="n">
        <v>19987.029296875</v>
      </c>
    </row>
    <row r="246">
      <c r="A246" t="inlineStr">
        <is>
          <t>2022-06-23</t>
        </is>
      </c>
      <c r="B246" t="n">
        <v>1825.699951171875</v>
      </c>
      <c r="C246" t="n">
        <v>21085.876953125</v>
      </c>
    </row>
    <row r="247">
      <c r="A247" t="inlineStr">
        <is>
          <t>2022-06-24</t>
        </is>
      </c>
      <c r="B247" t="n">
        <v>1826.5</v>
      </c>
      <c r="C247" t="n">
        <v>21231.65625</v>
      </c>
    </row>
    <row r="248">
      <c r="A248" t="inlineStr">
        <is>
          <t>2022-06-27</t>
        </is>
      </c>
      <c r="B248" t="n">
        <v>1820.900024414062</v>
      </c>
      <c r="C248" t="n">
        <v>20735.478515625</v>
      </c>
    </row>
    <row r="249">
      <c r="A249" t="inlineStr">
        <is>
          <t>2022-06-28</t>
        </is>
      </c>
      <c r="B249" t="n">
        <v>1817.5</v>
      </c>
      <c r="C249" t="n">
        <v>20280.634765625</v>
      </c>
    </row>
    <row r="250">
      <c r="A250" t="inlineStr">
        <is>
          <t>2022-06-29</t>
        </is>
      </c>
      <c r="B250" t="n">
        <v>1813.699951171875</v>
      </c>
      <c r="C250" t="n">
        <v>20104.0234375</v>
      </c>
    </row>
    <row r="251">
      <c r="A251" t="inlineStr">
        <is>
          <t>2022-06-30</t>
        </is>
      </c>
      <c r="B251" t="n">
        <v>1804.099975585938</v>
      </c>
      <c r="C251" t="n">
        <v>19784.7265625</v>
      </c>
    </row>
    <row r="252">
      <c r="A252" t="inlineStr">
        <is>
          <t>2022-07-01</t>
        </is>
      </c>
      <c r="B252" t="n">
        <v>1798.900024414062</v>
      </c>
      <c r="C252" t="n">
        <v>19269.3671875</v>
      </c>
    </row>
    <row r="253">
      <c r="A253" t="inlineStr">
        <is>
          <t>2022-07-05</t>
        </is>
      </c>
      <c r="B253" t="n">
        <v>1761.800048828125</v>
      </c>
      <c r="C253" t="n">
        <v>20190.115234375</v>
      </c>
    </row>
    <row r="254">
      <c r="A254" t="inlineStr">
        <is>
          <t>2022-07-06</t>
        </is>
      </c>
      <c r="B254" t="n">
        <v>1734.900024414062</v>
      </c>
      <c r="C254" t="n">
        <v>20548.24609375</v>
      </c>
    </row>
    <row r="255">
      <c r="A255" t="inlineStr">
        <is>
          <t>2022-07-07</t>
        </is>
      </c>
      <c r="B255" t="n">
        <v>1737.900024414062</v>
      </c>
      <c r="C255" t="n">
        <v>21637.587890625</v>
      </c>
    </row>
    <row r="256">
      <c r="A256" t="inlineStr">
        <is>
          <t>2022-07-08</t>
        </is>
      </c>
      <c r="B256" t="n">
        <v>1740.599975585938</v>
      </c>
      <c r="C256" t="n">
        <v>21731.1171875</v>
      </c>
    </row>
    <row r="257">
      <c r="A257" t="inlineStr">
        <is>
          <t>2022-07-11</t>
        </is>
      </c>
      <c r="B257" t="n">
        <v>1730</v>
      </c>
      <c r="C257" t="n">
        <v>19970.556640625</v>
      </c>
    </row>
    <row r="258">
      <c r="A258" t="inlineStr">
        <is>
          <t>2022-07-12</t>
        </is>
      </c>
      <c r="B258" t="n">
        <v>1723.300048828125</v>
      </c>
      <c r="C258" t="n">
        <v>19323.9140625</v>
      </c>
    </row>
    <row r="259">
      <c r="A259" t="inlineStr">
        <is>
          <t>2022-07-13</t>
        </is>
      </c>
      <c r="B259" t="n">
        <v>1734.199951171875</v>
      </c>
      <c r="C259" t="n">
        <v>20212.07421875</v>
      </c>
    </row>
    <row r="260">
      <c r="A260" t="inlineStr">
        <is>
          <t>2022-07-14</t>
        </is>
      </c>
      <c r="B260" t="n">
        <v>1704.5</v>
      </c>
      <c r="C260" t="n">
        <v>20569.919921875</v>
      </c>
    </row>
    <row r="261">
      <c r="A261" t="inlineStr">
        <is>
          <t>2022-07-15</t>
        </is>
      </c>
      <c r="B261" t="n">
        <v>1702.400024414062</v>
      </c>
      <c r="C261" t="n">
        <v>20836.328125</v>
      </c>
    </row>
    <row r="262">
      <c r="A262" t="inlineStr">
        <is>
          <t>2022-07-18</t>
        </is>
      </c>
      <c r="B262" t="n">
        <v>1709.199951171875</v>
      </c>
      <c r="C262" t="n">
        <v>22485.689453125</v>
      </c>
    </row>
    <row r="263">
      <c r="A263" t="inlineStr">
        <is>
          <t>2022-07-19</t>
        </is>
      </c>
      <c r="B263" t="n">
        <v>1710</v>
      </c>
      <c r="C263" t="n">
        <v>23389.43359375</v>
      </c>
    </row>
    <row r="264">
      <c r="A264" t="inlineStr">
        <is>
          <t>2022-07-20</t>
        </is>
      </c>
      <c r="B264" t="n">
        <v>1699.5</v>
      </c>
      <c r="C264" t="n">
        <v>23231.732421875</v>
      </c>
    </row>
    <row r="265">
      <c r="A265" t="inlineStr">
        <is>
          <t>2022-07-21</t>
        </is>
      </c>
      <c r="B265" t="n">
        <v>1712.699951171875</v>
      </c>
      <c r="C265" t="n">
        <v>23164.62890625</v>
      </c>
    </row>
    <row r="266">
      <c r="A266" t="inlineStr">
        <is>
          <t>2022-07-22</t>
        </is>
      </c>
      <c r="B266" t="n">
        <v>1727.099975585938</v>
      </c>
      <c r="C266" t="n">
        <v>22714.978515625</v>
      </c>
    </row>
    <row r="267">
      <c r="A267" t="inlineStr">
        <is>
          <t>2022-07-25</t>
        </is>
      </c>
      <c r="B267" t="n">
        <v>1719</v>
      </c>
      <c r="C267" t="n">
        <v>21361.701171875</v>
      </c>
    </row>
    <row r="268">
      <c r="A268" t="inlineStr">
        <is>
          <t>2022-07-26</t>
        </is>
      </c>
      <c r="B268" t="n">
        <v>1717.699951171875</v>
      </c>
      <c r="C268" t="n">
        <v>21239.75390625</v>
      </c>
    </row>
    <row r="269">
      <c r="A269" t="inlineStr">
        <is>
          <t>2022-07-27</t>
        </is>
      </c>
      <c r="B269" t="n">
        <v>1719.099975585938</v>
      </c>
      <c r="C269" t="n">
        <v>22930.548828125</v>
      </c>
    </row>
    <row r="270">
      <c r="A270" t="inlineStr">
        <is>
          <t>2022-07-28</t>
        </is>
      </c>
      <c r="B270" t="n">
        <v>1750.300048828125</v>
      </c>
      <c r="C270" t="n">
        <v>23843.88671875</v>
      </c>
    </row>
    <row r="271">
      <c r="A271" t="inlineStr">
        <is>
          <t>2022-07-29</t>
        </is>
      </c>
      <c r="B271" t="n">
        <v>1762.900024414062</v>
      </c>
      <c r="C271" t="n">
        <v>23804.6328125</v>
      </c>
    </row>
    <row r="272">
      <c r="A272" t="inlineStr">
        <is>
          <t>2022-08-01</t>
        </is>
      </c>
      <c r="B272" t="n">
        <v>1769</v>
      </c>
      <c r="C272" t="n">
        <v>23314.19921875</v>
      </c>
    </row>
    <row r="273">
      <c r="A273" t="inlineStr">
        <is>
          <t>2022-08-02</t>
        </is>
      </c>
      <c r="B273" t="n">
        <v>1771.099975585938</v>
      </c>
      <c r="C273" t="n">
        <v>22978.1171875</v>
      </c>
    </row>
    <row r="274">
      <c r="A274" t="inlineStr">
        <is>
          <t>2022-08-03</t>
        </is>
      </c>
      <c r="B274" t="n">
        <v>1758</v>
      </c>
      <c r="C274" t="n">
        <v>22846.5078125</v>
      </c>
    </row>
    <row r="275">
      <c r="A275" t="inlineStr">
        <is>
          <t>2022-08-04</t>
        </is>
      </c>
      <c r="B275" t="n">
        <v>1788.5</v>
      </c>
      <c r="C275" t="n">
        <v>22630.95703125</v>
      </c>
    </row>
    <row r="276">
      <c r="A276" t="inlineStr">
        <is>
          <t>2022-08-05</t>
        </is>
      </c>
      <c r="B276" t="n">
        <v>1772.900024414062</v>
      </c>
      <c r="C276" t="n">
        <v>23289.314453125</v>
      </c>
    </row>
    <row r="277">
      <c r="A277" t="inlineStr">
        <is>
          <t>2022-08-08</t>
        </is>
      </c>
      <c r="B277" t="n">
        <v>1786.800048828125</v>
      </c>
      <c r="C277" t="n">
        <v>23809.486328125</v>
      </c>
    </row>
    <row r="278">
      <c r="A278" t="inlineStr">
        <is>
          <t>2022-08-09</t>
        </is>
      </c>
      <c r="B278" t="n">
        <v>1794</v>
      </c>
      <c r="C278" t="n">
        <v>23164.318359375</v>
      </c>
    </row>
    <row r="279">
      <c r="A279" t="inlineStr">
        <is>
          <t>2022-08-10</t>
        </is>
      </c>
      <c r="B279" t="n">
        <v>1795.599975585938</v>
      </c>
      <c r="C279" t="n">
        <v>23947.642578125</v>
      </c>
    </row>
    <row r="280">
      <c r="A280" t="inlineStr">
        <is>
          <t>2022-08-11</t>
        </is>
      </c>
      <c r="B280" t="n">
        <v>1789.699951171875</v>
      </c>
      <c r="C280" t="n">
        <v>23957.529296875</v>
      </c>
    </row>
    <row r="281">
      <c r="A281" t="inlineStr">
        <is>
          <t>2022-08-12</t>
        </is>
      </c>
      <c r="B281" t="n">
        <v>1798.599975585938</v>
      </c>
      <c r="C281" t="n">
        <v>24402.818359375</v>
      </c>
    </row>
    <row r="282">
      <c r="A282" t="inlineStr">
        <is>
          <t>2022-08-15</t>
        </is>
      </c>
      <c r="B282" t="n">
        <v>1781.400024414062</v>
      </c>
      <c r="C282" t="n">
        <v>24136.97265625</v>
      </c>
    </row>
    <row r="283">
      <c r="A283" t="inlineStr">
        <is>
          <t>2022-08-16</t>
        </is>
      </c>
      <c r="B283" t="n">
        <v>1773.199951171875</v>
      </c>
      <c r="C283" t="n">
        <v>23883.291015625</v>
      </c>
    </row>
    <row r="284">
      <c r="A284" t="inlineStr">
        <is>
          <t>2022-08-17</t>
        </is>
      </c>
      <c r="B284" t="n">
        <v>1760.300048828125</v>
      </c>
      <c r="C284" t="n">
        <v>23335.998046875</v>
      </c>
    </row>
    <row r="285">
      <c r="A285" t="inlineStr">
        <is>
          <t>2022-08-18</t>
        </is>
      </c>
      <c r="B285" t="n">
        <v>1755.300048828125</v>
      </c>
      <c r="C285" t="n">
        <v>23212.73828125</v>
      </c>
    </row>
    <row r="286">
      <c r="A286" t="inlineStr">
        <is>
          <t>2022-08-19</t>
        </is>
      </c>
      <c r="B286" t="n">
        <v>1747.599975585938</v>
      </c>
      <c r="C286" t="n">
        <v>20877.552734375</v>
      </c>
    </row>
    <row r="287">
      <c r="A287" t="inlineStr">
        <is>
          <t>2022-08-22</t>
        </is>
      </c>
      <c r="B287" t="n">
        <v>1734</v>
      </c>
      <c r="C287" t="n">
        <v>21398.908203125</v>
      </c>
    </row>
    <row r="288">
      <c r="A288" t="inlineStr">
        <is>
          <t>2022-08-23</t>
        </is>
      </c>
      <c r="B288" t="n">
        <v>1746.800048828125</v>
      </c>
      <c r="C288" t="n">
        <v>21528.087890625</v>
      </c>
    </row>
    <row r="289">
      <c r="A289" t="inlineStr">
        <is>
          <t>2022-08-24</t>
        </is>
      </c>
      <c r="B289" t="n">
        <v>1747.800048828125</v>
      </c>
      <c r="C289" t="n">
        <v>21395.01953125</v>
      </c>
    </row>
    <row r="290">
      <c r="A290" t="inlineStr">
        <is>
          <t>2022-08-25</t>
        </is>
      </c>
      <c r="B290" t="n">
        <v>1757.699951171875</v>
      </c>
      <c r="C290" t="n">
        <v>21600.904296875</v>
      </c>
    </row>
    <row r="291">
      <c r="A291" t="inlineStr">
        <is>
          <t>2022-08-26</t>
        </is>
      </c>
      <c r="B291" t="n">
        <v>1736.099975585938</v>
      </c>
      <c r="C291" t="n">
        <v>20260.01953125</v>
      </c>
    </row>
    <row r="292">
      <c r="A292" t="inlineStr">
        <is>
          <t>2022-08-29</t>
        </is>
      </c>
      <c r="B292" t="n">
        <v>1736.599975585938</v>
      </c>
      <c r="C292" t="n">
        <v>20297.994140625</v>
      </c>
    </row>
    <row r="293">
      <c r="A293" t="inlineStr">
        <is>
          <t>2022-08-30</t>
        </is>
      </c>
      <c r="B293" t="n">
        <v>1723.199951171875</v>
      </c>
      <c r="C293" t="n">
        <v>19796.80859375</v>
      </c>
    </row>
    <row r="294">
      <c r="A294" t="inlineStr">
        <is>
          <t>2022-08-31</t>
        </is>
      </c>
      <c r="B294" t="n">
        <v>1712.800048828125</v>
      </c>
      <c r="C294" t="n">
        <v>20049.763671875</v>
      </c>
    </row>
    <row r="295">
      <c r="A295" t="inlineStr">
        <is>
          <t>2022-09-01</t>
        </is>
      </c>
      <c r="B295" t="n">
        <v>1696.599975585938</v>
      </c>
      <c r="C295" t="n">
        <v>20127.140625</v>
      </c>
    </row>
    <row r="296">
      <c r="A296" t="inlineStr">
        <is>
          <t>2022-09-02</t>
        </is>
      </c>
      <c r="B296" t="n">
        <v>1709.800048828125</v>
      </c>
      <c r="C296" t="n">
        <v>19969.771484375</v>
      </c>
    </row>
    <row r="297">
      <c r="A297" t="inlineStr">
        <is>
          <t>2022-09-06</t>
        </is>
      </c>
      <c r="B297" t="n">
        <v>1700.400024414062</v>
      </c>
      <c r="C297" t="n">
        <v>18837.66796875</v>
      </c>
    </row>
    <row r="298">
      <c r="A298" t="inlineStr">
        <is>
          <t>2022-09-07</t>
        </is>
      </c>
      <c r="B298" t="n">
        <v>1715.300048828125</v>
      </c>
      <c r="C298" t="n">
        <v>19290.32421875</v>
      </c>
    </row>
    <row r="299">
      <c r="A299" t="inlineStr">
        <is>
          <t>2022-09-08</t>
        </is>
      </c>
      <c r="B299" t="n">
        <v>1708</v>
      </c>
      <c r="C299" t="n">
        <v>19329.833984375</v>
      </c>
    </row>
    <row r="300">
      <c r="A300" t="inlineStr">
        <is>
          <t>2022-09-09</t>
        </is>
      </c>
      <c r="B300" t="n">
        <v>1716.199951171875</v>
      </c>
      <c r="C300" t="n">
        <v>21381.15234375</v>
      </c>
    </row>
    <row r="301">
      <c r="A301" t="inlineStr">
        <is>
          <t>2022-09-12</t>
        </is>
      </c>
      <c r="B301" t="n">
        <v>1728.099975585938</v>
      </c>
      <c r="C301" t="n">
        <v>22370.44921875</v>
      </c>
    </row>
    <row r="302">
      <c r="A302" t="inlineStr">
        <is>
          <t>2022-09-13</t>
        </is>
      </c>
      <c r="B302" t="n">
        <v>1705</v>
      </c>
      <c r="C302" t="n">
        <v>20296.70703125</v>
      </c>
    </row>
    <row r="303">
      <c r="A303" t="inlineStr">
        <is>
          <t>2022-09-14</t>
        </is>
      </c>
      <c r="B303" t="n">
        <v>1696.5</v>
      </c>
      <c r="C303" t="n">
        <v>20241.08984375</v>
      </c>
    </row>
    <row r="304">
      <c r="A304" t="inlineStr">
        <is>
          <t>2022-09-15</t>
        </is>
      </c>
      <c r="B304" t="n">
        <v>1665.400024414062</v>
      </c>
      <c r="C304" t="n">
        <v>19701.2109375</v>
      </c>
    </row>
    <row r="305">
      <c r="A305" t="inlineStr">
        <is>
          <t>2022-09-16</t>
        </is>
      </c>
      <c r="B305" t="n">
        <v>1671.699951171875</v>
      </c>
      <c r="C305" t="n">
        <v>19772.583984375</v>
      </c>
    </row>
    <row r="306">
      <c r="A306" t="inlineStr">
        <is>
          <t>2022-09-19</t>
        </is>
      </c>
      <c r="B306" t="n">
        <v>1666.199951171875</v>
      </c>
      <c r="C306" t="n">
        <v>19544.12890625</v>
      </c>
    </row>
    <row r="307">
      <c r="A307" t="inlineStr">
        <is>
          <t>2022-09-20</t>
        </is>
      </c>
      <c r="B307" t="n">
        <v>1659.699951171875</v>
      </c>
      <c r="C307" t="n">
        <v>18890.7890625</v>
      </c>
    </row>
    <row r="308">
      <c r="A308" t="inlineStr">
        <is>
          <t>2022-09-21</t>
        </is>
      </c>
      <c r="B308" t="n">
        <v>1664.599975585938</v>
      </c>
      <c r="C308" t="n">
        <v>18547.400390625</v>
      </c>
    </row>
    <row r="309">
      <c r="A309" t="inlineStr">
        <is>
          <t>2022-09-22</t>
        </is>
      </c>
      <c r="B309" t="n">
        <v>1670.800048828125</v>
      </c>
      <c r="C309" t="n">
        <v>19413.55078125</v>
      </c>
    </row>
    <row r="310">
      <c r="A310" t="inlineStr">
        <is>
          <t>2022-09-23</t>
        </is>
      </c>
      <c r="B310" t="n">
        <v>1645.300048828125</v>
      </c>
      <c r="C310" t="n">
        <v>19297.638671875</v>
      </c>
    </row>
    <row r="311">
      <c r="A311" t="inlineStr">
        <is>
          <t>2022-09-26</t>
        </is>
      </c>
      <c r="B311" t="n">
        <v>1623.300048828125</v>
      </c>
      <c r="C311" t="n">
        <v>19222.671875</v>
      </c>
    </row>
    <row r="312">
      <c r="A312" t="inlineStr">
        <is>
          <t>2022-09-27</t>
        </is>
      </c>
      <c r="B312" t="n">
        <v>1626.699951171875</v>
      </c>
      <c r="C312" t="n">
        <v>19110.546875</v>
      </c>
    </row>
    <row r="313">
      <c r="A313" t="inlineStr">
        <is>
          <t>2022-09-28</t>
        </is>
      </c>
      <c r="B313" t="n">
        <v>1660.400024414062</v>
      </c>
      <c r="C313" t="n">
        <v>19426.720703125</v>
      </c>
    </row>
    <row r="314">
      <c r="A314" t="inlineStr">
        <is>
          <t>2022-09-29</t>
        </is>
      </c>
      <c r="B314" t="n">
        <v>1658.5</v>
      </c>
      <c r="C314" t="n">
        <v>19573.05078125</v>
      </c>
    </row>
    <row r="315">
      <c r="A315" t="inlineStr">
        <is>
          <t>2022-09-30</t>
        </is>
      </c>
      <c r="B315" t="n">
        <v>1662.400024414062</v>
      </c>
      <c r="C315" t="n">
        <v>19431.7890625</v>
      </c>
    </row>
    <row r="316">
      <c r="A316" t="inlineStr">
        <is>
          <t>2022-10-03</t>
        </is>
      </c>
      <c r="B316" t="n">
        <v>1692.900024414062</v>
      </c>
      <c r="C316" t="n">
        <v>19623.580078125</v>
      </c>
    </row>
    <row r="317">
      <c r="A317" t="inlineStr">
        <is>
          <t>2022-10-04</t>
        </is>
      </c>
      <c r="B317" t="n">
        <v>1721.099975585938</v>
      </c>
      <c r="C317" t="n">
        <v>20336.84375</v>
      </c>
    </row>
    <row r="318">
      <c r="A318" t="inlineStr">
        <is>
          <t>2022-10-05</t>
        </is>
      </c>
      <c r="B318" t="n">
        <v>1711.400024414062</v>
      </c>
      <c r="C318" t="n">
        <v>20160.716796875</v>
      </c>
    </row>
    <row r="319">
      <c r="A319" t="inlineStr">
        <is>
          <t>2022-10-06</t>
        </is>
      </c>
      <c r="B319" t="n">
        <v>1711.699951171875</v>
      </c>
      <c r="C319" t="n">
        <v>19955.443359375</v>
      </c>
    </row>
    <row r="320">
      <c r="A320" t="inlineStr">
        <is>
          <t>2022-10-07</t>
        </is>
      </c>
      <c r="B320" t="n">
        <v>1700.5</v>
      </c>
      <c r="C320" t="n">
        <v>19546.849609375</v>
      </c>
    </row>
    <row r="321">
      <c r="A321" t="inlineStr">
        <is>
          <t>2022-10-10</t>
        </is>
      </c>
      <c r="B321" t="n">
        <v>1667.300048828125</v>
      </c>
      <c r="C321" t="n">
        <v>19141.484375</v>
      </c>
    </row>
    <row r="322">
      <c r="A322" t="inlineStr">
        <is>
          <t>2022-10-11</t>
        </is>
      </c>
      <c r="B322" t="n">
        <v>1678.699951171875</v>
      </c>
      <c r="C322" t="n">
        <v>19051.41796875</v>
      </c>
    </row>
    <row r="323">
      <c r="A323" t="inlineStr">
        <is>
          <t>2022-10-12</t>
        </is>
      </c>
      <c r="B323" t="n">
        <v>1670.300048828125</v>
      </c>
      <c r="C323" t="n">
        <v>19157.4453125</v>
      </c>
    </row>
    <row r="324">
      <c r="A324" t="inlineStr">
        <is>
          <t>2022-10-13</t>
        </is>
      </c>
      <c r="B324" t="n">
        <v>1670</v>
      </c>
      <c r="C324" t="n">
        <v>19382.904296875</v>
      </c>
    </row>
    <row r="325">
      <c r="A325" t="inlineStr">
        <is>
          <t>2022-10-14</t>
        </is>
      </c>
      <c r="B325" t="n">
        <v>1641.699951171875</v>
      </c>
      <c r="C325" t="n">
        <v>19185.65625</v>
      </c>
    </row>
    <row r="326">
      <c r="A326" t="inlineStr">
        <is>
          <t>2022-10-17</t>
        </is>
      </c>
      <c r="B326" t="n">
        <v>1657</v>
      </c>
      <c r="C326" t="n">
        <v>19550.7578125</v>
      </c>
    </row>
    <row r="327">
      <c r="A327" t="inlineStr">
        <is>
          <t>2022-10-18</t>
        </is>
      </c>
      <c r="B327" t="n">
        <v>1649</v>
      </c>
      <c r="C327" t="n">
        <v>19334.416015625</v>
      </c>
    </row>
    <row r="328">
      <c r="A328" t="inlineStr">
        <is>
          <t>2022-10-19</t>
        </is>
      </c>
      <c r="B328" t="n">
        <v>1627.5</v>
      </c>
      <c r="C328" t="n">
        <v>19139.53515625</v>
      </c>
    </row>
    <row r="329">
      <c r="A329" t="inlineStr">
        <is>
          <t>2022-10-20</t>
        </is>
      </c>
      <c r="B329" t="n">
        <v>1630.800048828125</v>
      </c>
      <c r="C329" t="n">
        <v>19053.740234375</v>
      </c>
    </row>
    <row r="330">
      <c r="A330" t="inlineStr">
        <is>
          <t>2022-10-21</t>
        </is>
      </c>
      <c r="B330" t="n">
        <v>1651</v>
      </c>
      <c r="C330" t="n">
        <v>19172.46875</v>
      </c>
    </row>
    <row r="331">
      <c r="A331" t="inlineStr">
        <is>
          <t>2022-10-24</t>
        </is>
      </c>
      <c r="B331" t="n">
        <v>1648.699951171875</v>
      </c>
      <c r="C331" t="n">
        <v>19345.572265625</v>
      </c>
    </row>
    <row r="332">
      <c r="A332" t="inlineStr">
        <is>
          <t>2022-10-25</t>
        </is>
      </c>
      <c r="B332" t="n">
        <v>1652.800048828125</v>
      </c>
      <c r="C332" t="n">
        <v>20095.857421875</v>
      </c>
    </row>
    <row r="333">
      <c r="A333" t="inlineStr">
        <is>
          <t>2022-10-26</t>
        </is>
      </c>
      <c r="B333" t="n">
        <v>1664</v>
      </c>
      <c r="C333" t="n">
        <v>20770.44140625</v>
      </c>
    </row>
    <row r="334">
      <c r="A334" t="inlineStr">
        <is>
          <t>2022-10-27</t>
        </is>
      </c>
      <c r="B334" t="n">
        <v>1660.699951171875</v>
      </c>
      <c r="C334" t="n">
        <v>20285.8359375</v>
      </c>
    </row>
    <row r="335">
      <c r="A335" t="inlineStr">
        <is>
          <t>2022-10-28</t>
        </is>
      </c>
      <c r="B335" t="n">
        <v>1639.599975585938</v>
      </c>
      <c r="C335" t="n">
        <v>20595.3515625</v>
      </c>
    </row>
    <row r="336">
      <c r="A336" t="inlineStr">
        <is>
          <t>2022-10-31</t>
        </is>
      </c>
      <c r="B336" t="n">
        <v>1635.900024414062</v>
      </c>
      <c r="C336" t="n">
        <v>20495.7734375</v>
      </c>
    </row>
    <row r="337">
      <c r="A337" t="inlineStr">
        <is>
          <t>2022-11-01</t>
        </is>
      </c>
      <c r="B337" t="n">
        <v>1645</v>
      </c>
      <c r="C337" t="n">
        <v>20485.2734375</v>
      </c>
    </row>
    <row r="338">
      <c r="A338" t="inlineStr">
        <is>
          <t>2022-11-02</t>
        </is>
      </c>
      <c r="B338" t="n">
        <v>1645.699951171875</v>
      </c>
      <c r="C338" t="n">
        <v>20159.50390625</v>
      </c>
    </row>
    <row r="339">
      <c r="A339" t="inlineStr">
        <is>
          <t>2022-11-03</t>
        </is>
      </c>
      <c r="B339" t="n">
        <v>1627.300048828125</v>
      </c>
      <c r="C339" t="n">
        <v>20209.98828125</v>
      </c>
    </row>
    <row r="340">
      <c r="A340" t="inlineStr">
        <is>
          <t>2022-11-04</t>
        </is>
      </c>
      <c r="B340" t="n">
        <v>1672.5</v>
      </c>
      <c r="C340" t="n">
        <v>21147.23046875</v>
      </c>
    </row>
    <row r="341">
      <c r="A341" t="inlineStr">
        <is>
          <t>2022-11-07</t>
        </is>
      </c>
      <c r="B341" t="n">
        <v>1676.5</v>
      </c>
      <c r="C341" t="n">
        <v>20602.81640625</v>
      </c>
    </row>
    <row r="342">
      <c r="A342" t="inlineStr">
        <is>
          <t>2022-11-08</t>
        </is>
      </c>
      <c r="B342" t="n">
        <v>1712.099975585938</v>
      </c>
      <c r="C342" t="n">
        <v>18541.271484375</v>
      </c>
    </row>
    <row r="343">
      <c r="A343" t="inlineStr">
        <is>
          <t>2022-11-09</t>
        </is>
      </c>
      <c r="B343" t="n">
        <v>1710.099975585938</v>
      </c>
      <c r="C343" t="n">
        <v>15880.7802734375</v>
      </c>
    </row>
    <row r="344">
      <c r="A344" t="inlineStr">
        <is>
          <t>2022-11-10</t>
        </is>
      </c>
      <c r="B344" t="n">
        <v>1750.300048828125</v>
      </c>
      <c r="C344" t="n">
        <v>17586.771484375</v>
      </c>
    </row>
    <row r="345">
      <c r="A345" t="inlineStr">
        <is>
          <t>2022-11-11</t>
        </is>
      </c>
      <c r="B345" t="n">
        <v>1766</v>
      </c>
      <c r="C345" t="n">
        <v>17034.29296875</v>
      </c>
    </row>
    <row r="346">
      <c r="A346" t="inlineStr">
        <is>
          <t>2022-11-14</t>
        </is>
      </c>
      <c r="B346" t="n">
        <v>1773.599975585938</v>
      </c>
      <c r="C346" t="n">
        <v>16618.19921875</v>
      </c>
    </row>
    <row r="347">
      <c r="A347" t="inlineStr">
        <is>
          <t>2022-11-15</t>
        </is>
      </c>
      <c r="B347" t="n">
        <v>1773.800048828125</v>
      </c>
      <c r="C347" t="n">
        <v>16884.61328125</v>
      </c>
    </row>
    <row r="348">
      <c r="A348" t="inlineStr">
        <is>
          <t>2022-11-16</t>
        </is>
      </c>
      <c r="B348" t="n">
        <v>1773</v>
      </c>
      <c r="C348" t="n">
        <v>16669.439453125</v>
      </c>
    </row>
    <row r="349">
      <c r="A349" t="inlineStr">
        <is>
          <t>2022-11-17</t>
        </is>
      </c>
      <c r="B349" t="n">
        <v>1760.800048828125</v>
      </c>
      <c r="C349" t="n">
        <v>16687.517578125</v>
      </c>
    </row>
    <row r="350">
      <c r="A350" t="inlineStr">
        <is>
          <t>2022-11-18</t>
        </is>
      </c>
      <c r="B350" t="n">
        <v>1751.900024414062</v>
      </c>
      <c r="C350" t="n">
        <v>16697.77734375</v>
      </c>
    </row>
    <row r="351">
      <c r="A351" t="inlineStr">
        <is>
          <t>2022-11-21</t>
        </is>
      </c>
      <c r="B351" t="n">
        <v>1737.400024414062</v>
      </c>
      <c r="C351" t="n">
        <v>15787.2841796875</v>
      </c>
    </row>
    <row r="352">
      <c r="A352" t="inlineStr">
        <is>
          <t>2022-11-22</t>
        </is>
      </c>
      <c r="B352" t="n">
        <v>1738.300048828125</v>
      </c>
      <c r="C352" t="n">
        <v>16189.76953125</v>
      </c>
    </row>
    <row r="353">
      <c r="A353" t="inlineStr">
        <is>
          <t>2022-11-23</t>
        </is>
      </c>
      <c r="B353" t="n">
        <v>1744.900024414062</v>
      </c>
      <c r="C353" t="n">
        <v>16610.70703125</v>
      </c>
    </row>
    <row r="354">
      <c r="A354" t="inlineStr">
        <is>
          <t>2022-11-25</t>
        </is>
      </c>
      <c r="B354" t="n">
        <v>1753.300048828125</v>
      </c>
      <c r="C354" t="n">
        <v>16521.841796875</v>
      </c>
    </row>
    <row r="355">
      <c r="A355" t="inlineStr">
        <is>
          <t>2022-11-28</t>
        </is>
      </c>
      <c r="B355" t="n">
        <v>1740.099975585938</v>
      </c>
      <c r="C355" t="n">
        <v>16217.322265625</v>
      </c>
    </row>
    <row r="356">
      <c r="A356" t="inlineStr">
        <is>
          <t>2022-11-29</t>
        </is>
      </c>
      <c r="B356" t="n">
        <v>1748.400024414062</v>
      </c>
      <c r="C356" t="n">
        <v>16444.982421875</v>
      </c>
    </row>
    <row r="357">
      <c r="A357" t="inlineStr">
        <is>
          <t>2022-11-30</t>
        </is>
      </c>
      <c r="B357" t="n">
        <v>1746</v>
      </c>
      <c r="C357" t="n">
        <v>17168.56640625</v>
      </c>
    </row>
    <row r="358">
      <c r="A358" t="inlineStr">
        <is>
          <t>2022-12-01</t>
        </is>
      </c>
      <c r="B358" t="n">
        <v>1801.099975585938</v>
      </c>
      <c r="C358" t="n">
        <v>16967.1328125</v>
      </c>
    </row>
    <row r="359">
      <c r="A359" t="inlineStr">
        <is>
          <t>2022-12-02</t>
        </is>
      </c>
      <c r="B359" t="n">
        <v>1795.900024414062</v>
      </c>
      <c r="C359" t="n">
        <v>17088.66015625</v>
      </c>
    </row>
    <row r="360">
      <c r="A360" t="inlineStr">
        <is>
          <t>2022-12-05</t>
        </is>
      </c>
      <c r="B360" t="n">
        <v>1767.400024414062</v>
      </c>
      <c r="C360" t="n">
        <v>16974.826171875</v>
      </c>
    </row>
    <row r="361">
      <c r="A361" t="inlineStr">
        <is>
          <t>2022-12-06</t>
        </is>
      </c>
      <c r="B361" t="n">
        <v>1769.300048828125</v>
      </c>
      <c r="C361" t="n">
        <v>17089.50390625</v>
      </c>
    </row>
    <row r="362">
      <c r="A362" t="inlineStr">
        <is>
          <t>2022-12-07</t>
        </is>
      </c>
      <c r="B362" t="n">
        <v>1785.5</v>
      </c>
      <c r="C362" t="n">
        <v>16848.126953125</v>
      </c>
    </row>
    <row r="363">
      <c r="A363" t="inlineStr">
        <is>
          <t>2022-12-08</t>
        </is>
      </c>
      <c r="B363" t="n">
        <v>1788.699951171875</v>
      </c>
      <c r="C363" t="n">
        <v>17233.474609375</v>
      </c>
    </row>
    <row r="364">
      <c r="A364" t="inlineStr">
        <is>
          <t>2022-12-09</t>
        </is>
      </c>
      <c r="B364" t="n">
        <v>1798.099975585938</v>
      </c>
      <c r="C364" t="n">
        <v>17133.15234375</v>
      </c>
    </row>
    <row r="365">
      <c r="A365" t="inlineStr">
        <is>
          <t>2022-12-12</t>
        </is>
      </c>
      <c r="B365" t="n">
        <v>1780.5</v>
      </c>
      <c r="C365" t="n">
        <v>17206.4375</v>
      </c>
    </row>
    <row r="366">
      <c r="A366" t="inlineStr">
        <is>
          <t>2022-12-13</t>
        </is>
      </c>
      <c r="B366" t="n">
        <v>1813.900024414062</v>
      </c>
      <c r="C366" t="n">
        <v>17781.318359375</v>
      </c>
    </row>
    <row r="367">
      <c r="A367" t="inlineStr">
        <is>
          <t>2022-12-14</t>
        </is>
      </c>
      <c r="B367" t="n">
        <v>1807.5</v>
      </c>
      <c r="C367" t="n">
        <v>17815.650390625</v>
      </c>
    </row>
    <row r="368">
      <c r="A368" t="inlineStr">
        <is>
          <t>2022-12-15</t>
        </is>
      </c>
      <c r="B368" t="n">
        <v>1777.199951171875</v>
      </c>
      <c r="C368" t="n">
        <v>17364.865234375</v>
      </c>
    </row>
    <row r="369">
      <c r="A369" t="inlineStr">
        <is>
          <t>2022-12-16</t>
        </is>
      </c>
      <c r="B369" t="n">
        <v>1790</v>
      </c>
      <c r="C369" t="n">
        <v>16647.484375</v>
      </c>
    </row>
    <row r="370">
      <c r="A370" t="inlineStr">
        <is>
          <t>2022-12-19</t>
        </is>
      </c>
      <c r="B370" t="n">
        <v>1787.699951171875</v>
      </c>
      <c r="C370" t="n">
        <v>16439.6796875</v>
      </c>
    </row>
    <row r="371">
      <c r="A371" t="inlineStr">
        <is>
          <t>2022-12-20</t>
        </is>
      </c>
      <c r="B371" t="n">
        <v>1815.900024414062</v>
      </c>
      <c r="C371" t="n">
        <v>16906.3046875</v>
      </c>
    </row>
    <row r="372">
      <c r="A372" t="inlineStr">
        <is>
          <t>2022-12-21</t>
        </is>
      </c>
      <c r="B372" t="n">
        <v>1815.900024414062</v>
      </c>
      <c r="C372" t="n">
        <v>16817.53515625</v>
      </c>
    </row>
    <row r="373">
      <c r="A373" t="inlineStr">
        <is>
          <t>2022-12-22</t>
        </is>
      </c>
      <c r="B373" t="n">
        <v>1787</v>
      </c>
      <c r="C373" t="n">
        <v>16830.341796875</v>
      </c>
    </row>
    <row r="374">
      <c r="A374" t="inlineStr">
        <is>
          <t>2022-12-23</t>
        </is>
      </c>
      <c r="B374" t="n">
        <v>1795.900024414062</v>
      </c>
      <c r="C374" t="n">
        <v>16796.953125</v>
      </c>
    </row>
    <row r="375">
      <c r="A375" t="inlineStr">
        <is>
          <t>2022-12-27</t>
        </is>
      </c>
      <c r="B375" t="n">
        <v>1814.800048828125</v>
      </c>
      <c r="C375" t="n">
        <v>16717.173828125</v>
      </c>
    </row>
    <row r="376">
      <c r="A376" t="inlineStr">
        <is>
          <t>2022-12-28</t>
        </is>
      </c>
      <c r="B376" t="n">
        <v>1807.900024414062</v>
      </c>
      <c r="C376" t="n">
        <v>16552.572265625</v>
      </c>
    </row>
    <row r="377">
      <c r="A377" t="inlineStr">
        <is>
          <t>2022-12-29</t>
        </is>
      </c>
      <c r="B377" t="n">
        <v>1819.5</v>
      </c>
      <c r="C377" t="n">
        <v>16642.341796875</v>
      </c>
    </row>
    <row r="378">
      <c r="A378" t="inlineStr">
        <is>
          <t>2022-12-30</t>
        </is>
      </c>
      <c r="B378" t="n">
        <v>1819.699951171875</v>
      </c>
      <c r="C378" t="n">
        <v>16602.5859375</v>
      </c>
    </row>
    <row r="379">
      <c r="A379" t="inlineStr">
        <is>
          <t>2023-01-03</t>
        </is>
      </c>
      <c r="B379" t="n">
        <v>1839.699951171875</v>
      </c>
      <c r="C379" t="n">
        <v>16679.857421875</v>
      </c>
    </row>
    <row r="380">
      <c r="A380" t="inlineStr">
        <is>
          <t>2023-01-04</t>
        </is>
      </c>
      <c r="B380" t="n">
        <v>1852.800048828125</v>
      </c>
      <c r="C380" t="n">
        <v>16863.23828125</v>
      </c>
    </row>
    <row r="381">
      <c r="A381" t="inlineStr">
        <is>
          <t>2023-01-05</t>
        </is>
      </c>
      <c r="B381" t="n">
        <v>1834.800048828125</v>
      </c>
      <c r="C381" t="n">
        <v>16836.736328125</v>
      </c>
    </row>
    <row r="382">
      <c r="A382" t="inlineStr">
        <is>
          <t>2023-01-06</t>
        </is>
      </c>
      <c r="B382" t="n">
        <v>1864.199951171875</v>
      </c>
      <c r="C382" t="n">
        <v>16951.96875</v>
      </c>
    </row>
    <row r="383">
      <c r="A383" t="inlineStr">
        <is>
          <t>2023-01-09</t>
        </is>
      </c>
      <c r="B383" t="n">
        <v>1872.699951171875</v>
      </c>
      <c r="C383" t="n">
        <v>17196.5546875</v>
      </c>
    </row>
    <row r="384">
      <c r="A384" t="inlineStr">
        <is>
          <t>2023-01-10</t>
        </is>
      </c>
      <c r="B384" t="n">
        <v>1871.599975585938</v>
      </c>
      <c r="C384" t="n">
        <v>17446.29296875</v>
      </c>
    </row>
    <row r="385">
      <c r="A385" t="inlineStr">
        <is>
          <t>2023-01-11</t>
        </is>
      </c>
      <c r="B385" t="n">
        <v>1874.599975585938</v>
      </c>
      <c r="C385" t="n">
        <v>17934.896484375</v>
      </c>
    </row>
    <row r="386">
      <c r="A386" t="inlineStr">
        <is>
          <t>2023-01-12</t>
        </is>
      </c>
      <c r="B386" t="n">
        <v>1895.5</v>
      </c>
      <c r="C386" t="n">
        <v>18869.587890625</v>
      </c>
    </row>
    <row r="387">
      <c r="A387" t="inlineStr">
        <is>
          <t>2023-01-13</t>
        </is>
      </c>
      <c r="B387" t="n">
        <v>1918.400024414062</v>
      </c>
      <c r="C387" t="n">
        <v>19909.57421875</v>
      </c>
    </row>
    <row r="388">
      <c r="A388" t="inlineStr">
        <is>
          <t>2023-01-17</t>
        </is>
      </c>
      <c r="B388" t="n">
        <v>1907.199951171875</v>
      </c>
      <c r="C388" t="n">
        <v>21161.51953125</v>
      </c>
    </row>
    <row r="389">
      <c r="A389" t="inlineStr">
        <is>
          <t>2023-01-18</t>
        </is>
      </c>
      <c r="B389" t="n">
        <v>1904.400024414062</v>
      </c>
      <c r="C389" t="n">
        <v>20688.78125</v>
      </c>
    </row>
    <row r="390">
      <c r="A390" t="inlineStr">
        <is>
          <t>2023-01-19</t>
        </is>
      </c>
      <c r="B390" t="n">
        <v>1922.099975585938</v>
      </c>
      <c r="C390" t="n">
        <v>21086.79296875</v>
      </c>
    </row>
    <row r="391">
      <c r="A391" t="inlineStr">
        <is>
          <t>2023-01-20</t>
        </is>
      </c>
      <c r="B391" t="n">
        <v>1926.400024414062</v>
      </c>
      <c r="C391" t="n">
        <v>22676.552734375</v>
      </c>
    </row>
    <row r="392">
      <c r="A392" t="inlineStr">
        <is>
          <t>2023-01-23</t>
        </is>
      </c>
      <c r="B392" t="n">
        <v>1927.099975585938</v>
      </c>
      <c r="C392" t="n">
        <v>22934.431640625</v>
      </c>
    </row>
    <row r="393">
      <c r="A393" t="inlineStr">
        <is>
          <t>2023-01-24</t>
        </is>
      </c>
      <c r="B393" t="n">
        <v>1933.900024414062</v>
      </c>
      <c r="C393" t="n">
        <v>22636.46875</v>
      </c>
    </row>
    <row r="394">
      <c r="A394" t="inlineStr">
        <is>
          <t>2023-01-25</t>
        </is>
      </c>
      <c r="B394" t="n">
        <v>1941.199951171875</v>
      </c>
      <c r="C394" t="n">
        <v>23117.859375</v>
      </c>
    </row>
    <row r="395">
      <c r="A395" t="inlineStr">
        <is>
          <t>2023-01-26</t>
        </is>
      </c>
      <c r="B395" t="n">
        <v>1929.099975585938</v>
      </c>
      <c r="C395" t="n">
        <v>23032.77734375</v>
      </c>
    </row>
    <row r="396">
      <c r="A396" t="inlineStr">
        <is>
          <t>2023-01-27</t>
        </is>
      </c>
      <c r="B396" t="n">
        <v>1928.599975585938</v>
      </c>
      <c r="C396" t="n">
        <v>23078.728515625</v>
      </c>
    </row>
    <row r="397">
      <c r="A397" t="inlineStr">
        <is>
          <t>2023-01-30</t>
        </is>
      </c>
      <c r="B397" t="n">
        <v>1922.900024414062</v>
      </c>
      <c r="C397" t="n">
        <v>22840.138671875</v>
      </c>
    </row>
    <row r="398">
      <c r="A398" t="inlineStr">
        <is>
          <t>2023-01-31</t>
        </is>
      </c>
      <c r="B398" t="n">
        <v>1929.5</v>
      </c>
      <c r="C398" t="n">
        <v>23139.283203125</v>
      </c>
    </row>
    <row r="399">
      <c r="A399" t="inlineStr">
        <is>
          <t>2023-02-01</t>
        </is>
      </c>
      <c r="B399" t="n">
        <v>1927.800048828125</v>
      </c>
      <c r="C399" t="n">
        <v>23723.76953125</v>
      </c>
    </row>
    <row r="400">
      <c r="A400" t="inlineStr">
        <is>
          <t>2023-02-02</t>
        </is>
      </c>
      <c r="B400" t="n">
        <v>1916.300048828125</v>
      </c>
      <c r="C400" t="n">
        <v>23471.87109375</v>
      </c>
    </row>
    <row r="401">
      <c r="A401" t="inlineStr">
        <is>
          <t>2023-02-03</t>
        </is>
      </c>
      <c r="B401" t="n">
        <v>1862.900024414062</v>
      </c>
      <c r="C401" t="n">
        <v>23449.322265625</v>
      </c>
    </row>
    <row r="402">
      <c r="A402" t="inlineStr">
        <is>
          <t>2023-02-06</t>
        </is>
      </c>
      <c r="B402" t="n">
        <v>1866.199951171875</v>
      </c>
      <c r="C402" t="n">
        <v>22760.109375</v>
      </c>
    </row>
    <row r="403">
      <c r="A403" t="inlineStr">
        <is>
          <t>2023-02-07</t>
        </is>
      </c>
      <c r="B403" t="n">
        <v>1871.699951171875</v>
      </c>
      <c r="C403" t="n">
        <v>23264.291015625</v>
      </c>
    </row>
    <row r="404">
      <c r="A404" t="inlineStr">
        <is>
          <t>2023-02-08</t>
        </is>
      </c>
      <c r="B404" t="n">
        <v>1877.400024414062</v>
      </c>
      <c r="C404" t="n">
        <v>22939.3984375</v>
      </c>
    </row>
    <row r="405">
      <c r="A405" t="inlineStr">
        <is>
          <t>2023-02-09</t>
        </is>
      </c>
      <c r="B405" t="n">
        <v>1866.199951171875</v>
      </c>
      <c r="C405" t="n">
        <v>21819.0390625</v>
      </c>
    </row>
    <row r="406">
      <c r="A406" t="inlineStr">
        <is>
          <t>2023-02-10</t>
        </is>
      </c>
      <c r="B406" t="n">
        <v>1862.800048828125</v>
      </c>
      <c r="C406" t="n">
        <v>21651.18359375</v>
      </c>
    </row>
    <row r="407">
      <c r="A407" t="inlineStr">
        <is>
          <t>2023-02-13</t>
        </is>
      </c>
      <c r="B407" t="n">
        <v>1851.900024414062</v>
      </c>
      <c r="C407" t="n">
        <v>21808.1015625</v>
      </c>
    </row>
    <row r="408">
      <c r="A408" t="inlineStr">
        <is>
          <t>2023-02-14</t>
        </is>
      </c>
      <c r="B408" t="n">
        <v>1854</v>
      </c>
      <c r="C408" t="n">
        <v>22220.8046875</v>
      </c>
    </row>
    <row r="409">
      <c r="A409" t="inlineStr">
        <is>
          <t>2023-02-15</t>
        </is>
      </c>
      <c r="B409" t="n">
        <v>1834.199951171875</v>
      </c>
      <c r="C409" t="n">
        <v>24307.841796875</v>
      </c>
    </row>
    <row r="410">
      <c r="A410" t="inlineStr">
        <is>
          <t>2023-02-16</t>
        </is>
      </c>
      <c r="B410" t="n">
        <v>1842</v>
      </c>
      <c r="C410" t="n">
        <v>23623.474609375</v>
      </c>
    </row>
    <row r="411">
      <c r="A411" t="inlineStr">
        <is>
          <t>2023-02-17</t>
        </is>
      </c>
      <c r="B411" t="n">
        <v>1840.400024414062</v>
      </c>
      <c r="C411" t="n">
        <v>24565.6015625</v>
      </c>
    </row>
    <row r="412">
      <c r="A412" t="inlineStr">
        <is>
          <t>2023-02-21</t>
        </is>
      </c>
      <c r="B412" t="n">
        <v>1833</v>
      </c>
      <c r="C412" t="n">
        <v>24436.353515625</v>
      </c>
    </row>
    <row r="413">
      <c r="A413" t="inlineStr">
        <is>
          <t>2023-02-22</t>
        </is>
      </c>
      <c r="B413" t="n">
        <v>1832</v>
      </c>
      <c r="C413" t="n">
        <v>24188.84375</v>
      </c>
    </row>
    <row r="414">
      <c r="A414" t="inlineStr">
        <is>
          <t>2023-02-23</t>
        </is>
      </c>
      <c r="B414" t="n">
        <v>1818</v>
      </c>
      <c r="C414" t="n">
        <v>23947.4921875</v>
      </c>
    </row>
    <row r="415">
      <c r="A415" t="inlineStr">
        <is>
          <t>2023-02-24</t>
        </is>
      </c>
      <c r="B415" t="n">
        <v>1808.800048828125</v>
      </c>
      <c r="C415" t="n">
        <v>23198.126953125</v>
      </c>
    </row>
    <row r="416">
      <c r="A416" t="inlineStr">
        <is>
          <t>2023-02-27</t>
        </is>
      </c>
      <c r="B416" t="n">
        <v>1817</v>
      </c>
      <c r="C416" t="n">
        <v>23522.87109375</v>
      </c>
    </row>
    <row r="417">
      <c r="A417" t="inlineStr">
        <is>
          <t>2023-02-28</t>
        </is>
      </c>
      <c r="B417" t="n">
        <v>1828.900024414062</v>
      </c>
      <c r="C417" t="n">
        <v>23147.353515625</v>
      </c>
    </row>
    <row r="418">
      <c r="A418" t="inlineStr">
        <is>
          <t>2023-03-01</t>
        </is>
      </c>
      <c r="B418" t="n">
        <v>1837.699951171875</v>
      </c>
      <c r="C418" t="n">
        <v>23646.55078125</v>
      </c>
    </row>
    <row r="419">
      <c r="A419" t="inlineStr">
        <is>
          <t>2023-03-02</t>
        </is>
      </c>
      <c r="B419" t="n">
        <v>1833.5</v>
      </c>
      <c r="C419" t="n">
        <v>23475.466796875</v>
      </c>
    </row>
    <row r="420">
      <c r="A420" t="inlineStr">
        <is>
          <t>2023-03-03</t>
        </is>
      </c>
      <c r="B420" t="n">
        <v>1847.699951171875</v>
      </c>
      <c r="C420" t="n">
        <v>22362.6796875</v>
      </c>
    </row>
    <row r="421">
      <c r="A421" t="inlineStr">
        <is>
          <t>2023-03-06</t>
        </is>
      </c>
      <c r="B421" t="n">
        <v>1847.900024414062</v>
      </c>
      <c r="C421" t="n">
        <v>22429.7578125</v>
      </c>
    </row>
    <row r="422">
      <c r="A422" t="inlineStr">
        <is>
          <t>2023-03-07</t>
        </is>
      </c>
      <c r="B422" t="n">
        <v>1813.900024414062</v>
      </c>
      <c r="C422" t="n">
        <v>22219.76953125</v>
      </c>
    </row>
    <row r="423">
      <c r="A423" t="inlineStr">
        <is>
          <t>2023-03-08</t>
        </is>
      </c>
      <c r="B423" t="n">
        <v>1812.699951171875</v>
      </c>
      <c r="C423" t="n">
        <v>21718.080078125</v>
      </c>
    </row>
    <row r="424">
      <c r="A424" t="inlineStr">
        <is>
          <t>2023-03-09</t>
        </is>
      </c>
      <c r="B424" t="n">
        <v>1829.300048828125</v>
      </c>
      <c r="C424" t="n">
        <v>20363.021484375</v>
      </c>
    </row>
    <row r="425">
      <c r="A425" t="inlineStr">
        <is>
          <t>2023-03-10</t>
        </is>
      </c>
      <c r="B425" t="n">
        <v>1862</v>
      </c>
      <c r="C425" t="n">
        <v>20187.244140625</v>
      </c>
    </row>
    <row r="426">
      <c r="A426" t="inlineStr">
        <is>
          <t>2023-03-13</t>
        </is>
      </c>
      <c r="B426" t="n">
        <v>1911.699951171875</v>
      </c>
      <c r="C426" t="n">
        <v>24197.533203125</v>
      </c>
    </row>
    <row r="427">
      <c r="A427" t="inlineStr">
        <is>
          <t>2023-03-14</t>
        </is>
      </c>
      <c r="B427" t="n">
        <v>1906.199951171875</v>
      </c>
      <c r="C427" t="n">
        <v>24746.07421875</v>
      </c>
    </row>
    <row r="428">
      <c r="A428" t="inlineStr">
        <is>
          <t>2023-03-15</t>
        </is>
      </c>
      <c r="B428" t="n">
        <v>1926.599975585938</v>
      </c>
      <c r="C428" t="n">
        <v>24375.9609375</v>
      </c>
    </row>
    <row r="429">
      <c r="A429" t="inlineStr">
        <is>
          <t>2023-03-16</t>
        </is>
      </c>
      <c r="B429" t="n">
        <v>1919</v>
      </c>
      <c r="C429" t="n">
        <v>25052.7890625</v>
      </c>
    </row>
    <row r="430">
      <c r="A430" t="inlineStr">
        <is>
          <t>2023-03-17</t>
        </is>
      </c>
      <c r="B430" t="n">
        <v>1969.800048828125</v>
      </c>
      <c r="C430" t="n">
        <v>27423.9296875</v>
      </c>
    </row>
    <row r="431">
      <c r="A431" t="inlineStr">
        <is>
          <t>2023-03-20</t>
        </is>
      </c>
      <c r="B431" t="n">
        <v>1979.199951171875</v>
      </c>
      <c r="C431" t="n">
        <v>27767.236328125</v>
      </c>
    </row>
    <row r="432">
      <c r="A432" t="inlineStr">
        <is>
          <t>2023-03-21</t>
        </is>
      </c>
      <c r="B432" t="n">
        <v>1938</v>
      </c>
      <c r="C432" t="n">
        <v>28175.81640625</v>
      </c>
    </row>
    <row r="433">
      <c r="A433" t="inlineStr">
        <is>
          <t>2023-03-22</t>
        </is>
      </c>
      <c r="B433" t="n">
        <v>1946.800048828125</v>
      </c>
      <c r="C433" t="n">
        <v>27307.4375</v>
      </c>
    </row>
    <row r="434">
      <c r="A434" t="inlineStr">
        <is>
          <t>2023-03-23</t>
        </is>
      </c>
      <c r="B434" t="n">
        <v>1993.800048828125</v>
      </c>
      <c r="C434" t="n">
        <v>28333.97265625</v>
      </c>
    </row>
    <row r="435">
      <c r="A435" t="inlineStr">
        <is>
          <t>2023-03-24</t>
        </is>
      </c>
      <c r="B435" t="n">
        <v>1982.099975585938</v>
      </c>
      <c r="C435" t="n">
        <v>27493.28515625</v>
      </c>
    </row>
    <row r="436">
      <c r="A436" t="inlineStr">
        <is>
          <t>2023-03-27</t>
        </is>
      </c>
      <c r="B436" t="n">
        <v>1952.400024414062</v>
      </c>
      <c r="C436" t="n">
        <v>27139.888671875</v>
      </c>
    </row>
    <row r="437">
      <c r="A437" t="inlineStr">
        <is>
          <t>2023-03-28</t>
        </is>
      </c>
      <c r="B437" t="n">
        <v>1972.400024414062</v>
      </c>
      <c r="C437" t="n">
        <v>27268.130859375</v>
      </c>
    </row>
    <row r="438">
      <c r="A438" t="inlineStr">
        <is>
          <t>2023-03-29</t>
        </is>
      </c>
      <c r="B438" t="n">
        <v>1966.099975585938</v>
      </c>
      <c r="C438" t="n">
        <v>28348.44140625</v>
      </c>
    </row>
    <row r="439">
      <c r="A439" t="inlineStr">
        <is>
          <t>2023-03-30</t>
        </is>
      </c>
      <c r="B439" t="n">
        <v>1980.300048828125</v>
      </c>
      <c r="C439" t="n">
        <v>28033.5625</v>
      </c>
    </row>
    <row r="440">
      <c r="A440" t="inlineStr">
        <is>
          <t>2023-03-31</t>
        </is>
      </c>
      <c r="B440" t="n">
        <v>1969</v>
      </c>
      <c r="C440" t="n">
        <v>28478.484375</v>
      </c>
    </row>
    <row r="441">
      <c r="A441" t="inlineStr">
        <is>
          <t>2023-04-03</t>
        </is>
      </c>
      <c r="B441" t="n">
        <v>1983.900024414062</v>
      </c>
      <c r="C441" t="n">
        <v>27790.220703125</v>
      </c>
    </row>
    <row r="442">
      <c r="A442" t="inlineStr">
        <is>
          <t>2023-04-04</t>
        </is>
      </c>
      <c r="B442" t="n">
        <v>2022.199951171875</v>
      </c>
      <c r="C442" t="n">
        <v>28168.08984375</v>
      </c>
    </row>
    <row r="443">
      <c r="A443" t="inlineStr">
        <is>
          <t>2023-04-05</t>
        </is>
      </c>
      <c r="B443" t="n">
        <v>2020.900024414062</v>
      </c>
      <c r="C443" t="n">
        <v>28177.984375</v>
      </c>
    </row>
    <row r="444">
      <c r="A444" t="inlineStr">
        <is>
          <t>2023-04-06</t>
        </is>
      </c>
      <c r="B444" t="n">
        <v>2011.900024414062</v>
      </c>
      <c r="C444" t="n">
        <v>28044.140625</v>
      </c>
    </row>
    <row r="445">
      <c r="A445" t="inlineStr">
        <is>
          <t>2023-04-10</t>
        </is>
      </c>
      <c r="B445" t="n">
        <v>1989.099975585938</v>
      </c>
      <c r="C445" t="n">
        <v>29652.98046875</v>
      </c>
    </row>
    <row r="446">
      <c r="A446" t="inlineStr">
        <is>
          <t>2023-04-11</t>
        </is>
      </c>
      <c r="B446" t="n">
        <v>2004.800048828125</v>
      </c>
      <c r="C446" t="n">
        <v>30235.05859375</v>
      </c>
    </row>
    <row r="447">
      <c r="A447" t="inlineStr">
        <is>
          <t>2023-04-12</t>
        </is>
      </c>
      <c r="B447" t="n">
        <v>2010.900024414062</v>
      </c>
      <c r="C447" t="n">
        <v>30139.052734375</v>
      </c>
    </row>
    <row r="448">
      <c r="A448" t="inlineStr">
        <is>
          <t>2023-04-13</t>
        </is>
      </c>
      <c r="B448" t="n">
        <v>2041.300048828125</v>
      </c>
      <c r="C448" t="n">
        <v>30399.06640625</v>
      </c>
    </row>
    <row r="449">
      <c r="A449" t="inlineStr">
        <is>
          <t>2023-04-14</t>
        </is>
      </c>
      <c r="B449" t="n">
        <v>2002.199951171875</v>
      </c>
      <c r="C449" t="n">
        <v>30485.69921875</v>
      </c>
    </row>
    <row r="450">
      <c r="A450" t="inlineStr">
        <is>
          <t>2023-04-17</t>
        </is>
      </c>
      <c r="B450" t="n">
        <v>1994.199951171875</v>
      </c>
      <c r="C450" t="n">
        <v>29445.044921875</v>
      </c>
    </row>
    <row r="451">
      <c r="A451" t="inlineStr">
        <is>
          <t>2023-04-18</t>
        </is>
      </c>
      <c r="B451" t="n">
        <v>2007.400024414062</v>
      </c>
      <c r="C451" t="n">
        <v>30397.552734375</v>
      </c>
    </row>
    <row r="452">
      <c r="A452" t="inlineStr">
        <is>
          <t>2023-04-19</t>
        </is>
      </c>
      <c r="B452" t="n">
        <v>1995.199951171875</v>
      </c>
      <c r="C452" t="n">
        <v>28822.6796875</v>
      </c>
    </row>
    <row r="453">
      <c r="A453" t="inlineStr">
        <is>
          <t>2023-04-20</t>
        </is>
      </c>
      <c r="B453" t="n">
        <v>2007.599975585938</v>
      </c>
      <c r="C453" t="n">
        <v>28245.98828125</v>
      </c>
    </row>
    <row r="454">
      <c r="A454" t="inlineStr">
        <is>
          <t>2023-04-21</t>
        </is>
      </c>
      <c r="B454" t="n">
        <v>1979.5</v>
      </c>
      <c r="C454" t="n">
        <v>27276.91015625</v>
      </c>
    </row>
    <row r="455">
      <c r="A455" t="inlineStr">
        <is>
          <t>2023-04-24</t>
        </is>
      </c>
      <c r="B455" t="n">
        <v>1989.099975585938</v>
      </c>
      <c r="C455" t="n">
        <v>27525.33984375</v>
      </c>
    </row>
    <row r="456">
      <c r="A456" t="inlineStr">
        <is>
          <t>2023-04-25</t>
        </is>
      </c>
      <c r="B456" t="n">
        <v>1994</v>
      </c>
      <c r="C456" t="n">
        <v>28307.59765625</v>
      </c>
    </row>
    <row r="457">
      <c r="A457" t="inlineStr">
        <is>
          <t>2023-04-26</t>
        </is>
      </c>
      <c r="B457" t="n">
        <v>1985.699951171875</v>
      </c>
      <c r="C457" t="n">
        <v>28422.701171875</v>
      </c>
    </row>
    <row r="458">
      <c r="A458" t="inlineStr">
        <is>
          <t>2023-04-27</t>
        </is>
      </c>
      <c r="B458" t="n">
        <v>1989.900024414062</v>
      </c>
      <c r="C458" t="n">
        <v>29473.787109375</v>
      </c>
    </row>
    <row r="459">
      <c r="A459" t="inlineStr">
        <is>
          <t>2023-04-28</t>
        </is>
      </c>
      <c r="B459" t="n">
        <v>1990.099975585938</v>
      </c>
      <c r="C459" t="n">
        <v>29340.26171875</v>
      </c>
    </row>
    <row r="460">
      <c r="A460" t="inlineStr">
        <is>
          <t>2023-05-01</t>
        </is>
      </c>
      <c r="B460" t="n">
        <v>1983.400024414062</v>
      </c>
      <c r="C460" t="n">
        <v>28091.568359375</v>
      </c>
    </row>
    <row r="461">
      <c r="A461" t="inlineStr">
        <is>
          <t>2023-05-02</t>
        </is>
      </c>
      <c r="B461" t="n">
        <v>2014.300048828125</v>
      </c>
      <c r="C461" t="n">
        <v>28680.537109375</v>
      </c>
    </row>
    <row r="462">
      <c r="A462" t="inlineStr">
        <is>
          <t>2023-05-03</t>
        </is>
      </c>
      <c r="B462" t="n">
        <v>2028.599975585938</v>
      </c>
      <c r="C462" t="n">
        <v>29006.30859375</v>
      </c>
    </row>
    <row r="463">
      <c r="A463" t="inlineStr">
        <is>
          <t>2023-05-04</t>
        </is>
      </c>
      <c r="B463" t="n">
        <v>2048</v>
      </c>
      <c r="C463" t="n">
        <v>28847.7109375</v>
      </c>
    </row>
    <row r="464">
      <c r="A464" t="inlineStr">
        <is>
          <t>2023-05-05</t>
        </is>
      </c>
      <c r="B464" t="n">
        <v>2017.400024414062</v>
      </c>
      <c r="C464" t="n">
        <v>29534.384765625</v>
      </c>
    </row>
    <row r="465">
      <c r="A465" t="inlineStr">
        <is>
          <t>2023-05-08</t>
        </is>
      </c>
      <c r="B465" t="n">
        <v>2026.300048828125</v>
      </c>
      <c r="C465" t="n">
        <v>27694.2734375</v>
      </c>
    </row>
    <row r="466">
      <c r="A466" t="inlineStr">
        <is>
          <t>2023-05-09</t>
        </is>
      </c>
      <c r="B466" t="n">
        <v>2036.199951171875</v>
      </c>
      <c r="C466" t="n">
        <v>27658.775390625</v>
      </c>
    </row>
    <row r="467">
      <c r="A467" t="inlineStr">
        <is>
          <t>2023-05-10</t>
        </is>
      </c>
      <c r="B467" t="n">
        <v>2030.5</v>
      </c>
      <c r="C467" t="n">
        <v>27621.755859375</v>
      </c>
    </row>
    <row r="468">
      <c r="A468" t="inlineStr">
        <is>
          <t>2023-05-11</t>
        </is>
      </c>
      <c r="B468" t="n">
        <v>2014.699951171875</v>
      </c>
      <c r="C468" t="n">
        <v>27000.7890625</v>
      </c>
    </row>
    <row r="469">
      <c r="A469" t="inlineStr">
        <is>
          <t>2023-05-12</t>
        </is>
      </c>
      <c r="B469" t="n">
        <v>2014.5</v>
      </c>
      <c r="C469" t="n">
        <v>26804.990234375</v>
      </c>
    </row>
    <row r="470">
      <c r="A470" t="inlineStr">
        <is>
          <t>2023-05-15</t>
        </is>
      </c>
      <c r="B470" t="n">
        <v>2018</v>
      </c>
      <c r="C470" t="n">
        <v>27192.693359375</v>
      </c>
    </row>
    <row r="471">
      <c r="A471" t="inlineStr">
        <is>
          <t>2023-05-16</t>
        </is>
      </c>
      <c r="B471" t="n">
        <v>1988.400024414062</v>
      </c>
      <c r="C471" t="n">
        <v>27036.650390625</v>
      </c>
    </row>
    <row r="472">
      <c r="A472" t="inlineStr">
        <is>
          <t>2023-05-17</t>
        </is>
      </c>
      <c r="B472" t="n">
        <v>1980.699951171875</v>
      </c>
      <c r="C472" t="n">
        <v>27398.802734375</v>
      </c>
    </row>
    <row r="473">
      <c r="A473" t="inlineStr">
        <is>
          <t>2023-05-18</t>
        </is>
      </c>
      <c r="B473" t="n">
        <v>1956.5</v>
      </c>
      <c r="C473" t="n">
        <v>26832.208984375</v>
      </c>
    </row>
    <row r="474">
      <c r="A474" t="inlineStr">
        <is>
          <t>2023-05-19</t>
        </is>
      </c>
      <c r="B474" t="n">
        <v>1978.699951171875</v>
      </c>
      <c r="C474" t="n">
        <v>26890.12890625</v>
      </c>
    </row>
    <row r="475">
      <c r="A475" t="inlineStr">
        <is>
          <t>2023-05-22</t>
        </is>
      </c>
      <c r="B475" t="n">
        <v>1974.800048828125</v>
      </c>
      <c r="C475" t="n">
        <v>26851.27734375</v>
      </c>
    </row>
    <row r="476">
      <c r="A476" t="inlineStr">
        <is>
          <t>2023-05-23</t>
        </is>
      </c>
      <c r="B476" t="n">
        <v>1972.400024414062</v>
      </c>
      <c r="C476" t="n">
        <v>27225.7265625</v>
      </c>
    </row>
    <row r="477">
      <c r="A477" t="inlineStr">
        <is>
          <t>2023-05-24</t>
        </is>
      </c>
      <c r="B477" t="n">
        <v>1962.800048828125</v>
      </c>
      <c r="C477" t="n">
        <v>26334.818359375</v>
      </c>
    </row>
    <row r="478">
      <c r="A478" t="inlineStr">
        <is>
          <t>2023-05-25</t>
        </is>
      </c>
      <c r="B478" t="n">
        <v>1943.099975585938</v>
      </c>
      <c r="C478" t="n">
        <v>26476.20703125</v>
      </c>
    </row>
    <row r="479">
      <c r="A479" t="inlineStr">
        <is>
          <t>2023-05-26</t>
        </is>
      </c>
      <c r="B479" t="n">
        <v>1944.099975585938</v>
      </c>
      <c r="C479" t="n">
        <v>26719.291015625</v>
      </c>
    </row>
    <row r="480">
      <c r="A480" t="inlineStr">
        <is>
          <t>2023-05-30</t>
        </is>
      </c>
      <c r="B480" t="n">
        <v>1958</v>
      </c>
      <c r="C480" t="n">
        <v>27702.349609375</v>
      </c>
    </row>
    <row r="481">
      <c r="A481" t="inlineStr">
        <is>
          <t>2023-05-31</t>
        </is>
      </c>
      <c r="B481" t="n">
        <v>1963.900024414062</v>
      </c>
      <c r="C481" t="n">
        <v>27219.658203125</v>
      </c>
    </row>
    <row r="482">
      <c r="A482" t="inlineStr">
        <is>
          <t>2023-06-01</t>
        </is>
      </c>
      <c r="B482" t="n">
        <v>1978</v>
      </c>
      <c r="C482" t="n">
        <v>26819.97265625</v>
      </c>
    </row>
    <row r="483">
      <c r="A483" t="inlineStr">
        <is>
          <t>2023-06-02</t>
        </is>
      </c>
      <c r="B483" t="n">
        <v>1952.400024414062</v>
      </c>
      <c r="C483" t="n">
        <v>27249.58984375</v>
      </c>
    </row>
    <row r="484">
      <c r="A484" t="inlineStr">
        <is>
          <t>2023-06-05</t>
        </is>
      </c>
      <c r="B484" t="n">
        <v>1958</v>
      </c>
      <c r="C484" t="n">
        <v>25760.09765625</v>
      </c>
    </row>
    <row r="485">
      <c r="A485" t="inlineStr">
        <is>
          <t>2023-06-06</t>
        </is>
      </c>
      <c r="B485" t="n">
        <v>1965.5</v>
      </c>
      <c r="C485" t="n">
        <v>27238.783203125</v>
      </c>
    </row>
    <row r="486">
      <c r="A486" t="inlineStr">
        <is>
          <t>2023-06-07</t>
        </is>
      </c>
      <c r="B486" t="n">
        <v>1942.699951171875</v>
      </c>
      <c r="C486" t="n">
        <v>26345.998046875</v>
      </c>
    </row>
    <row r="487">
      <c r="A487" t="inlineStr">
        <is>
          <t>2023-06-08</t>
        </is>
      </c>
      <c r="B487" t="n">
        <v>1963.599975585938</v>
      </c>
      <c r="C487" t="n">
        <v>26508.216796875</v>
      </c>
    </row>
    <row r="488">
      <c r="A488" t="inlineStr">
        <is>
          <t>2023-06-09</t>
        </is>
      </c>
      <c r="B488" t="n">
        <v>1962.199951171875</v>
      </c>
      <c r="C488" t="n">
        <v>26480.375</v>
      </c>
    </row>
    <row r="489">
      <c r="A489" t="inlineStr">
        <is>
          <t>2023-06-12</t>
        </is>
      </c>
      <c r="B489" t="n">
        <v>1955.300048828125</v>
      </c>
      <c r="C489" t="n">
        <v>25902.5</v>
      </c>
    </row>
    <row r="490">
      <c r="A490" t="inlineStr">
        <is>
          <t>2023-06-13</t>
        </is>
      </c>
      <c r="B490" t="n">
        <v>1944.599975585938</v>
      </c>
      <c r="C490" t="n">
        <v>25918.728515625</v>
      </c>
    </row>
    <row r="491">
      <c r="A491" t="inlineStr">
        <is>
          <t>2023-06-14</t>
        </is>
      </c>
      <c r="B491" t="n">
        <v>1955.300048828125</v>
      </c>
      <c r="C491" t="n">
        <v>25124.67578125</v>
      </c>
    </row>
    <row r="492">
      <c r="A492" t="inlineStr">
        <is>
          <t>2023-06-15</t>
        </is>
      </c>
      <c r="B492" t="n">
        <v>1957.800048828125</v>
      </c>
      <c r="C492" t="n">
        <v>25576.39453125</v>
      </c>
    </row>
    <row r="493">
      <c r="A493" t="inlineStr">
        <is>
          <t>2023-06-16</t>
        </is>
      </c>
      <c r="B493" t="n">
        <v>1958.400024414062</v>
      </c>
      <c r="C493" t="n">
        <v>26327.462890625</v>
      </c>
    </row>
    <row r="494">
      <c r="A494" t="inlineStr">
        <is>
          <t>2023-06-20</t>
        </is>
      </c>
      <c r="B494" t="n">
        <v>1935.5</v>
      </c>
      <c r="C494" t="n">
        <v>28327.48828125</v>
      </c>
    </row>
    <row r="495">
      <c r="A495" t="inlineStr">
        <is>
          <t>2023-06-21</t>
        </is>
      </c>
      <c r="B495" t="n">
        <v>1933.300048828125</v>
      </c>
      <c r="C495" t="n">
        <v>30027.296875</v>
      </c>
    </row>
    <row r="496">
      <c r="A496" t="inlineStr">
        <is>
          <t>2023-06-22</t>
        </is>
      </c>
      <c r="B496" t="n">
        <v>1912.699951171875</v>
      </c>
      <c r="C496" t="n">
        <v>29912.28125</v>
      </c>
    </row>
    <row r="497">
      <c r="A497" t="inlineStr">
        <is>
          <t>2023-06-23</t>
        </is>
      </c>
      <c r="B497" t="n">
        <v>1919.099975585938</v>
      </c>
      <c r="C497" t="n">
        <v>30695.46875</v>
      </c>
    </row>
    <row r="498">
      <c r="A498" t="inlineStr">
        <is>
          <t>2023-06-26</t>
        </is>
      </c>
      <c r="B498" t="n">
        <v>1923.699951171875</v>
      </c>
      <c r="C498" t="n">
        <v>30271.130859375</v>
      </c>
    </row>
    <row r="499">
      <c r="A499" t="inlineStr">
        <is>
          <t>2023-06-27</t>
        </is>
      </c>
      <c r="B499" t="n">
        <v>1914</v>
      </c>
      <c r="C499" t="n">
        <v>30688.1640625</v>
      </c>
    </row>
    <row r="500">
      <c r="A500" t="inlineStr">
        <is>
          <t>2023-06-28</t>
        </is>
      </c>
      <c r="B500" t="n">
        <v>1912.300048828125</v>
      </c>
      <c r="C500" t="n">
        <v>30086.24609375</v>
      </c>
    </row>
    <row r="501">
      <c r="A501" t="inlineStr">
        <is>
          <t>2023-06-29</t>
        </is>
      </c>
      <c r="B501" t="n">
        <v>1909.199951171875</v>
      </c>
      <c r="C501" t="n">
        <v>30445.3515625</v>
      </c>
    </row>
    <row r="502">
      <c r="A502" t="inlineStr">
        <is>
          <t>2023-06-30</t>
        </is>
      </c>
      <c r="B502" t="n">
        <v>1921.099975585938</v>
      </c>
      <c r="C502" t="n">
        <v>30477.251953125</v>
      </c>
    </row>
    <row r="503">
      <c r="A503" t="inlineStr">
        <is>
          <t>2023-07-03</t>
        </is>
      </c>
      <c r="B503" t="n">
        <v>1921.699951171875</v>
      </c>
      <c r="C503" t="n">
        <v>31156.439453125</v>
      </c>
    </row>
    <row r="504">
      <c r="A504" t="inlineStr">
        <is>
          <t>2023-07-05</t>
        </is>
      </c>
      <c r="B504" t="n">
        <v>1919.599975585938</v>
      </c>
      <c r="C504" t="n">
        <v>30514.166015625</v>
      </c>
    </row>
    <row r="505">
      <c r="A505" t="inlineStr">
        <is>
          <t>2023-07-06</t>
        </is>
      </c>
      <c r="B505" t="n">
        <v>1908.699951171875</v>
      </c>
      <c r="C505" t="n">
        <v>29909.337890625</v>
      </c>
    </row>
    <row r="506">
      <c r="A506" t="inlineStr">
        <is>
          <t>2023-07-07</t>
        </is>
      </c>
      <c r="B506" t="n">
        <v>1926.199951171875</v>
      </c>
      <c r="C506" t="n">
        <v>30342.265625</v>
      </c>
    </row>
    <row r="507">
      <c r="A507" t="inlineStr">
        <is>
          <t>2023-07-10</t>
        </is>
      </c>
      <c r="B507" t="n">
        <v>1925</v>
      </c>
      <c r="C507" t="n">
        <v>30414.470703125</v>
      </c>
    </row>
    <row r="508">
      <c r="A508" t="inlineStr">
        <is>
          <t>2023-07-11</t>
        </is>
      </c>
      <c r="B508" t="n">
        <v>1931.300048828125</v>
      </c>
      <c r="C508" t="n">
        <v>30620.951171875</v>
      </c>
    </row>
    <row r="509">
      <c r="A509" t="inlineStr">
        <is>
          <t>2023-07-12</t>
        </is>
      </c>
      <c r="B509" t="n">
        <v>1956.199951171875</v>
      </c>
      <c r="C509" t="n">
        <v>30391.646484375</v>
      </c>
    </row>
    <row r="510">
      <c r="A510" t="inlineStr">
        <is>
          <t>2023-07-13</t>
        </is>
      </c>
      <c r="B510" t="n">
        <v>1959.199951171875</v>
      </c>
      <c r="C510" t="n">
        <v>31476.048828125</v>
      </c>
    </row>
    <row r="511">
      <c r="A511" t="inlineStr">
        <is>
          <t>2023-07-14</t>
        </is>
      </c>
      <c r="B511" t="n">
        <v>1960.099975585938</v>
      </c>
      <c r="C511" t="n">
        <v>30334.068359375</v>
      </c>
    </row>
    <row r="512">
      <c r="A512" t="inlineStr">
        <is>
          <t>2023-07-17</t>
        </is>
      </c>
      <c r="B512" t="n">
        <v>1952.400024414062</v>
      </c>
      <c r="C512" t="n">
        <v>30145.888671875</v>
      </c>
    </row>
    <row r="513">
      <c r="A513" t="inlineStr">
        <is>
          <t>2023-07-18</t>
        </is>
      </c>
      <c r="B513" t="n">
        <v>1977.199951171875</v>
      </c>
      <c r="C513" t="n">
        <v>29856.5625</v>
      </c>
    </row>
    <row r="514">
      <c r="A514" t="inlineStr">
        <is>
          <t>2023-07-19</t>
        </is>
      </c>
      <c r="B514" t="n">
        <v>1977.5</v>
      </c>
      <c r="C514" t="n">
        <v>29913.923828125</v>
      </c>
    </row>
    <row r="515">
      <c r="A515" t="inlineStr">
        <is>
          <t>2023-07-20</t>
        </is>
      </c>
      <c r="B515" t="n">
        <v>1968.300048828125</v>
      </c>
      <c r="C515" t="n">
        <v>29792.015625</v>
      </c>
    </row>
    <row r="516">
      <c r="A516" t="inlineStr">
        <is>
          <t>2023-07-21</t>
        </is>
      </c>
      <c r="B516" t="n">
        <v>1964.300048828125</v>
      </c>
      <c r="C516" t="n">
        <v>29908.744140625</v>
      </c>
    </row>
    <row r="517">
      <c r="A517" t="inlineStr">
        <is>
          <t>2023-07-24</t>
        </is>
      </c>
      <c r="B517" t="n">
        <v>1960.300048828125</v>
      </c>
      <c r="C517" t="n">
        <v>29176.916015625</v>
      </c>
    </row>
    <row r="518">
      <c r="A518" t="inlineStr">
        <is>
          <t>2023-07-25</t>
        </is>
      </c>
      <c r="B518" t="n">
        <v>1962.099975585938</v>
      </c>
      <c r="C518" t="n">
        <v>29227.390625</v>
      </c>
    </row>
    <row r="519">
      <c r="A519" t="inlineStr">
        <is>
          <t>2023-07-26</t>
        </is>
      </c>
      <c r="B519" t="n">
        <v>1968.900024414062</v>
      </c>
      <c r="C519" t="n">
        <v>29354.97265625</v>
      </c>
    </row>
    <row r="520">
      <c r="A520" t="inlineStr">
        <is>
          <t>2023-07-27</t>
        </is>
      </c>
      <c r="B520" t="n">
        <v>1945.400024414062</v>
      </c>
      <c r="C520" t="n">
        <v>29210.689453125</v>
      </c>
    </row>
    <row r="521">
      <c r="A521" t="inlineStr">
        <is>
          <t>2023-07-28</t>
        </is>
      </c>
      <c r="B521" t="n">
        <v>1960.400024414062</v>
      </c>
      <c r="C521" t="n">
        <v>29319.24609375</v>
      </c>
    </row>
    <row r="522">
      <c r="A522" t="inlineStr">
        <is>
          <t>2023-07-31</t>
        </is>
      </c>
      <c r="B522" t="n">
        <v>1970.5</v>
      </c>
      <c r="C522" t="n">
        <v>29230.111328125</v>
      </c>
    </row>
    <row r="523">
      <c r="A523" t="inlineStr">
        <is>
          <t>2023-08-01</t>
        </is>
      </c>
      <c r="B523" t="n">
        <v>1940.699951171875</v>
      </c>
      <c r="C523" t="n">
        <v>29675.732421875</v>
      </c>
    </row>
    <row r="524">
      <c r="A524" t="inlineStr">
        <is>
          <t>2023-08-02</t>
        </is>
      </c>
      <c r="B524" t="n">
        <v>1937.400024414062</v>
      </c>
      <c r="C524" t="n">
        <v>29151.958984375</v>
      </c>
    </row>
    <row r="525">
      <c r="A525" t="inlineStr">
        <is>
          <t>2023-08-03</t>
        </is>
      </c>
      <c r="B525" t="n">
        <v>1932</v>
      </c>
      <c r="C525" t="n">
        <v>29178.6796875</v>
      </c>
    </row>
    <row r="526">
      <c r="A526" t="inlineStr">
        <is>
          <t>2023-08-04</t>
        </is>
      </c>
      <c r="B526" t="n">
        <v>1939.599975585938</v>
      </c>
      <c r="C526" t="n">
        <v>29074.091796875</v>
      </c>
    </row>
    <row r="527">
      <c r="A527" t="inlineStr">
        <is>
          <t>2023-08-07</t>
        </is>
      </c>
      <c r="B527" t="n">
        <v>1933.5</v>
      </c>
      <c r="C527" t="n">
        <v>29180.578125</v>
      </c>
    </row>
    <row r="528">
      <c r="A528" t="inlineStr">
        <is>
          <t>2023-08-08</t>
        </is>
      </c>
      <c r="B528" t="n">
        <v>1924.099975585938</v>
      </c>
      <c r="C528" t="n">
        <v>29765.4921875</v>
      </c>
    </row>
    <row r="529">
      <c r="A529" t="inlineStr">
        <is>
          <t>2023-08-09</t>
        </is>
      </c>
      <c r="B529" t="n">
        <v>1915.400024414062</v>
      </c>
      <c r="C529" t="n">
        <v>29561.494140625</v>
      </c>
    </row>
    <row r="530">
      <c r="A530" t="inlineStr">
        <is>
          <t>2023-08-10</t>
        </is>
      </c>
      <c r="B530" t="n">
        <v>1914.400024414062</v>
      </c>
      <c r="C530" t="n">
        <v>29429.591796875</v>
      </c>
    </row>
    <row r="531">
      <c r="A531" t="inlineStr">
        <is>
          <t>2023-08-11</t>
        </is>
      </c>
      <c r="B531" t="n">
        <v>1912.900024414062</v>
      </c>
      <c r="C531" t="n">
        <v>29397.71484375</v>
      </c>
    </row>
    <row r="532">
      <c r="A532" t="inlineStr">
        <is>
          <t>2023-08-14</t>
        </is>
      </c>
      <c r="B532" t="n">
        <v>1910.599975585938</v>
      </c>
      <c r="C532" t="n">
        <v>29408.443359375</v>
      </c>
    </row>
    <row r="533">
      <c r="A533" t="inlineStr">
        <is>
          <t>2023-08-15</t>
        </is>
      </c>
      <c r="B533" t="n">
        <v>1902.5</v>
      </c>
      <c r="C533" t="n">
        <v>29170.34765625</v>
      </c>
    </row>
    <row r="534">
      <c r="A534" t="inlineStr">
        <is>
          <t>2023-08-16</t>
        </is>
      </c>
      <c r="B534" t="n">
        <v>1896.099975585938</v>
      </c>
      <c r="C534" t="n">
        <v>28701.779296875</v>
      </c>
    </row>
    <row r="535">
      <c r="A535" t="inlineStr">
        <is>
          <t>2023-08-17</t>
        </is>
      </c>
      <c r="B535" t="n">
        <v>1884.099975585938</v>
      </c>
      <c r="C535" t="n">
        <v>26664.55078125</v>
      </c>
    </row>
    <row r="536">
      <c r="A536" t="inlineStr">
        <is>
          <t>2023-08-18</t>
        </is>
      </c>
      <c r="B536" t="n">
        <v>1886.099975585938</v>
      </c>
      <c r="C536" t="n">
        <v>26049.556640625</v>
      </c>
    </row>
    <row r="537">
      <c r="A537" t="inlineStr">
        <is>
          <t>2023-08-21</t>
        </is>
      </c>
      <c r="B537" t="n">
        <v>1893.300048828125</v>
      </c>
      <c r="C537" t="n">
        <v>26124.140625</v>
      </c>
    </row>
    <row r="538">
      <c r="A538" t="inlineStr">
        <is>
          <t>2023-08-22</t>
        </is>
      </c>
      <c r="B538" t="n">
        <v>1896.400024414062</v>
      </c>
      <c r="C538" t="n">
        <v>26031.65625</v>
      </c>
    </row>
    <row r="539">
      <c r="A539" t="inlineStr">
        <is>
          <t>2023-08-23</t>
        </is>
      </c>
      <c r="B539" t="n">
        <v>1918.5</v>
      </c>
      <c r="C539" t="n">
        <v>26431.640625</v>
      </c>
    </row>
    <row r="540">
      <c r="A540" t="inlineStr">
        <is>
          <t>2023-08-24</t>
        </is>
      </c>
      <c r="B540" t="n">
        <v>1918.199951171875</v>
      </c>
      <c r="C540" t="n">
        <v>26162.373046875</v>
      </c>
    </row>
    <row r="541">
      <c r="A541" t="inlineStr">
        <is>
          <t>2023-08-25</t>
        </is>
      </c>
      <c r="B541" t="n">
        <v>1911.099975585938</v>
      </c>
      <c r="C541" t="n">
        <v>26047.66796875</v>
      </c>
    </row>
    <row r="542">
      <c r="A542" t="inlineStr">
        <is>
          <t>2023-08-28</t>
        </is>
      </c>
      <c r="B542" t="n">
        <v>1917.900024414062</v>
      </c>
      <c r="C542" t="n">
        <v>26106.150390625</v>
      </c>
    </row>
    <row r="543">
      <c r="A543" t="inlineStr">
        <is>
          <t>2023-08-29</t>
        </is>
      </c>
      <c r="B543" t="n">
        <v>1936.5</v>
      </c>
      <c r="C543" t="n">
        <v>27727.392578125</v>
      </c>
    </row>
    <row r="544">
      <c r="A544" t="inlineStr">
        <is>
          <t>2023-08-30</t>
        </is>
      </c>
      <c r="B544" t="n">
        <v>1944.300048828125</v>
      </c>
      <c r="C544" t="n">
        <v>27297.265625</v>
      </c>
    </row>
    <row r="545">
      <c r="A545" t="inlineStr">
        <is>
          <t>2023-08-31</t>
        </is>
      </c>
      <c r="B545" t="n">
        <v>1938.199951171875</v>
      </c>
      <c r="C545" t="n">
        <v>25931.47265625</v>
      </c>
    </row>
    <row r="546">
      <c r="A546" t="inlineStr">
        <is>
          <t>2023-09-01</t>
        </is>
      </c>
      <c r="B546" t="n">
        <v>1939.800048828125</v>
      </c>
      <c r="C546" t="n">
        <v>25800.724609375</v>
      </c>
    </row>
    <row r="547">
      <c r="A547" t="inlineStr">
        <is>
          <t>2023-09-05</t>
        </is>
      </c>
      <c r="B547" t="n">
        <v>1926.199951171875</v>
      </c>
      <c r="C547" t="n">
        <v>25779.982421875</v>
      </c>
    </row>
    <row r="548">
      <c r="A548" t="inlineStr">
        <is>
          <t>2023-09-06</t>
        </is>
      </c>
      <c r="B548" t="n">
        <v>1918.099975585938</v>
      </c>
      <c r="C548" t="n">
        <v>25753.236328125</v>
      </c>
    </row>
    <row r="549">
      <c r="A549" t="inlineStr">
        <is>
          <t>2023-09-07</t>
        </is>
      </c>
      <c r="B549" t="n">
        <v>1917.5</v>
      </c>
      <c r="C549" t="n">
        <v>26240.1953125</v>
      </c>
    </row>
    <row r="550">
      <c r="A550" t="inlineStr">
        <is>
          <t>2023-09-08</t>
        </is>
      </c>
      <c r="B550" t="n">
        <v>1918.400024414062</v>
      </c>
      <c r="C550" t="n">
        <v>25905.654296875</v>
      </c>
    </row>
    <row r="551">
      <c r="A551" t="inlineStr">
        <is>
          <t>2023-09-11</t>
        </is>
      </c>
      <c r="B551" t="n">
        <v>1923.300048828125</v>
      </c>
      <c r="C551" t="n">
        <v>25162.654296875</v>
      </c>
    </row>
    <row r="552">
      <c r="A552" t="inlineStr">
        <is>
          <t>2023-09-12</t>
        </is>
      </c>
      <c r="B552" t="n">
        <v>1911.300048828125</v>
      </c>
      <c r="C552" t="n">
        <v>25833.34375</v>
      </c>
    </row>
    <row r="553">
      <c r="A553" t="inlineStr">
        <is>
          <t>2023-09-13</t>
        </is>
      </c>
      <c r="B553" t="n">
        <v>1909.099975585938</v>
      </c>
      <c r="C553" t="n">
        <v>26228.32421875</v>
      </c>
    </row>
    <row r="554">
      <c r="A554" t="inlineStr">
        <is>
          <t>2023-09-14</t>
        </is>
      </c>
      <c r="B554" t="n">
        <v>1910</v>
      </c>
      <c r="C554" t="n">
        <v>26539.673828125</v>
      </c>
    </row>
    <row r="555">
      <c r="A555" t="inlineStr">
        <is>
          <t>2023-09-15</t>
        </is>
      </c>
      <c r="B555" t="n">
        <v>1923.699951171875</v>
      </c>
      <c r="C555" t="n">
        <v>26608.693359375</v>
      </c>
    </row>
    <row r="556">
      <c r="A556" t="inlineStr">
        <is>
          <t>2023-09-18</t>
        </is>
      </c>
      <c r="B556" t="n">
        <v>1931.5</v>
      </c>
      <c r="C556" t="n">
        <v>26754.28125</v>
      </c>
    </row>
    <row r="557">
      <c r="A557" t="inlineStr">
        <is>
          <t>2023-09-19</t>
        </is>
      </c>
      <c r="B557" t="n">
        <v>1932</v>
      </c>
      <c r="C557" t="n">
        <v>27211.1171875</v>
      </c>
    </row>
    <row r="558">
      <c r="A558" t="inlineStr">
        <is>
          <t>2023-09-20</t>
        </is>
      </c>
      <c r="B558" t="n">
        <v>1945.599975585938</v>
      </c>
      <c r="C558" t="n">
        <v>27132.0078125</v>
      </c>
    </row>
    <row r="559">
      <c r="A559" t="inlineStr">
        <is>
          <t>2023-09-21</t>
        </is>
      </c>
      <c r="B559" t="n">
        <v>1919.199951171875</v>
      </c>
      <c r="C559" t="n">
        <v>26567.6328125</v>
      </c>
    </row>
    <row r="560">
      <c r="A560" t="inlineStr">
        <is>
          <t>2023-09-22</t>
        </is>
      </c>
      <c r="B560" t="n">
        <v>1925.400024414062</v>
      </c>
      <c r="C560" t="n">
        <v>26579.568359375</v>
      </c>
    </row>
    <row r="561">
      <c r="A561" t="inlineStr">
        <is>
          <t>2023-09-25</t>
        </is>
      </c>
      <c r="B561" t="n">
        <v>1916.599975585938</v>
      </c>
      <c r="C561" t="n">
        <v>26298.48046875</v>
      </c>
    </row>
    <row r="562">
      <c r="A562" t="inlineStr">
        <is>
          <t>2023-09-26</t>
        </is>
      </c>
      <c r="B562" t="n">
        <v>1900.400024414062</v>
      </c>
      <c r="C562" t="n">
        <v>26217.25</v>
      </c>
    </row>
    <row r="563">
      <c r="A563" t="inlineStr">
        <is>
          <t>2023-09-27</t>
        </is>
      </c>
      <c r="B563" t="n">
        <v>1871.599975585938</v>
      </c>
      <c r="C563" t="n">
        <v>26352.716796875</v>
      </c>
    </row>
    <row r="564">
      <c r="A564" t="inlineStr">
        <is>
          <t>2023-09-28</t>
        </is>
      </c>
      <c r="B564" t="n">
        <v>1860.400024414062</v>
      </c>
      <c r="C564" t="n">
        <v>27021.546875</v>
      </c>
    </row>
    <row r="565">
      <c r="A565" t="inlineStr">
        <is>
          <t>2023-09-29</t>
        </is>
      </c>
      <c r="B565" t="n">
        <v>1848.099975585938</v>
      </c>
      <c r="C565" t="n">
        <v>26911.720703125</v>
      </c>
    </row>
    <row r="566">
      <c r="A566" t="inlineStr">
        <is>
          <t>2023-10-02</t>
        </is>
      </c>
      <c r="B566" t="n">
        <v>1830</v>
      </c>
      <c r="C566" t="n">
        <v>27530.78515625</v>
      </c>
    </row>
    <row r="567">
      <c r="A567" t="inlineStr">
        <is>
          <t>2023-10-03</t>
        </is>
      </c>
      <c r="B567" t="n">
        <v>1824.599975585938</v>
      </c>
      <c r="C567" t="n">
        <v>27429.978515625</v>
      </c>
    </row>
    <row r="568">
      <c r="A568" t="inlineStr">
        <is>
          <t>2023-10-04</t>
        </is>
      </c>
      <c r="B568" t="n">
        <v>1818.5</v>
      </c>
      <c r="C568" t="n">
        <v>27799.39453125</v>
      </c>
    </row>
    <row r="569">
      <c r="A569" t="inlineStr">
        <is>
          <t>2023-10-05</t>
        </is>
      </c>
      <c r="B569" t="n">
        <v>1816.599975585938</v>
      </c>
      <c r="C569" t="n">
        <v>27415.912109375</v>
      </c>
    </row>
    <row r="570">
      <c r="A570" t="inlineStr">
        <is>
          <t>2023-10-06</t>
        </is>
      </c>
      <c r="B570" t="n">
        <v>1830.199951171875</v>
      </c>
      <c r="C570" t="n">
        <v>27946.59765625</v>
      </c>
    </row>
    <row r="571">
      <c r="A571" t="inlineStr">
        <is>
          <t>2023-10-09</t>
        </is>
      </c>
      <c r="B571" t="n">
        <v>1849.5</v>
      </c>
      <c r="C571" t="n">
        <v>27583.677734375</v>
      </c>
    </row>
    <row r="572">
      <c r="A572" t="inlineStr">
        <is>
          <t>2023-10-10</t>
        </is>
      </c>
      <c r="B572" t="n">
        <v>1861</v>
      </c>
      <c r="C572" t="n">
        <v>27391.01953125</v>
      </c>
    </row>
    <row r="573">
      <c r="A573" t="inlineStr">
        <is>
          <t>2023-10-11</t>
        </is>
      </c>
      <c r="B573" t="n">
        <v>1872.800048828125</v>
      </c>
      <c r="C573" t="n">
        <v>26873.3203125</v>
      </c>
    </row>
    <row r="574">
      <c r="A574" t="inlineStr">
        <is>
          <t>2023-10-12</t>
        </is>
      </c>
      <c r="B574" t="n">
        <v>1869.300048828125</v>
      </c>
      <c r="C574" t="n">
        <v>26756.798828125</v>
      </c>
    </row>
    <row r="575">
      <c r="A575" t="inlineStr">
        <is>
          <t>2023-10-13</t>
        </is>
      </c>
      <c r="B575" t="n">
        <v>1927.400024414062</v>
      </c>
      <c r="C575" t="n">
        <v>26862.375</v>
      </c>
    </row>
    <row r="576">
      <c r="A576" t="inlineStr">
        <is>
          <t>2023-10-16</t>
        </is>
      </c>
      <c r="B576" t="n">
        <v>1921.099975585938</v>
      </c>
      <c r="C576" t="n">
        <v>28519.466796875</v>
      </c>
    </row>
    <row r="577">
      <c r="A577" t="inlineStr">
        <is>
          <t>2023-10-17</t>
        </is>
      </c>
      <c r="B577" t="n">
        <v>1922.699951171875</v>
      </c>
      <c r="C577" t="n">
        <v>28415.748046875</v>
      </c>
    </row>
    <row r="578">
      <c r="A578" t="inlineStr">
        <is>
          <t>2023-10-18</t>
        </is>
      </c>
      <c r="B578" t="n">
        <v>1955.300048828125</v>
      </c>
      <c r="C578" t="n">
        <v>28328.341796875</v>
      </c>
    </row>
    <row r="579">
      <c r="A579" t="inlineStr">
        <is>
          <t>2023-10-19</t>
        </is>
      </c>
      <c r="B579" t="n">
        <v>1968.400024414062</v>
      </c>
      <c r="C579" t="n">
        <v>28719.806640625</v>
      </c>
    </row>
    <row r="580">
      <c r="A580" t="inlineStr">
        <is>
          <t>2023-10-20</t>
        </is>
      </c>
      <c r="B580" t="n">
        <v>1982.5</v>
      </c>
      <c r="C580" t="n">
        <v>29682.94921875</v>
      </c>
    </row>
    <row r="581">
      <c r="A581" t="inlineStr">
        <is>
          <t>2023-10-23</t>
        </is>
      </c>
      <c r="B581" t="n">
        <v>1976.300048828125</v>
      </c>
      <c r="C581" t="n">
        <v>33086.234375</v>
      </c>
    </row>
    <row r="582">
      <c r="A582" t="inlineStr">
        <is>
          <t>2023-10-24</t>
        </is>
      </c>
      <c r="B582" t="n">
        <v>1975</v>
      </c>
      <c r="C582" t="n">
        <v>33901.52734375</v>
      </c>
    </row>
    <row r="583">
      <c r="A583" t="inlineStr">
        <is>
          <t>2023-10-25</t>
        </is>
      </c>
      <c r="B583" t="n">
        <v>1984.099975585938</v>
      </c>
      <c r="C583" t="n">
        <v>34502.8203125</v>
      </c>
    </row>
    <row r="584">
      <c r="A584" t="inlineStr">
        <is>
          <t>2023-10-26</t>
        </is>
      </c>
      <c r="B584" t="n">
        <v>1987.199951171875</v>
      </c>
      <c r="C584" t="n">
        <v>34156.6484375</v>
      </c>
    </row>
    <row r="585">
      <c r="A585" t="inlineStr">
        <is>
          <t>2023-10-27</t>
        </is>
      </c>
      <c r="B585" t="n">
        <v>1988.599975585938</v>
      </c>
      <c r="C585" t="n">
        <v>33909.80078125</v>
      </c>
    </row>
    <row r="586">
      <c r="A586" t="inlineStr">
        <is>
          <t>2023-10-30</t>
        </is>
      </c>
      <c r="B586" t="n">
        <v>1996.199951171875</v>
      </c>
      <c r="C586" t="n">
        <v>34502.36328125</v>
      </c>
    </row>
    <row r="587">
      <c r="A587" t="inlineStr">
        <is>
          <t>2023-10-31</t>
        </is>
      </c>
      <c r="B587" t="n">
        <v>1985.199951171875</v>
      </c>
      <c r="C587" t="n">
        <v>34667.78125</v>
      </c>
    </row>
    <row r="588">
      <c r="A588" t="inlineStr">
        <is>
          <t>2023-11-01</t>
        </is>
      </c>
      <c r="B588" t="n">
        <v>1978.800048828125</v>
      </c>
      <c r="C588" t="n">
        <v>35437.25390625</v>
      </c>
    </row>
    <row r="589">
      <c r="A589" t="inlineStr">
        <is>
          <t>2023-11-02</t>
        </is>
      </c>
      <c r="B589" t="n">
        <v>1985.599975585938</v>
      </c>
      <c r="C589" t="n">
        <v>34938.2421875</v>
      </c>
    </row>
    <row r="590">
      <c r="A590" t="inlineStr">
        <is>
          <t>2023-11-03</t>
        </is>
      </c>
      <c r="B590" t="n">
        <v>1991.5</v>
      </c>
      <c r="C590" t="n">
        <v>34732.32421875</v>
      </c>
    </row>
    <row r="591">
      <c r="A591" t="inlineStr">
        <is>
          <t>2023-11-06</t>
        </is>
      </c>
      <c r="B591" t="n">
        <v>1981.599975585938</v>
      </c>
      <c r="C591" t="n">
        <v>35037.37109375</v>
      </c>
    </row>
    <row r="592">
      <c r="A592" t="inlineStr">
        <is>
          <t>2023-11-07</t>
        </is>
      </c>
      <c r="B592" t="n">
        <v>1966.800048828125</v>
      </c>
      <c r="C592" t="n">
        <v>35443.5625</v>
      </c>
    </row>
    <row r="593">
      <c r="A593" t="inlineStr">
        <is>
          <t>2023-11-08</t>
        </is>
      </c>
      <c r="B593" t="n">
        <v>1951.5</v>
      </c>
      <c r="C593" t="n">
        <v>35655.27734375</v>
      </c>
    </row>
    <row r="594">
      <c r="A594" t="inlineStr">
        <is>
          <t>2023-11-09</t>
        </is>
      </c>
      <c r="B594" t="n">
        <v>1964.199951171875</v>
      </c>
      <c r="C594" t="n">
        <v>36693.125</v>
      </c>
    </row>
    <row r="595">
      <c r="A595" t="inlineStr">
        <is>
          <t>2023-11-10</t>
        </is>
      </c>
      <c r="B595" t="n">
        <v>1932.599975585938</v>
      </c>
      <c r="C595" t="n">
        <v>37313.96875</v>
      </c>
    </row>
    <row r="596">
      <c r="A596" t="inlineStr">
        <is>
          <t>2023-11-13</t>
        </is>
      </c>
      <c r="B596" t="n">
        <v>1945.5</v>
      </c>
      <c r="C596" t="n">
        <v>36502.35546875</v>
      </c>
    </row>
    <row r="597">
      <c r="A597" t="inlineStr">
        <is>
          <t>2023-11-14</t>
        </is>
      </c>
      <c r="B597" t="n">
        <v>1961.800048828125</v>
      </c>
      <c r="C597" t="n">
        <v>35537.640625</v>
      </c>
    </row>
    <row r="598">
      <c r="A598" t="inlineStr">
        <is>
          <t>2023-11-15</t>
        </is>
      </c>
      <c r="B598" t="n">
        <v>1960.099975585938</v>
      </c>
      <c r="C598" t="n">
        <v>37880.58203125</v>
      </c>
    </row>
    <row r="599">
      <c r="A599" t="inlineStr">
        <is>
          <t>2023-11-16</t>
        </is>
      </c>
      <c r="B599" t="n">
        <v>1983.900024414062</v>
      </c>
      <c r="C599" t="n">
        <v>36154.76953125</v>
      </c>
    </row>
    <row r="600">
      <c r="A600" t="inlineStr">
        <is>
          <t>2023-11-17</t>
        </is>
      </c>
      <c r="B600" t="n">
        <v>1981.599975585938</v>
      </c>
      <c r="C600" t="n">
        <v>36596.68359375</v>
      </c>
    </row>
    <row r="601">
      <c r="A601" t="inlineStr">
        <is>
          <t>2023-11-20</t>
        </is>
      </c>
      <c r="B601" t="n">
        <v>1977.699951171875</v>
      </c>
      <c r="C601" t="n">
        <v>37476.95703125</v>
      </c>
    </row>
    <row r="602">
      <c r="A602" t="inlineStr">
        <is>
          <t>2023-11-21</t>
        </is>
      </c>
      <c r="B602" t="n">
        <v>1999.300048828125</v>
      </c>
      <c r="C602" t="n">
        <v>35813.8125</v>
      </c>
    </row>
    <row r="603">
      <c r="A603" t="inlineStr">
        <is>
          <t>2023-11-22</t>
        </is>
      </c>
      <c r="B603" t="n">
        <v>1991.400024414062</v>
      </c>
      <c r="C603" t="n">
        <v>37432.33984375</v>
      </c>
    </row>
    <row r="604">
      <c r="A604" t="inlineStr">
        <is>
          <t>2023-11-24</t>
        </is>
      </c>
      <c r="B604" t="n">
        <v>2002.199951171875</v>
      </c>
      <c r="C604" t="n">
        <v>37720.28125</v>
      </c>
    </row>
    <row r="605">
      <c r="A605" t="inlineStr">
        <is>
          <t>2023-11-27</t>
        </is>
      </c>
      <c r="B605" t="n">
        <v>2011.800048828125</v>
      </c>
      <c r="C605" t="n">
        <v>37254.16796875</v>
      </c>
    </row>
    <row r="606">
      <c r="A606" t="inlineStr">
        <is>
          <t>2023-11-28</t>
        </is>
      </c>
      <c r="B606" t="n">
        <v>2039.699951171875</v>
      </c>
      <c r="C606" t="n">
        <v>37831.0859375</v>
      </c>
    </row>
    <row r="607">
      <c r="A607" t="inlineStr">
        <is>
          <t>2023-11-29</t>
        </is>
      </c>
      <c r="B607" t="n">
        <v>2047.099975585938</v>
      </c>
      <c r="C607" t="n">
        <v>37858.4921875</v>
      </c>
    </row>
    <row r="608">
      <c r="A608" t="inlineStr">
        <is>
          <t>2023-11-30</t>
        </is>
      </c>
      <c r="B608" t="n">
        <v>2038.099975585938</v>
      </c>
      <c r="C608" t="n">
        <v>37712.74609375</v>
      </c>
    </row>
    <row r="609">
      <c r="A609" t="inlineStr">
        <is>
          <t>2023-12-01</t>
        </is>
      </c>
      <c r="B609" t="n">
        <v>2071</v>
      </c>
      <c r="C609" t="n">
        <v>38688.75</v>
      </c>
    </row>
    <row r="610">
      <c r="A610" t="inlineStr">
        <is>
          <t>2023-12-04</t>
        </is>
      </c>
      <c r="B610" t="n">
        <v>2024.099975585938</v>
      </c>
      <c r="C610" t="n">
        <v>41980.09765625</v>
      </c>
    </row>
    <row r="611">
      <c r="A611" t="inlineStr">
        <is>
          <t>2023-12-05</t>
        </is>
      </c>
      <c r="B611" t="n">
        <v>2018.5</v>
      </c>
      <c r="C611" t="n">
        <v>44080.6484375</v>
      </c>
    </row>
    <row r="612">
      <c r="A612" t="inlineStr">
        <is>
          <t>2023-12-06</t>
        </is>
      </c>
      <c r="B612" t="n">
        <v>2030.5</v>
      </c>
      <c r="C612" t="n">
        <v>43746.4453125</v>
      </c>
    </row>
    <row r="613">
      <c r="A613" t="inlineStr">
        <is>
          <t>2023-12-07</t>
        </is>
      </c>
      <c r="B613" t="n">
        <v>2029.900024414062</v>
      </c>
      <c r="C613" t="n">
        <v>43292.6640625</v>
      </c>
    </row>
    <row r="614">
      <c r="A614" t="inlineStr">
        <is>
          <t>2023-12-08</t>
        </is>
      </c>
      <c r="B614" t="n">
        <v>1998.300048828125</v>
      </c>
      <c r="C614" t="n">
        <v>44166.6015625</v>
      </c>
    </row>
    <row r="615">
      <c r="A615" t="inlineStr">
        <is>
          <t>2023-12-11</t>
        </is>
      </c>
      <c r="B615" t="n">
        <v>1978</v>
      </c>
      <c r="C615" t="n">
        <v>41243.83203125</v>
      </c>
    </row>
    <row r="616">
      <c r="A616" t="inlineStr">
        <is>
          <t>2023-12-12</t>
        </is>
      </c>
      <c r="B616" t="n">
        <v>1977.800048828125</v>
      </c>
      <c r="C616" t="n">
        <v>41450.22265625</v>
      </c>
    </row>
    <row r="617">
      <c r="A617" t="inlineStr">
        <is>
          <t>2023-12-13</t>
        </is>
      </c>
      <c r="B617" t="n">
        <v>1982.300048828125</v>
      </c>
      <c r="C617" t="n">
        <v>42890.7421875</v>
      </c>
    </row>
    <row r="618">
      <c r="A618" t="inlineStr">
        <is>
          <t>2023-12-14</t>
        </is>
      </c>
      <c r="B618" t="n">
        <v>2030.199951171875</v>
      </c>
      <c r="C618" t="n">
        <v>43023.97265625</v>
      </c>
    </row>
    <row r="619">
      <c r="A619" t="inlineStr">
        <is>
          <t>2023-12-15</t>
        </is>
      </c>
      <c r="B619" t="n">
        <v>2021.099975585938</v>
      </c>
      <c r="C619" t="n">
        <v>41929.7578125</v>
      </c>
    </row>
    <row r="620">
      <c r="A620" t="inlineStr">
        <is>
          <t>2023-12-18</t>
        </is>
      </c>
      <c r="B620" t="n">
        <v>2026.300048828125</v>
      </c>
      <c r="C620" t="n">
        <v>42623.5390625</v>
      </c>
    </row>
    <row r="621">
      <c r="A621" t="inlineStr">
        <is>
          <t>2023-12-19</t>
        </is>
      </c>
      <c r="B621" t="n">
        <v>2038.400024414062</v>
      </c>
      <c r="C621" t="n">
        <v>42270.52734375</v>
      </c>
    </row>
    <row r="622">
      <c r="A622" t="inlineStr">
        <is>
          <t>2023-12-20</t>
        </is>
      </c>
      <c r="B622" t="n">
        <v>2034.5</v>
      </c>
      <c r="C622" t="n">
        <v>43652.25</v>
      </c>
    </row>
    <row r="623">
      <c r="A623" t="inlineStr">
        <is>
          <t>2023-12-21</t>
        </is>
      </c>
      <c r="B623" t="n">
        <v>2039.099975585938</v>
      </c>
      <c r="C623" t="n">
        <v>43869.15234375</v>
      </c>
    </row>
    <row r="624">
      <c r="A624" t="inlineStr">
        <is>
          <t>2023-12-22</t>
        </is>
      </c>
      <c r="B624" t="n">
        <v>2057.10009765625</v>
      </c>
      <c r="C624" t="n">
        <v>43997.90234375</v>
      </c>
    </row>
    <row r="625">
      <c r="A625" t="inlineStr">
        <is>
          <t>2023-12-26</t>
        </is>
      </c>
      <c r="B625" t="n">
        <v>2058.199951171875</v>
      </c>
      <c r="C625" t="n">
        <v>42520.40234375</v>
      </c>
    </row>
    <row r="626">
      <c r="A626" t="inlineStr">
        <is>
          <t>2023-12-27</t>
        </is>
      </c>
      <c r="B626" t="n">
        <v>2081.89990234375</v>
      </c>
      <c r="C626" t="n">
        <v>43442.85546875</v>
      </c>
    </row>
    <row r="627">
      <c r="A627" t="inlineStr">
        <is>
          <t>2023-12-28</t>
        </is>
      </c>
      <c r="B627" t="n">
        <v>2073.89990234375</v>
      </c>
      <c r="C627" t="n">
        <v>42627.85546875</v>
      </c>
    </row>
    <row r="628">
      <c r="A628" t="inlineStr">
        <is>
          <t>2023-12-29</t>
        </is>
      </c>
      <c r="B628" t="n">
        <v>2062.39990234375</v>
      </c>
      <c r="C628" t="n">
        <v>42099.40234375</v>
      </c>
    </row>
    <row r="629">
      <c r="A629" t="inlineStr">
        <is>
          <t>2024-01-02</t>
        </is>
      </c>
      <c r="B629" t="n">
        <v>2064.39990234375</v>
      </c>
      <c r="C629" t="n">
        <v>44957.96875</v>
      </c>
    </row>
    <row r="630">
      <c r="A630" t="inlineStr">
        <is>
          <t>2024-01-03</t>
        </is>
      </c>
      <c r="B630" t="n">
        <v>2034.199951171875</v>
      </c>
      <c r="C630" t="n">
        <v>42848.17578125</v>
      </c>
    </row>
    <row r="631">
      <c r="A631" t="inlineStr">
        <is>
          <t>2024-01-04</t>
        </is>
      </c>
      <c r="B631" t="n">
        <v>2042.300048828125</v>
      </c>
      <c r="C631" t="n">
        <v>44179.921875</v>
      </c>
    </row>
    <row r="632">
      <c r="A632" t="inlineStr">
        <is>
          <t>2024-01-05</t>
        </is>
      </c>
      <c r="B632" t="n">
        <v>2042.400024414062</v>
      </c>
      <c r="C632" t="n">
        <v>44162.69140625</v>
      </c>
    </row>
    <row r="633">
      <c r="A633" t="inlineStr">
        <is>
          <t>2024-01-08</t>
        </is>
      </c>
      <c r="B633" t="n">
        <v>2026.599975585938</v>
      </c>
      <c r="C633" t="n">
        <v>46970.50390625</v>
      </c>
    </row>
    <row r="634">
      <c r="A634" t="inlineStr">
        <is>
          <t>2024-01-09</t>
        </is>
      </c>
      <c r="B634" t="n">
        <v>2026.400024414062</v>
      </c>
      <c r="C634" t="n">
        <v>46139.73046875</v>
      </c>
    </row>
    <row r="635">
      <c r="A635" t="inlineStr">
        <is>
          <t>2024-01-10</t>
        </is>
      </c>
      <c r="B635" t="n">
        <v>2021.699951171875</v>
      </c>
      <c r="C635" t="n">
        <v>46627.77734375</v>
      </c>
    </row>
    <row r="636">
      <c r="A636" t="inlineStr">
        <is>
          <t>2024-01-11</t>
        </is>
      </c>
      <c r="B636" t="n">
        <v>2014.300048828125</v>
      </c>
      <c r="C636" t="n">
        <v>46368.5859375</v>
      </c>
    </row>
    <row r="637">
      <c r="A637" t="inlineStr">
        <is>
          <t>2024-01-12</t>
        </is>
      </c>
      <c r="B637" t="n">
        <v>2046.699951171875</v>
      </c>
      <c r="C637" t="n">
        <v>42853.16796875</v>
      </c>
    </row>
    <row r="638">
      <c r="A638" t="inlineStr">
        <is>
          <t>2024-01-16</t>
        </is>
      </c>
      <c r="B638" t="n">
        <v>2026</v>
      </c>
      <c r="C638" t="n">
        <v>43154.9453125</v>
      </c>
    </row>
    <row r="639">
      <c r="A639" t="inlineStr">
        <is>
          <t>2024-01-17</t>
        </is>
      </c>
      <c r="B639" t="n">
        <v>2002.599975585938</v>
      </c>
      <c r="C639" t="n">
        <v>42742.65234375</v>
      </c>
    </row>
    <row r="640">
      <c r="A640" t="inlineStr">
        <is>
          <t>2024-01-18</t>
        </is>
      </c>
      <c r="B640" t="n">
        <v>2018.599975585938</v>
      </c>
      <c r="C640" t="n">
        <v>41262.05859375</v>
      </c>
    </row>
    <row r="641">
      <c r="A641" t="inlineStr">
        <is>
          <t>2024-01-19</t>
        </is>
      </c>
      <c r="B641" t="n">
        <v>2026.5</v>
      </c>
      <c r="C641" t="n">
        <v>41618.40625</v>
      </c>
    </row>
    <row r="642">
      <c r="A642" t="inlineStr">
        <is>
          <t>2024-01-22</t>
        </is>
      </c>
      <c r="B642" t="n">
        <v>2019.800048828125</v>
      </c>
      <c r="C642" t="n">
        <v>39507.3671875</v>
      </c>
    </row>
    <row r="643">
      <c r="A643" t="inlineStr">
        <is>
          <t>2024-01-23</t>
        </is>
      </c>
      <c r="B643" t="n">
        <v>2023.699951171875</v>
      </c>
      <c r="C643" t="n">
        <v>39845.55078125</v>
      </c>
    </row>
    <row r="644">
      <c r="A644" t="inlineStr">
        <is>
          <t>2024-01-24</t>
        </is>
      </c>
      <c r="B644" t="n">
        <v>2013.900024414062</v>
      </c>
      <c r="C644" t="n">
        <v>40077.07421875</v>
      </c>
    </row>
    <row r="645">
      <c r="A645" t="inlineStr">
        <is>
          <t>2024-01-25</t>
        </is>
      </c>
      <c r="B645" t="n">
        <v>2016.900024414062</v>
      </c>
      <c r="C645" t="n">
        <v>39933.80859375</v>
      </c>
    </row>
    <row r="646">
      <c r="A646" t="inlineStr">
        <is>
          <t>2024-01-26</t>
        </is>
      </c>
      <c r="B646" t="n">
        <v>2016.800048828125</v>
      </c>
      <c r="C646" t="n">
        <v>41816.87109375</v>
      </c>
    </row>
    <row r="647">
      <c r="A647" t="inlineStr">
        <is>
          <t>2024-01-29</t>
        </is>
      </c>
      <c r="B647" t="n">
        <v>2025.199951171875</v>
      </c>
      <c r="C647" t="n">
        <v>43288.24609375</v>
      </c>
    </row>
    <row r="648">
      <c r="A648" t="inlineStr">
        <is>
          <t>2024-01-30</t>
        </is>
      </c>
      <c r="B648" t="n">
        <v>2031.5</v>
      </c>
      <c r="C648" t="n">
        <v>42952.609375</v>
      </c>
    </row>
    <row r="649">
      <c r="A649" t="inlineStr">
        <is>
          <t>2024-01-31</t>
        </is>
      </c>
      <c r="B649" t="n">
        <v>2048.39990234375</v>
      </c>
      <c r="C649" t="n">
        <v>42582.60546875</v>
      </c>
    </row>
    <row r="650">
      <c r="A650" t="inlineStr">
        <is>
          <t>2024-02-01</t>
        </is>
      </c>
      <c r="B650" t="n">
        <v>2053</v>
      </c>
      <c r="C650" t="n">
        <v>43075.7734375</v>
      </c>
    </row>
    <row r="651">
      <c r="A651" t="inlineStr">
        <is>
          <t>2024-02-02</t>
        </is>
      </c>
      <c r="B651" t="n">
        <v>2036.099975585938</v>
      </c>
      <c r="C651" t="n">
        <v>43185.859375</v>
      </c>
    </row>
    <row r="652">
      <c r="A652" t="inlineStr">
        <is>
          <t>2024-02-05</t>
        </is>
      </c>
      <c r="B652" t="n">
        <v>2025.699951171875</v>
      </c>
      <c r="C652" t="n">
        <v>42658.66796875</v>
      </c>
    </row>
    <row r="653">
      <c r="A653" t="inlineStr">
        <is>
          <t>2024-02-06</t>
        </is>
      </c>
      <c r="B653" t="n">
        <v>2034.5</v>
      </c>
      <c r="C653" t="n">
        <v>43084.671875</v>
      </c>
    </row>
    <row r="654">
      <c r="A654" t="inlineStr">
        <is>
          <t>2024-02-07</t>
        </is>
      </c>
      <c r="B654" t="n">
        <v>2035.199951171875</v>
      </c>
      <c r="C654" t="n">
        <v>44318.22265625</v>
      </c>
    </row>
    <row r="655">
      <c r="A655" t="inlineStr">
        <is>
          <t>2024-02-08</t>
        </is>
      </c>
      <c r="B655" t="n">
        <v>2032.199951171875</v>
      </c>
      <c r="C655" t="n">
        <v>45301.56640625</v>
      </c>
    </row>
    <row r="656">
      <c r="A656" t="inlineStr">
        <is>
          <t>2024-02-09</t>
        </is>
      </c>
      <c r="B656" t="n">
        <v>2023.300048828125</v>
      </c>
      <c r="C656" t="n">
        <v>47147.19921875</v>
      </c>
    </row>
    <row r="657">
      <c r="A657" t="inlineStr">
        <is>
          <t>2024-02-12</t>
        </is>
      </c>
      <c r="B657" t="n">
        <v>2018.199951171875</v>
      </c>
      <c r="C657" t="n">
        <v>49958.22265625</v>
      </c>
    </row>
    <row r="658">
      <c r="A658" t="inlineStr">
        <is>
          <t>2024-02-13</t>
        </is>
      </c>
      <c r="B658" t="n">
        <v>1992.900024414062</v>
      </c>
      <c r="C658" t="n">
        <v>49742.44140625</v>
      </c>
    </row>
    <row r="659">
      <c r="A659" t="inlineStr">
        <is>
          <t>2024-02-14</t>
        </is>
      </c>
      <c r="B659" t="n">
        <v>1990.300048828125</v>
      </c>
      <c r="C659" t="n">
        <v>51826.6953125</v>
      </c>
    </row>
    <row r="660">
      <c r="A660" t="inlineStr">
        <is>
          <t>2024-02-15</t>
        </is>
      </c>
      <c r="B660" t="n">
        <v>2002.099975585938</v>
      </c>
      <c r="C660" t="n">
        <v>51938.5546875</v>
      </c>
    </row>
    <row r="661">
      <c r="A661" t="inlineStr">
        <is>
          <t>2024-02-16</t>
        </is>
      </c>
      <c r="B661" t="n">
        <v>2011.5</v>
      </c>
      <c r="C661" t="n">
        <v>52160.203125</v>
      </c>
    </row>
    <row r="662">
      <c r="A662" t="inlineStr">
        <is>
          <t>2024-02-20</t>
        </is>
      </c>
      <c r="B662" t="n">
        <v>2027.5</v>
      </c>
      <c r="C662" t="n">
        <v>52284.875</v>
      </c>
    </row>
    <row r="663">
      <c r="A663" t="inlineStr">
        <is>
          <t>2024-02-21</t>
        </is>
      </c>
      <c r="B663" t="n">
        <v>2022.300048828125</v>
      </c>
      <c r="C663" t="n">
        <v>51839.1796875</v>
      </c>
    </row>
    <row r="664">
      <c r="A664" t="inlineStr">
        <is>
          <t>2024-02-22</t>
        </is>
      </c>
      <c r="B664" t="n">
        <v>2019.699951171875</v>
      </c>
      <c r="C664" t="n">
        <v>51304.97265625</v>
      </c>
    </row>
    <row r="665">
      <c r="A665" t="inlineStr">
        <is>
          <t>2024-02-23</t>
        </is>
      </c>
      <c r="B665" t="n">
        <v>2038.599975585938</v>
      </c>
      <c r="C665" t="n">
        <v>50731.94921875</v>
      </c>
    </row>
    <row r="666">
      <c r="A666" t="inlineStr">
        <is>
          <t>2024-02-26</t>
        </is>
      </c>
      <c r="B666" t="n">
        <v>2028.5</v>
      </c>
      <c r="C666" t="n">
        <v>54522.40234375</v>
      </c>
    </row>
    <row r="667">
      <c r="A667" t="inlineStr">
        <is>
          <t>2024-02-27</t>
        </is>
      </c>
      <c r="B667" t="n">
        <v>2034</v>
      </c>
      <c r="C667" t="n">
        <v>57085.37109375</v>
      </c>
    </row>
    <row r="668">
      <c r="A668" t="inlineStr">
        <is>
          <t>2024-02-28</t>
        </is>
      </c>
      <c r="B668" t="n">
        <v>2033</v>
      </c>
      <c r="C668" t="n">
        <v>62504.7890625</v>
      </c>
    </row>
    <row r="669">
      <c r="A669" t="inlineStr">
        <is>
          <t>2024-02-29</t>
        </is>
      </c>
      <c r="B669" t="n">
        <v>2045.699951171875</v>
      </c>
      <c r="C669" t="n">
        <v>61198.3828125</v>
      </c>
    </row>
    <row r="670">
      <c r="A670" t="inlineStr">
        <is>
          <t>2024-03-01</t>
        </is>
      </c>
      <c r="B670" t="n">
        <v>2086.89990234375</v>
      </c>
      <c r="C670" t="n">
        <v>62440.6328125</v>
      </c>
    </row>
    <row r="671">
      <c r="A671" t="inlineStr">
        <is>
          <t>2024-03-04</t>
        </is>
      </c>
      <c r="B671" t="n">
        <v>2117.699951171875</v>
      </c>
      <c r="C671" t="n">
        <v>68330.4140625</v>
      </c>
    </row>
    <row r="672">
      <c r="A672" t="inlineStr">
        <is>
          <t>2024-03-05</t>
        </is>
      </c>
      <c r="B672" t="n">
        <v>2133.5</v>
      </c>
      <c r="C672" t="n">
        <v>63801.19921875</v>
      </c>
    </row>
    <row r="673">
      <c r="A673" t="inlineStr">
        <is>
          <t>2024-03-06</t>
        </is>
      </c>
      <c r="B673" t="n">
        <v>2150.300048828125</v>
      </c>
      <c r="C673" t="n">
        <v>66106.8046875</v>
      </c>
    </row>
    <row r="674">
      <c r="A674" t="inlineStr">
        <is>
          <t>2024-03-07</t>
        </is>
      </c>
      <c r="B674" t="n">
        <v>2158</v>
      </c>
      <c r="C674" t="n">
        <v>66925.484375</v>
      </c>
    </row>
    <row r="675">
      <c r="A675" t="inlineStr">
        <is>
          <t>2024-03-08</t>
        </is>
      </c>
      <c r="B675" t="n">
        <v>2178.60009765625</v>
      </c>
      <c r="C675" t="n">
        <v>68300.09375</v>
      </c>
    </row>
    <row r="676">
      <c r="A676" t="inlineStr">
        <is>
          <t>2024-03-11</t>
        </is>
      </c>
      <c r="B676" t="n">
        <v>2182.5</v>
      </c>
      <c r="C676" t="n">
        <v>72123.90625</v>
      </c>
    </row>
    <row r="677">
      <c r="A677" t="inlineStr">
        <is>
          <t>2024-03-12</t>
        </is>
      </c>
      <c r="B677" t="n">
        <v>2160.39990234375</v>
      </c>
      <c r="C677" t="n">
        <v>71481.2890625</v>
      </c>
    </row>
    <row r="678">
      <c r="A678" t="inlineStr">
        <is>
          <t>2024-03-13</t>
        </is>
      </c>
      <c r="B678" t="n">
        <v>2175.39990234375</v>
      </c>
      <c r="C678" t="n">
        <v>73083.5</v>
      </c>
    </row>
    <row r="679">
      <c r="A679" t="inlineStr">
        <is>
          <t>2024-03-14</t>
        </is>
      </c>
      <c r="B679" t="n">
        <v>2163</v>
      </c>
      <c r="C679" t="n">
        <v>71396.59375</v>
      </c>
    </row>
    <row r="680">
      <c r="A680" t="inlineStr">
        <is>
          <t>2024-03-15</t>
        </is>
      </c>
      <c r="B680" t="n">
        <v>2157.300048828125</v>
      </c>
      <c r="C680" t="n">
        <v>69403.7734375</v>
      </c>
    </row>
    <row r="681">
      <c r="A681" t="inlineStr">
        <is>
          <t>2024-03-18</t>
        </is>
      </c>
      <c r="B681" t="n">
        <v>2160.699951171875</v>
      </c>
      <c r="C681" t="n">
        <v>67548.59375</v>
      </c>
    </row>
    <row r="682">
      <c r="A682" t="inlineStr">
        <is>
          <t>2024-03-19</t>
        </is>
      </c>
      <c r="B682" t="n">
        <v>2156.300048828125</v>
      </c>
      <c r="C682" t="n">
        <v>61912.7734375</v>
      </c>
    </row>
    <row r="683">
      <c r="A683" t="inlineStr">
        <is>
          <t>2024-03-20</t>
        </is>
      </c>
      <c r="B683" t="n">
        <v>2157.89990234375</v>
      </c>
      <c r="C683" t="n">
        <v>67913.671875</v>
      </c>
    </row>
    <row r="684">
      <c r="A684" t="inlineStr">
        <is>
          <t>2024-03-21</t>
        </is>
      </c>
      <c r="B684" t="n">
        <v>2182.39990234375</v>
      </c>
      <c r="C684" t="n">
        <v>65491.390625</v>
      </c>
    </row>
    <row r="685">
      <c r="A685" t="inlineStr">
        <is>
          <t>2024-03-22</t>
        </is>
      </c>
      <c r="B685" t="n">
        <v>2158.10009765625</v>
      </c>
      <c r="C685" t="n">
        <v>63778.76171875</v>
      </c>
    </row>
    <row r="686">
      <c r="A686" t="inlineStr">
        <is>
          <t>2024-03-25</t>
        </is>
      </c>
      <c r="B686" t="n">
        <v>2174.800048828125</v>
      </c>
      <c r="C686" t="n">
        <v>69958.8125</v>
      </c>
    </row>
    <row r="687">
      <c r="A687" t="inlineStr">
        <is>
          <t>2024-03-26</t>
        </is>
      </c>
      <c r="B687" t="n">
        <v>2175.60009765625</v>
      </c>
      <c r="C687" t="n">
        <v>69987.8359375</v>
      </c>
    </row>
    <row r="688">
      <c r="A688" t="inlineStr">
        <is>
          <t>2024-03-27</t>
        </is>
      </c>
      <c r="B688" t="n">
        <v>2190.60009765625</v>
      </c>
      <c r="C688" t="n">
        <v>69455.34375</v>
      </c>
    </row>
    <row r="689">
      <c r="A689" t="inlineStr">
        <is>
          <t>2024-03-28</t>
        </is>
      </c>
      <c r="B689" t="n">
        <v>2217.39990234375</v>
      </c>
      <c r="C689" t="n">
        <v>70744.953125</v>
      </c>
    </row>
    <row r="690">
      <c r="A690" t="inlineStr">
        <is>
          <t>2024-04-01</t>
        </is>
      </c>
      <c r="B690" t="n">
        <v>2236.5</v>
      </c>
      <c r="C690" t="n">
        <v>69702.1484375</v>
      </c>
    </row>
    <row r="691">
      <c r="A691" t="inlineStr">
        <is>
          <t>2024-04-02</t>
        </is>
      </c>
      <c r="B691" t="n">
        <v>2261</v>
      </c>
      <c r="C691" t="n">
        <v>65446.97265625</v>
      </c>
    </row>
    <row r="692">
      <c r="A692" t="inlineStr">
        <is>
          <t>2024-04-03</t>
        </is>
      </c>
      <c r="B692" t="n">
        <v>2294.39990234375</v>
      </c>
      <c r="C692" t="n">
        <v>65980.8125</v>
      </c>
    </row>
    <row r="693">
      <c r="A693" t="inlineStr">
        <is>
          <t>2024-04-04</t>
        </is>
      </c>
      <c r="B693" t="n">
        <v>2288.800048828125</v>
      </c>
      <c r="C693" t="n">
        <v>68508.84375</v>
      </c>
    </row>
    <row r="694">
      <c r="A694" t="inlineStr">
        <is>
          <t>2024-04-05</t>
        </is>
      </c>
      <c r="B694" t="n">
        <v>2325.699951171875</v>
      </c>
      <c r="C694" t="n">
        <v>67837.640625</v>
      </c>
    </row>
    <row r="695">
      <c r="A695" t="inlineStr">
        <is>
          <t>2024-04-08</t>
        </is>
      </c>
      <c r="B695" t="n">
        <v>2331.699951171875</v>
      </c>
      <c r="C695" t="n">
        <v>71631.359375</v>
      </c>
    </row>
    <row r="696">
      <c r="A696" t="inlineStr">
        <is>
          <t>2024-04-09</t>
        </is>
      </c>
      <c r="B696" t="n">
        <v>2343.5</v>
      </c>
      <c r="C696" t="n">
        <v>69139.015625</v>
      </c>
    </row>
    <row r="697">
      <c r="A697" t="inlineStr">
        <is>
          <t>2024-04-10</t>
        </is>
      </c>
      <c r="B697" t="n">
        <v>2329.60009765625</v>
      </c>
      <c r="C697" t="n">
        <v>70587.8828125</v>
      </c>
    </row>
    <row r="698">
      <c r="A698" t="inlineStr">
        <is>
          <t>2024-04-11</t>
        </is>
      </c>
      <c r="B698" t="n">
        <v>2354.800048828125</v>
      </c>
      <c r="C698" t="n">
        <v>70060.609375</v>
      </c>
    </row>
    <row r="699">
      <c r="A699" t="inlineStr">
        <is>
          <t>2024-04-12</t>
        </is>
      </c>
      <c r="B699" t="n">
        <v>2356.199951171875</v>
      </c>
      <c r="C699" t="n">
        <v>67195.8671875</v>
      </c>
    </row>
    <row r="700">
      <c r="A700" t="inlineStr">
        <is>
          <t>2024-04-15</t>
        </is>
      </c>
      <c r="B700" t="n">
        <v>2365.800048828125</v>
      </c>
      <c r="C700" t="n">
        <v>63426.2109375</v>
      </c>
    </row>
    <row r="701">
      <c r="A701" t="inlineStr">
        <is>
          <t>2024-04-16</t>
        </is>
      </c>
      <c r="B701" t="n">
        <v>2390.800048828125</v>
      </c>
      <c r="C701" t="n">
        <v>63811.86328125</v>
      </c>
    </row>
    <row r="702">
      <c r="A702" t="inlineStr">
        <is>
          <t>2024-04-17</t>
        </is>
      </c>
      <c r="B702" t="n">
        <v>2371.699951171875</v>
      </c>
      <c r="C702" t="n">
        <v>61276.69140625</v>
      </c>
    </row>
    <row r="703">
      <c r="A703" t="inlineStr">
        <is>
          <t>2024-04-18</t>
        </is>
      </c>
      <c r="B703" t="n">
        <v>2382.300048828125</v>
      </c>
      <c r="C703" t="n">
        <v>63512.75390625</v>
      </c>
    </row>
    <row r="704">
      <c r="A704" t="inlineStr">
        <is>
          <t>2024-04-19</t>
        </is>
      </c>
      <c r="B704" t="n">
        <v>2398.39990234375</v>
      </c>
      <c r="C704" t="n">
        <v>63843.5703125</v>
      </c>
    </row>
    <row r="705">
      <c r="A705" t="inlineStr">
        <is>
          <t>2024-04-22</t>
        </is>
      </c>
      <c r="B705" t="n">
        <v>2332.199951171875</v>
      </c>
      <c r="C705" t="n">
        <v>66837.6796875</v>
      </c>
    </row>
    <row r="706">
      <c r="A706" t="inlineStr">
        <is>
          <t>2024-04-23</t>
        </is>
      </c>
      <c r="B706" t="n">
        <v>2327.699951171875</v>
      </c>
      <c r="C706" t="n">
        <v>66407.2734375</v>
      </c>
    </row>
    <row r="707">
      <c r="A707" t="inlineStr">
        <is>
          <t>2024-04-24</t>
        </is>
      </c>
      <c r="B707" t="n">
        <v>2324.5</v>
      </c>
      <c r="C707" t="n">
        <v>64276.8984375</v>
      </c>
    </row>
    <row r="708">
      <c r="A708" t="inlineStr">
        <is>
          <t>2024-04-25</t>
        </is>
      </c>
      <c r="B708" t="n">
        <v>2329.800048828125</v>
      </c>
      <c r="C708" t="n">
        <v>64481.70703125</v>
      </c>
    </row>
    <row r="709">
      <c r="A709" t="inlineStr">
        <is>
          <t>2024-04-26</t>
        </is>
      </c>
      <c r="B709" t="n">
        <v>2334.800048828125</v>
      </c>
      <c r="C709" t="n">
        <v>63755.3203125</v>
      </c>
    </row>
    <row r="710">
      <c r="A710" t="inlineStr">
        <is>
          <t>2024-04-29</t>
        </is>
      </c>
      <c r="B710" t="n">
        <v>2345.39990234375</v>
      </c>
      <c r="C710" t="n">
        <v>63841.12109375</v>
      </c>
    </row>
    <row r="711">
      <c r="A711" t="inlineStr">
        <is>
          <t>2024-04-30</t>
        </is>
      </c>
      <c r="B711" t="n">
        <v>2291.39990234375</v>
      </c>
      <c r="C711" t="n">
        <v>60636.85546875</v>
      </c>
    </row>
    <row r="712">
      <c r="A712" t="inlineStr">
        <is>
          <t>2024-05-01</t>
        </is>
      </c>
      <c r="B712" t="n">
        <v>2299.89990234375</v>
      </c>
      <c r="C712" t="n">
        <v>58254.01171875</v>
      </c>
    </row>
    <row r="713">
      <c r="A713" t="inlineStr">
        <is>
          <t>2024-05-02</t>
        </is>
      </c>
      <c r="B713" t="n">
        <v>2299.199951171875</v>
      </c>
      <c r="C713" t="n">
        <v>59123.43359375</v>
      </c>
    </row>
    <row r="714">
      <c r="A714" t="inlineStr">
        <is>
          <t>2024-05-03</t>
        </is>
      </c>
      <c r="B714" t="n">
        <v>2299</v>
      </c>
      <c r="C714" t="n">
        <v>62889.8359375</v>
      </c>
    </row>
    <row r="715">
      <c r="A715" t="inlineStr">
        <is>
          <t>2024-05-06</t>
        </is>
      </c>
      <c r="B715" t="n">
        <v>2321.60009765625</v>
      </c>
      <c r="C715" t="n">
        <v>63161.94921875</v>
      </c>
    </row>
    <row r="716">
      <c r="A716" t="inlineStr">
        <is>
          <t>2024-05-07</t>
        </is>
      </c>
      <c r="B716" t="n">
        <v>2315.199951171875</v>
      </c>
      <c r="C716" t="n">
        <v>62334.81640625</v>
      </c>
    </row>
    <row r="717">
      <c r="A717" t="inlineStr">
        <is>
          <t>2024-05-08</t>
        </is>
      </c>
      <c r="B717" t="n">
        <v>2313.60009765625</v>
      </c>
      <c r="C717" t="n">
        <v>61187.94140625</v>
      </c>
    </row>
    <row r="718">
      <c r="A718" t="inlineStr">
        <is>
          <t>2024-05-09</t>
        </is>
      </c>
      <c r="B718" t="n">
        <v>2332.10009765625</v>
      </c>
      <c r="C718" t="n">
        <v>63049.9609375</v>
      </c>
    </row>
    <row r="719">
      <c r="A719" t="inlineStr">
        <is>
          <t>2024-05-10</t>
        </is>
      </c>
      <c r="B719" t="n">
        <v>2367.300048828125</v>
      </c>
      <c r="C719" t="n">
        <v>60792.77734375</v>
      </c>
    </row>
    <row r="720">
      <c r="A720" t="inlineStr">
        <is>
          <t>2024-05-13</t>
        </is>
      </c>
      <c r="B720" t="n">
        <v>2336.10009765625</v>
      </c>
      <c r="C720" t="n">
        <v>62901.44921875</v>
      </c>
    </row>
    <row r="721">
      <c r="A721" t="inlineStr">
        <is>
          <t>2024-05-14</t>
        </is>
      </c>
      <c r="B721" t="n">
        <v>2353.39990234375</v>
      </c>
      <c r="C721" t="n">
        <v>61552.7890625</v>
      </c>
    </row>
    <row r="722">
      <c r="A722" t="inlineStr">
        <is>
          <t>2024-05-15</t>
        </is>
      </c>
      <c r="B722" t="n">
        <v>2388.699951171875</v>
      </c>
      <c r="C722" t="n">
        <v>66267.4921875</v>
      </c>
    </row>
    <row r="723">
      <c r="A723" t="inlineStr">
        <is>
          <t>2024-05-16</t>
        </is>
      </c>
      <c r="B723" t="n">
        <v>2380</v>
      </c>
      <c r="C723" t="n">
        <v>65231.58203125</v>
      </c>
    </row>
    <row r="724">
      <c r="A724" t="inlineStr">
        <is>
          <t>2024-05-17</t>
        </is>
      </c>
      <c r="B724" t="n">
        <v>2412.199951171875</v>
      </c>
      <c r="C724" t="n">
        <v>67051.875</v>
      </c>
    </row>
    <row r="725">
      <c r="A725" t="inlineStr">
        <is>
          <t>2024-05-20</t>
        </is>
      </c>
      <c r="B725" t="n">
        <v>2433.89990234375</v>
      </c>
      <c r="C725" t="n">
        <v>71448.1953125</v>
      </c>
    </row>
    <row r="726">
      <c r="A726" t="inlineStr">
        <is>
          <t>2024-05-21</t>
        </is>
      </c>
      <c r="B726" t="n">
        <v>2421.699951171875</v>
      </c>
      <c r="C726" t="n">
        <v>70136.53125</v>
      </c>
    </row>
    <row r="727">
      <c r="A727" t="inlineStr">
        <is>
          <t>2024-05-22</t>
        </is>
      </c>
      <c r="B727" t="n">
        <v>2389.199951171875</v>
      </c>
      <c r="C727" t="n">
        <v>69122.3359375</v>
      </c>
    </row>
    <row r="728">
      <c r="A728" t="inlineStr">
        <is>
          <t>2024-05-23</t>
        </is>
      </c>
      <c r="B728" t="n">
        <v>2335</v>
      </c>
      <c r="C728" t="n">
        <v>67929.5625</v>
      </c>
    </row>
    <row r="729">
      <c r="A729" t="inlineStr">
        <is>
          <t>2024-05-24</t>
        </is>
      </c>
      <c r="B729" t="n">
        <v>2332.5</v>
      </c>
      <c r="C729" t="n">
        <v>68526.1015625</v>
      </c>
    </row>
    <row r="730">
      <c r="A730" t="inlineStr">
        <is>
          <t>2024-05-28</t>
        </is>
      </c>
      <c r="B730" t="n">
        <v>2355.199951171875</v>
      </c>
      <c r="C730" t="n">
        <v>68296.21875</v>
      </c>
    </row>
    <row r="731">
      <c r="A731" t="inlineStr">
        <is>
          <t>2024-05-29</t>
        </is>
      </c>
      <c r="B731" t="n">
        <v>2340.300048828125</v>
      </c>
      <c r="C731" t="n">
        <v>67578.09375</v>
      </c>
    </row>
    <row r="732">
      <c r="A732" t="inlineStr">
        <is>
          <t>2024-05-30</t>
        </is>
      </c>
      <c r="B732" t="n">
        <v>2342.89990234375</v>
      </c>
      <c r="C732" t="n">
        <v>68364.9921875</v>
      </c>
    </row>
    <row r="733">
      <c r="A733" t="inlineStr">
        <is>
          <t>2024-05-31</t>
        </is>
      </c>
      <c r="B733" t="n">
        <v>2322.89990234375</v>
      </c>
      <c r="C733" t="n">
        <v>67491.4140625</v>
      </c>
    </row>
    <row r="734">
      <c r="A734" t="inlineStr">
        <is>
          <t>2024-06-03</t>
        </is>
      </c>
      <c r="B734" t="n">
        <v>2346.60009765625</v>
      </c>
      <c r="C734" t="n">
        <v>68804.78125</v>
      </c>
    </row>
    <row r="735">
      <c r="A735" t="inlineStr">
        <is>
          <t>2024-06-04</t>
        </is>
      </c>
      <c r="B735" t="n">
        <v>2325.5</v>
      </c>
      <c r="C735" t="n">
        <v>70567.765625</v>
      </c>
    </row>
    <row r="736">
      <c r="A736" t="inlineStr">
        <is>
          <t>2024-06-05</t>
        </is>
      </c>
      <c r="B736" t="n">
        <v>2354.10009765625</v>
      </c>
      <c r="C736" t="n">
        <v>71082.8203125</v>
      </c>
    </row>
    <row r="737">
      <c r="A737" t="inlineStr">
        <is>
          <t>2024-06-06</t>
        </is>
      </c>
      <c r="B737" t="n">
        <v>2370.300048828125</v>
      </c>
      <c r="C737" t="n">
        <v>70757.1640625</v>
      </c>
    </row>
    <row r="738">
      <c r="A738" t="inlineStr">
        <is>
          <t>2024-06-07</t>
        </is>
      </c>
      <c r="B738" t="n">
        <v>2305.199951171875</v>
      </c>
      <c r="C738" t="n">
        <v>69342.5859375</v>
      </c>
    </row>
    <row r="739">
      <c r="A739" t="inlineStr">
        <is>
          <t>2024-06-10</t>
        </is>
      </c>
      <c r="B739" t="n">
        <v>2307.699951171875</v>
      </c>
      <c r="C739" t="n">
        <v>69512.28125</v>
      </c>
    </row>
    <row r="740">
      <c r="A740" t="inlineStr">
        <is>
          <t>2024-06-11</t>
        </is>
      </c>
      <c r="B740" t="n">
        <v>2307.5</v>
      </c>
      <c r="C740" t="n">
        <v>67332.03125</v>
      </c>
    </row>
    <row r="741">
      <c r="A741" t="inlineStr">
        <is>
          <t>2024-06-12</t>
        </is>
      </c>
      <c r="B741" t="n">
        <v>2336</v>
      </c>
      <c r="C741" t="n">
        <v>68241.1875</v>
      </c>
    </row>
    <row r="742">
      <c r="A742" t="inlineStr">
        <is>
          <t>2024-06-13</t>
        </is>
      </c>
      <c r="B742" t="n">
        <v>2300.199951171875</v>
      </c>
      <c r="C742" t="n">
        <v>66756.3984375</v>
      </c>
    </row>
    <row r="743">
      <c r="A743" t="inlineStr">
        <is>
          <t>2024-06-14</t>
        </is>
      </c>
      <c r="B743" t="n">
        <v>2331.39990234375</v>
      </c>
      <c r="C743" t="n">
        <v>66011.09375</v>
      </c>
    </row>
    <row r="744">
      <c r="A744" t="inlineStr">
        <is>
          <t>2024-06-17</t>
        </is>
      </c>
      <c r="B744" t="n">
        <v>2312.39990234375</v>
      </c>
      <c r="C744" t="n">
        <v>66490.296875</v>
      </c>
    </row>
    <row r="745">
      <c r="A745" t="inlineStr">
        <is>
          <t>2024-06-18</t>
        </is>
      </c>
      <c r="B745" t="n">
        <v>2330.39990234375</v>
      </c>
      <c r="C745" t="n">
        <v>65140.74609375</v>
      </c>
    </row>
    <row r="746">
      <c r="A746" t="inlineStr">
        <is>
          <t>2024-06-20</t>
        </is>
      </c>
      <c r="B746" t="n">
        <v>2353.800048828125</v>
      </c>
      <c r="C746" t="n">
        <v>64828.65625</v>
      </c>
    </row>
    <row r="747">
      <c r="A747" t="inlineStr">
        <is>
          <t>2024-06-21</t>
        </is>
      </c>
      <c r="B747" t="n">
        <v>2316.39990234375</v>
      </c>
      <c r="C747" t="n">
        <v>64096.19921875</v>
      </c>
    </row>
    <row r="748">
      <c r="A748" t="inlineStr">
        <is>
          <t>2024-06-24</t>
        </is>
      </c>
      <c r="B748" t="n">
        <v>2330</v>
      </c>
      <c r="C748" t="n">
        <v>60277.4140625</v>
      </c>
    </row>
    <row r="749">
      <c r="A749" t="inlineStr">
        <is>
          <t>2024-06-25</t>
        </is>
      </c>
      <c r="B749" t="n">
        <v>2316.60009765625</v>
      </c>
      <c r="C749" t="n">
        <v>61804.640625</v>
      </c>
    </row>
    <row r="750">
      <c r="A750" t="inlineStr">
        <is>
          <t>2024-06-26</t>
        </is>
      </c>
      <c r="B750" t="n">
        <v>2299.199951171875</v>
      </c>
      <c r="C750" t="n">
        <v>60811.27734375</v>
      </c>
    </row>
    <row r="751">
      <c r="A751" t="inlineStr">
        <is>
          <t>2024-06-27</t>
        </is>
      </c>
      <c r="B751" t="n">
        <v>2324.5</v>
      </c>
      <c r="C751" t="n">
        <v>61604.80078125</v>
      </c>
    </row>
    <row r="752">
      <c r="A752" t="inlineStr">
        <is>
          <t>2024-06-28</t>
        </is>
      </c>
      <c r="B752" t="n">
        <v>2327.699951171875</v>
      </c>
      <c r="C752" t="n">
        <v>60320.13671875</v>
      </c>
    </row>
    <row r="753">
      <c r="A753" t="inlineStr">
        <is>
          <t>2024-07-01</t>
        </is>
      </c>
      <c r="B753" t="n">
        <v>2327.60009765625</v>
      </c>
      <c r="C753" t="n">
        <v>62851.98046875</v>
      </c>
    </row>
    <row r="754">
      <c r="A754" t="inlineStr">
        <is>
          <t>2024-07-02</t>
        </is>
      </c>
      <c r="B754" t="n">
        <v>2323</v>
      </c>
      <c r="C754" t="n">
        <v>62029.015625</v>
      </c>
    </row>
    <row r="755">
      <c r="A755" t="inlineStr">
        <is>
          <t>2024-07-03</t>
        </is>
      </c>
      <c r="B755" t="n">
        <v>2359.800048828125</v>
      </c>
      <c r="C755" t="n">
        <v>60173.921875</v>
      </c>
    </row>
    <row r="756">
      <c r="A756" t="inlineStr">
        <is>
          <t>2024-07-05</t>
        </is>
      </c>
      <c r="B756" t="n">
        <v>2388.5</v>
      </c>
      <c r="C756" t="n">
        <v>56662.375</v>
      </c>
    </row>
    <row r="757">
      <c r="A757" t="inlineStr">
        <is>
          <t>2024-07-08</t>
        </is>
      </c>
      <c r="B757" t="n">
        <v>2355.199951171875</v>
      </c>
      <c r="C757" t="n">
        <v>56705.09765625</v>
      </c>
    </row>
    <row r="758">
      <c r="A758" t="inlineStr">
        <is>
          <t>2024-07-09</t>
        </is>
      </c>
      <c r="B758" t="n">
        <v>2360.10009765625</v>
      </c>
      <c r="C758" t="n">
        <v>58009.2265625</v>
      </c>
    </row>
    <row r="759">
      <c r="A759" t="inlineStr">
        <is>
          <t>2024-07-10</t>
        </is>
      </c>
      <c r="B759" t="n">
        <v>2372.199951171875</v>
      </c>
      <c r="C759" t="n">
        <v>57742.49609375</v>
      </c>
    </row>
    <row r="760">
      <c r="A760" t="inlineStr">
        <is>
          <t>2024-07-11</t>
        </is>
      </c>
      <c r="B760" t="n">
        <v>2415</v>
      </c>
      <c r="C760" t="n">
        <v>57344.9140625</v>
      </c>
    </row>
    <row r="761">
      <c r="A761" t="inlineStr">
        <is>
          <t>2024-07-12</t>
        </is>
      </c>
      <c r="B761" t="n">
        <v>2414</v>
      </c>
      <c r="C761" t="n">
        <v>57899.46484375</v>
      </c>
    </row>
    <row r="762">
      <c r="A762" t="inlineStr">
        <is>
          <t>2024-07-15</t>
        </is>
      </c>
      <c r="B762" t="n">
        <v>2422.89990234375</v>
      </c>
      <c r="C762" t="n">
        <v>64870.15234375</v>
      </c>
    </row>
    <row r="763">
      <c r="A763" t="inlineStr">
        <is>
          <t>2024-07-16</t>
        </is>
      </c>
      <c r="B763" t="n">
        <v>2462.39990234375</v>
      </c>
      <c r="C763" t="n">
        <v>65097.1484375</v>
      </c>
    </row>
    <row r="764">
      <c r="A764" t="inlineStr">
        <is>
          <t>2024-07-17</t>
        </is>
      </c>
      <c r="B764" t="n">
        <v>2454.800048828125</v>
      </c>
      <c r="C764" t="n">
        <v>64118.79296875</v>
      </c>
    </row>
    <row r="765">
      <c r="A765" t="inlineStr">
        <is>
          <t>2024-07-18</t>
        </is>
      </c>
      <c r="B765" t="n">
        <v>2451.800048828125</v>
      </c>
      <c r="C765" t="n">
        <v>63974.06640625</v>
      </c>
    </row>
    <row r="766">
      <c r="A766" t="inlineStr">
        <is>
          <t>2024-07-19</t>
        </is>
      </c>
      <c r="B766" t="n">
        <v>2395.5</v>
      </c>
      <c r="C766" t="n">
        <v>66710.15625</v>
      </c>
    </row>
    <row r="767">
      <c r="A767" t="inlineStr">
        <is>
          <t>2024-07-22</t>
        </is>
      </c>
      <c r="B767" t="n">
        <v>2392</v>
      </c>
      <c r="C767" t="n">
        <v>67585.25</v>
      </c>
    </row>
    <row r="768">
      <c r="A768" t="inlineStr">
        <is>
          <t>2024-07-23</t>
        </is>
      </c>
      <c r="B768" t="n">
        <v>2404.60009765625</v>
      </c>
      <c r="C768" t="n">
        <v>65927.671875</v>
      </c>
    </row>
    <row r="769">
      <c r="A769" t="inlineStr">
        <is>
          <t>2024-07-24</t>
        </is>
      </c>
      <c r="B769" t="n">
        <v>2413.300048828125</v>
      </c>
      <c r="C769" t="n">
        <v>65372.1328125</v>
      </c>
    </row>
    <row r="770">
      <c r="A770" t="inlineStr">
        <is>
          <t>2024-07-25</t>
        </is>
      </c>
      <c r="B770" t="n">
        <v>2351.89990234375</v>
      </c>
      <c r="C770" t="n">
        <v>65777.2265625</v>
      </c>
    </row>
    <row r="771">
      <c r="A771" t="inlineStr">
        <is>
          <t>2024-07-26</t>
        </is>
      </c>
      <c r="B771" t="n">
        <v>2380</v>
      </c>
      <c r="C771" t="n">
        <v>67912.0625</v>
      </c>
    </row>
    <row r="772">
      <c r="A772" t="inlineStr">
        <is>
          <t>2024-07-29</t>
        </is>
      </c>
      <c r="B772" t="n">
        <v>2377.300048828125</v>
      </c>
      <c r="C772" t="n">
        <v>66819.9140625</v>
      </c>
    </row>
    <row r="773">
      <c r="A773" t="inlineStr">
        <is>
          <t>2024-07-30</t>
        </is>
      </c>
      <c r="B773" t="n">
        <v>2405</v>
      </c>
      <c r="C773" t="n">
        <v>66201.015625</v>
      </c>
    </row>
    <row r="774">
      <c r="A774" t="inlineStr">
        <is>
          <t>2024-07-31</t>
        </is>
      </c>
      <c r="B774" t="n">
        <v>2426.5</v>
      </c>
      <c r="C774" t="n">
        <v>64619.25</v>
      </c>
    </row>
    <row r="775">
      <c r="A775" t="inlineStr">
        <is>
          <t>2024-08-01</t>
        </is>
      </c>
      <c r="B775" t="n">
        <v>2435</v>
      </c>
      <c r="C775" t="n">
        <v>65357.5</v>
      </c>
    </row>
    <row r="776">
      <c r="A776" t="inlineStr">
        <is>
          <t>2024-08-02</t>
        </is>
      </c>
      <c r="B776" t="n">
        <v>2425.699951171875</v>
      </c>
      <c r="C776" t="n">
        <v>61415.06640625</v>
      </c>
    </row>
    <row r="777">
      <c r="A777" t="inlineStr">
        <is>
          <t>2024-08-05</t>
        </is>
      </c>
      <c r="B777" t="n">
        <v>2401.699951171875</v>
      </c>
      <c r="C777" t="n">
        <v>53991.45703125</v>
      </c>
    </row>
    <row r="778">
      <c r="A778" t="inlineStr">
        <is>
          <t>2024-08-06</t>
        </is>
      </c>
      <c r="B778" t="n">
        <v>2389.10009765625</v>
      </c>
      <c r="C778" t="n">
        <v>56034.31640625</v>
      </c>
    </row>
    <row r="779">
      <c r="A779" t="inlineStr">
        <is>
          <t>2024-08-07</t>
        </is>
      </c>
      <c r="B779" t="n">
        <v>2390.5</v>
      </c>
      <c r="C779" t="n">
        <v>55027.4609375</v>
      </c>
    </row>
    <row r="780">
      <c r="A780" t="inlineStr">
        <is>
          <t>2024-08-08</t>
        </is>
      </c>
      <c r="B780" t="n">
        <v>2422.199951171875</v>
      </c>
      <c r="C780" t="n">
        <v>61710.13671875</v>
      </c>
    </row>
    <row r="781">
      <c r="A781" t="inlineStr">
        <is>
          <t>2024-08-09</t>
        </is>
      </c>
      <c r="B781" t="n">
        <v>2432.10009765625</v>
      </c>
      <c r="C781" t="n">
        <v>60880.11328125</v>
      </c>
    </row>
    <row r="782">
      <c r="A782" t="inlineStr">
        <is>
          <t>2024-08-12</t>
        </is>
      </c>
      <c r="B782" t="n">
        <v>2462.39990234375</v>
      </c>
      <c r="C782" t="n">
        <v>59354.515625</v>
      </c>
    </row>
    <row r="783">
      <c r="A783" t="inlineStr">
        <is>
          <t>2024-08-13</t>
        </is>
      </c>
      <c r="B783" t="n">
        <v>2466.699951171875</v>
      </c>
      <c r="C783" t="n">
        <v>60609.56640625</v>
      </c>
    </row>
    <row r="784">
      <c r="A784" t="inlineStr">
        <is>
          <t>2024-08-14</t>
        </is>
      </c>
      <c r="B784" t="n">
        <v>2439.39990234375</v>
      </c>
      <c r="C784" t="n">
        <v>58737.26953125</v>
      </c>
    </row>
    <row r="785">
      <c r="A785" t="inlineStr">
        <is>
          <t>2024-08-15</t>
        </is>
      </c>
      <c r="B785" t="n">
        <v>2453.10009765625</v>
      </c>
      <c r="C785" t="n">
        <v>57560.09765625</v>
      </c>
    </row>
    <row r="786">
      <c r="A786" t="inlineStr">
        <is>
          <t>2024-08-16</t>
        </is>
      </c>
      <c r="B786" t="n">
        <v>2498.60009765625</v>
      </c>
      <c r="C786" t="n">
        <v>58894.10546875</v>
      </c>
    </row>
    <row r="787">
      <c r="A787" t="inlineStr">
        <is>
          <t>2024-08-19</t>
        </is>
      </c>
      <c r="B787" t="n">
        <v>2501.800048828125</v>
      </c>
      <c r="C787" t="n">
        <v>59493.453125</v>
      </c>
    </row>
    <row r="788">
      <c r="A788" t="inlineStr">
        <is>
          <t>2024-08-20</t>
        </is>
      </c>
      <c r="B788" t="n">
        <v>2511.300048828125</v>
      </c>
      <c r="C788" t="n">
        <v>59012.79296875</v>
      </c>
    </row>
    <row r="789">
      <c r="A789" t="inlineStr">
        <is>
          <t>2024-08-21</t>
        </is>
      </c>
      <c r="B789" t="n">
        <v>2508.39990234375</v>
      </c>
      <c r="C789" t="n">
        <v>61175.19140625</v>
      </c>
    </row>
    <row r="790">
      <c r="A790" t="inlineStr">
        <is>
          <t>2024-08-22</t>
        </is>
      </c>
      <c r="B790" t="n">
        <v>2478.89990234375</v>
      </c>
      <c r="C790" t="n">
        <v>60381.9140625</v>
      </c>
    </row>
    <row r="791">
      <c r="A791" t="inlineStr">
        <is>
          <t>2024-08-23</t>
        </is>
      </c>
      <c r="B791" t="n">
        <v>2508.39990234375</v>
      </c>
      <c r="C791" t="n">
        <v>64094.35546875</v>
      </c>
    </row>
    <row r="792">
      <c r="A792" t="inlineStr">
        <is>
          <t>2024-08-26</t>
        </is>
      </c>
      <c r="B792" t="n">
        <v>2517.699951171875</v>
      </c>
      <c r="C792" t="n">
        <v>62880.66015625</v>
      </c>
    </row>
    <row r="793">
      <c r="A793" t="inlineStr">
        <is>
          <t>2024-08-27</t>
        </is>
      </c>
      <c r="B793" t="n">
        <v>2516</v>
      </c>
      <c r="C793" t="n">
        <v>59504.1328125</v>
      </c>
    </row>
    <row r="794">
      <c r="A794" t="inlineStr">
        <is>
          <t>2024-08-28</t>
        </is>
      </c>
      <c r="B794" t="n">
        <v>2501</v>
      </c>
      <c r="C794" t="n">
        <v>59027.625</v>
      </c>
    </row>
    <row r="795">
      <c r="A795" t="inlineStr">
        <is>
          <t>2024-08-29</t>
        </is>
      </c>
      <c r="B795" t="n">
        <v>2525.699951171875</v>
      </c>
      <c r="C795" t="n">
        <v>59388.1796875</v>
      </c>
    </row>
    <row r="796">
      <c r="A796" t="inlineStr">
        <is>
          <t>2024-08-30</t>
        </is>
      </c>
      <c r="B796" t="n">
        <v>2493.800048828125</v>
      </c>
      <c r="C796" t="n">
        <v>59119.4765625</v>
      </c>
    </row>
    <row r="797">
      <c r="A797" t="inlineStr">
        <is>
          <t>2024-09-03</t>
        </is>
      </c>
      <c r="B797" t="n">
        <v>2489.89990234375</v>
      </c>
      <c r="C797" t="n">
        <v>57431.0234375</v>
      </c>
    </row>
    <row r="798">
      <c r="A798" t="inlineStr">
        <is>
          <t>2024-09-04</t>
        </is>
      </c>
      <c r="B798" t="n">
        <v>2493.39990234375</v>
      </c>
      <c r="C798" t="n">
        <v>57971.5390625</v>
      </c>
    </row>
    <row r="799">
      <c r="A799" t="inlineStr">
        <is>
          <t>2024-09-05</t>
        </is>
      </c>
      <c r="B799" t="n">
        <v>2511.39990234375</v>
      </c>
      <c r="C799" t="n">
        <v>56160.48828125</v>
      </c>
    </row>
    <row r="800">
      <c r="A800" t="inlineStr">
        <is>
          <t>2024-09-06</t>
        </is>
      </c>
      <c r="B800" t="n">
        <v>2493.5</v>
      </c>
      <c r="C800" t="n">
        <v>53948.75390625</v>
      </c>
    </row>
    <row r="801">
      <c r="A801" t="inlineStr">
        <is>
          <t>2024-09-09</t>
        </is>
      </c>
      <c r="B801" t="n">
        <v>2501.800048828125</v>
      </c>
      <c r="C801" t="n">
        <v>57019.53515625</v>
      </c>
    </row>
    <row r="802">
      <c r="A802" t="inlineStr">
        <is>
          <t>2024-09-10</t>
        </is>
      </c>
      <c r="B802" t="n">
        <v>2512.300048828125</v>
      </c>
      <c r="C802" t="n">
        <v>57648.7109375</v>
      </c>
    </row>
    <row r="803">
      <c r="A803" t="inlineStr">
        <is>
          <t>2024-09-11</t>
        </is>
      </c>
      <c r="B803" t="n">
        <v>2512.10009765625</v>
      </c>
      <c r="C803" t="n">
        <v>57343.171875</v>
      </c>
    </row>
    <row r="804">
      <c r="A804" t="inlineStr">
        <is>
          <t>2024-09-12</t>
        </is>
      </c>
      <c r="B804" t="n">
        <v>2551.199951171875</v>
      </c>
      <c r="C804" t="n">
        <v>58127.01171875</v>
      </c>
    </row>
    <row r="805">
      <c r="A805" t="inlineStr">
        <is>
          <t>2024-09-13</t>
        </is>
      </c>
      <c r="B805" t="n">
        <v>2581.300048828125</v>
      </c>
      <c r="C805" t="n">
        <v>60571.30078125</v>
      </c>
    </row>
    <row r="806">
      <c r="A806" t="inlineStr">
        <is>
          <t>2024-09-16</t>
        </is>
      </c>
      <c r="B806" t="n">
        <v>2580.39990234375</v>
      </c>
      <c r="C806" t="n">
        <v>58192.5078125</v>
      </c>
    </row>
    <row r="807">
      <c r="A807" t="inlineStr">
        <is>
          <t>2024-09-17</t>
        </is>
      </c>
      <c r="B807" t="n">
        <v>2564.300048828125</v>
      </c>
      <c r="C807" t="n">
        <v>60308.5390625</v>
      </c>
    </row>
    <row r="808">
      <c r="A808" t="inlineStr">
        <is>
          <t>2024-09-18</t>
        </is>
      </c>
      <c r="B808" t="n">
        <v>2570.699951171875</v>
      </c>
      <c r="C808" t="n">
        <v>61649.6796875</v>
      </c>
    </row>
    <row r="809">
      <c r="A809" t="inlineStr">
        <is>
          <t>2024-09-19</t>
        </is>
      </c>
      <c r="B809" t="n">
        <v>2588</v>
      </c>
      <c r="C809" t="n">
        <v>62940.45703125</v>
      </c>
    </row>
    <row r="810">
      <c r="A810" t="inlineStr">
        <is>
          <t>2024-09-20</t>
        </is>
      </c>
      <c r="B810" t="n">
        <v>2619.89990234375</v>
      </c>
      <c r="C810" t="n">
        <v>63192.9765625</v>
      </c>
    </row>
    <row r="811">
      <c r="A811" t="inlineStr">
        <is>
          <t>2024-09-23</t>
        </is>
      </c>
      <c r="B811" t="n">
        <v>2626.5</v>
      </c>
      <c r="C811" t="n">
        <v>63329.80078125</v>
      </c>
    </row>
    <row r="812">
      <c r="A812" t="inlineStr">
        <is>
          <t>2024-09-24</t>
        </is>
      </c>
      <c r="B812" t="n">
        <v>2651.199951171875</v>
      </c>
      <c r="C812" t="n">
        <v>64301.96875</v>
      </c>
    </row>
    <row r="813">
      <c r="A813" t="inlineStr">
        <is>
          <t>2024-09-25</t>
        </is>
      </c>
      <c r="B813" t="n">
        <v>2659.199951171875</v>
      </c>
      <c r="C813" t="n">
        <v>63143.14453125</v>
      </c>
    </row>
    <row r="814">
      <c r="A814" t="inlineStr">
        <is>
          <t>2024-09-26</t>
        </is>
      </c>
      <c r="B814" t="n">
        <v>2669.89990234375</v>
      </c>
      <c r="C814" t="n">
        <v>65181.01953125</v>
      </c>
    </row>
    <row r="815">
      <c r="A815" t="inlineStr">
        <is>
          <t>2024-09-27</t>
        </is>
      </c>
      <c r="B815" t="n">
        <v>2644.300048828125</v>
      </c>
      <c r="C815" t="n">
        <v>65790.6640625</v>
      </c>
    </row>
    <row r="816">
      <c r="A816" t="inlineStr">
        <is>
          <t>2024-09-30</t>
        </is>
      </c>
      <c r="B816" t="n">
        <v>2636.10009765625</v>
      </c>
      <c r="C816" t="n">
        <v>63329.5</v>
      </c>
    </row>
    <row r="817">
      <c r="A817" t="inlineStr">
        <is>
          <t>2024-10-01</t>
        </is>
      </c>
      <c r="B817" t="n">
        <v>2667.300048828125</v>
      </c>
      <c r="C817" t="n">
        <v>60837.0078125</v>
      </c>
    </row>
    <row r="818">
      <c r="A818" t="inlineStr">
        <is>
          <t>2024-10-02</t>
        </is>
      </c>
      <c r="B818" t="n">
        <v>2647.10009765625</v>
      </c>
      <c r="C818" t="n">
        <v>60632.78515625</v>
      </c>
    </row>
    <row r="819">
      <c r="A819" t="inlineStr">
        <is>
          <t>2024-10-03</t>
        </is>
      </c>
      <c r="B819" t="n">
        <v>2657.10009765625</v>
      </c>
      <c r="C819" t="n">
        <v>60759.40234375</v>
      </c>
    </row>
    <row r="820">
      <c r="A820" t="inlineStr">
        <is>
          <t>2024-10-04</t>
        </is>
      </c>
      <c r="B820" t="n">
        <v>2645.800048828125</v>
      </c>
      <c r="C820" t="n">
        <v>62067.4765625</v>
      </c>
    </row>
    <row r="821">
      <c r="A821" t="inlineStr">
        <is>
          <t>2024-10-07</t>
        </is>
      </c>
      <c r="B821" t="n">
        <v>2644.800048828125</v>
      </c>
      <c r="C821" t="n">
        <v>62236.66015625</v>
      </c>
    </row>
    <row r="822">
      <c r="A822" t="inlineStr">
        <is>
          <t>2024-10-08</t>
        </is>
      </c>
      <c r="B822" t="n">
        <v>2615</v>
      </c>
      <c r="C822" t="n">
        <v>62131.96875</v>
      </c>
    </row>
    <row r="823">
      <c r="A823" t="inlineStr">
        <is>
          <t>2024-10-09</t>
        </is>
      </c>
      <c r="B823" t="n">
        <v>2606</v>
      </c>
      <c r="C823" t="n">
        <v>60582.1015625</v>
      </c>
    </row>
    <row r="824">
      <c r="A824" t="inlineStr">
        <is>
          <t>2024-10-10</t>
        </is>
      </c>
      <c r="B824" t="n">
        <v>2620.60009765625</v>
      </c>
      <c r="C824" t="n">
        <v>60274.5</v>
      </c>
    </row>
    <row r="825">
      <c r="A825" t="inlineStr">
        <is>
          <t>2024-10-11</t>
        </is>
      </c>
      <c r="B825" t="n">
        <v>2657.60009765625</v>
      </c>
      <c r="C825" t="n">
        <v>62445.08984375</v>
      </c>
    </row>
    <row r="826">
      <c r="A826" t="inlineStr">
        <is>
          <t>2024-10-14</t>
        </is>
      </c>
      <c r="B826" t="n">
        <v>2647.800048828125</v>
      </c>
      <c r="C826" t="n">
        <v>66046.125</v>
      </c>
    </row>
    <row r="827">
      <c r="A827" t="inlineStr">
        <is>
          <t>2024-10-15</t>
        </is>
      </c>
      <c r="B827" t="n">
        <v>2661.39990234375</v>
      </c>
      <c r="C827" t="n">
        <v>67041.109375</v>
      </c>
    </row>
    <row r="828">
      <c r="A828" t="inlineStr">
        <is>
          <t>2024-10-16</t>
        </is>
      </c>
      <c r="B828" t="n">
        <v>2674</v>
      </c>
      <c r="C828" t="n">
        <v>67612.71875</v>
      </c>
    </row>
    <row r="829">
      <c r="A829" t="inlineStr">
        <is>
          <t>2024-10-17</t>
        </is>
      </c>
      <c r="B829" t="n">
        <v>2691</v>
      </c>
      <c r="C829" t="n">
        <v>67399.8359375</v>
      </c>
    </row>
    <row r="830">
      <c r="A830" t="inlineStr">
        <is>
          <t>2024-10-18</t>
        </is>
      </c>
      <c r="B830" t="n">
        <v>2713.699951171875</v>
      </c>
      <c r="C830" t="n">
        <v>68418.7890625</v>
      </c>
    </row>
    <row r="831">
      <c r="A831" t="inlineStr">
        <is>
          <t>2024-10-21</t>
        </is>
      </c>
      <c r="B831" t="n">
        <v>2723.10009765625</v>
      </c>
      <c r="C831" t="n">
        <v>67367.8515625</v>
      </c>
    </row>
    <row r="832">
      <c r="A832" t="inlineStr">
        <is>
          <t>2024-10-22</t>
        </is>
      </c>
      <c r="B832" t="n">
        <v>2744.199951171875</v>
      </c>
      <c r="C832" t="n">
        <v>67361.40625</v>
      </c>
    </row>
    <row r="833">
      <c r="A833" t="inlineStr">
        <is>
          <t>2024-10-23</t>
        </is>
      </c>
      <c r="B833" t="n">
        <v>2714.39990234375</v>
      </c>
      <c r="C833" t="n">
        <v>66432.1953125</v>
      </c>
    </row>
    <row r="834">
      <c r="A834" t="inlineStr">
        <is>
          <t>2024-10-24</t>
        </is>
      </c>
      <c r="B834" t="n">
        <v>2734.89990234375</v>
      </c>
      <c r="C834" t="n">
        <v>68161.0546875</v>
      </c>
    </row>
    <row r="835">
      <c r="A835" t="inlineStr">
        <is>
          <t>2024-10-25</t>
        </is>
      </c>
      <c r="B835" t="n">
        <v>2740.89990234375</v>
      </c>
      <c r="C835" t="n">
        <v>66642.4140625</v>
      </c>
    </row>
    <row r="836">
      <c r="A836" t="inlineStr">
        <is>
          <t>2024-10-28</t>
        </is>
      </c>
      <c r="B836" t="n">
        <v>2742.89990234375</v>
      </c>
      <c r="C836" t="n">
        <v>69907.7578125</v>
      </c>
    </row>
    <row r="837">
      <c r="A837" t="inlineStr">
        <is>
          <t>2024-10-29</t>
        </is>
      </c>
      <c r="B837" t="n">
        <v>2768.39990234375</v>
      </c>
      <c r="C837" t="n">
        <v>72720.4921875</v>
      </c>
    </row>
    <row r="838">
      <c r="A838" t="inlineStr">
        <is>
          <t>2024-10-30</t>
        </is>
      </c>
      <c r="B838" t="n">
        <v>2788.5</v>
      </c>
      <c r="C838" t="n">
        <v>72339.5390625</v>
      </c>
    </row>
    <row r="839">
      <c r="A839" t="inlineStr">
        <is>
          <t>2024-10-31</t>
        </is>
      </c>
      <c r="B839" t="n">
        <v>2738.300048828125</v>
      </c>
      <c r="C839" t="n">
        <v>70215.1875</v>
      </c>
    </row>
    <row r="840">
      <c r="A840" t="inlineStr">
        <is>
          <t>2024-11-01</t>
        </is>
      </c>
      <c r="B840" t="n">
        <v>2738.60009765625</v>
      </c>
      <c r="C840" t="n">
        <v>69482.46875</v>
      </c>
    </row>
    <row r="841">
      <c r="A841" t="inlineStr">
        <is>
          <t>2024-11-04</t>
        </is>
      </c>
      <c r="B841" t="n">
        <v>2736.10009765625</v>
      </c>
      <c r="C841" t="n">
        <v>67811.5078125</v>
      </c>
    </row>
    <row r="842">
      <c r="A842" t="inlineStr">
        <is>
          <t>2024-11-05</t>
        </is>
      </c>
      <c r="B842" t="n">
        <v>2740.300048828125</v>
      </c>
      <c r="C842" t="n">
        <v>69359.5625</v>
      </c>
    </row>
    <row r="843">
      <c r="A843" t="inlineStr">
        <is>
          <t>2024-11-06</t>
        </is>
      </c>
      <c r="B843" t="n">
        <v>2667.60009765625</v>
      </c>
      <c r="C843" t="n">
        <v>75639.078125</v>
      </c>
    </row>
    <row r="844">
      <c r="A844" t="inlineStr">
        <is>
          <t>2024-11-07</t>
        </is>
      </c>
      <c r="B844" t="n">
        <v>2698.39990234375</v>
      </c>
      <c r="C844" t="n">
        <v>75904.859375</v>
      </c>
    </row>
    <row r="845">
      <c r="A845" t="inlineStr">
        <is>
          <t>2024-11-08</t>
        </is>
      </c>
      <c r="B845" t="n">
        <v>2687.5</v>
      </c>
      <c r="C845" t="n">
        <v>76545.4765625</v>
      </c>
    </row>
    <row r="846">
      <c r="A846" t="inlineStr">
        <is>
          <t>2024-11-11</t>
        </is>
      </c>
      <c r="B846" t="n">
        <v>2611.199951171875</v>
      </c>
      <c r="C846" t="n">
        <v>88701.484375</v>
      </c>
    </row>
    <row r="847">
      <c r="A847" t="inlineStr">
        <is>
          <t>2024-11-12</t>
        </is>
      </c>
      <c r="B847" t="n">
        <v>2600</v>
      </c>
      <c r="C847" t="n">
        <v>87955.8125</v>
      </c>
    </row>
    <row r="848">
      <c r="A848" t="inlineStr">
        <is>
          <t>2024-11-13</t>
        </is>
      </c>
      <c r="B848" t="n">
        <v>2580.800048828125</v>
      </c>
      <c r="C848" t="n">
        <v>90584.1640625</v>
      </c>
    </row>
    <row r="849">
      <c r="A849" t="inlineStr">
        <is>
          <t>2024-11-14</t>
        </is>
      </c>
      <c r="B849" t="n">
        <v>2568.199951171875</v>
      </c>
      <c r="C849" t="n">
        <v>87250.4296875</v>
      </c>
    </row>
    <row r="850">
      <c r="A850" t="inlineStr">
        <is>
          <t>2024-11-15</t>
        </is>
      </c>
      <c r="B850" t="n">
        <v>2565.699951171875</v>
      </c>
      <c r="C850" t="n">
        <v>91066.0078125</v>
      </c>
    </row>
    <row r="851">
      <c r="A851" t="inlineStr">
        <is>
          <t>2024-11-18</t>
        </is>
      </c>
      <c r="B851" t="n">
        <v>2610.60009765625</v>
      </c>
      <c r="C851" t="n">
        <v>90542.640625</v>
      </c>
    </row>
    <row r="852">
      <c r="A852" t="inlineStr">
        <is>
          <t>2024-11-19</t>
        </is>
      </c>
      <c r="B852" t="n">
        <v>2627.10009765625</v>
      </c>
      <c r="C852" t="n">
        <v>92343.7890625</v>
      </c>
    </row>
    <row r="853">
      <c r="A853" t="inlineStr">
        <is>
          <t>2024-11-20</t>
        </is>
      </c>
      <c r="B853" t="n">
        <v>2648.199951171875</v>
      </c>
      <c r="C853" t="n">
        <v>94339.4921875</v>
      </c>
    </row>
    <row r="854">
      <c r="A854" t="inlineStr">
        <is>
          <t>2024-11-21</t>
        </is>
      </c>
      <c r="B854" t="n">
        <v>2672.10009765625</v>
      </c>
      <c r="C854" t="n">
        <v>98504.7265625</v>
      </c>
    </row>
    <row r="855">
      <c r="A855" t="inlineStr">
        <is>
          <t>2024-11-22</t>
        </is>
      </c>
      <c r="B855" t="n">
        <v>2709.89990234375</v>
      </c>
      <c r="C855" t="n">
        <v>98997.6640625</v>
      </c>
    </row>
    <row r="856">
      <c r="A856" t="inlineStr">
        <is>
          <t>2024-11-25</t>
        </is>
      </c>
      <c r="B856" t="n">
        <v>2616.800048828125</v>
      </c>
      <c r="C856" t="n">
        <v>93102.296875</v>
      </c>
    </row>
    <row r="857">
      <c r="A857" t="inlineStr">
        <is>
          <t>2024-11-26</t>
        </is>
      </c>
      <c r="B857" t="n">
        <v>2620.300048828125</v>
      </c>
      <c r="C857" t="n">
        <v>91985.3203125</v>
      </c>
    </row>
    <row r="858">
      <c r="A858" t="inlineStr">
        <is>
          <t>2024-11-27</t>
        </is>
      </c>
      <c r="B858" t="n">
        <v>2639.89990234375</v>
      </c>
      <c r="C858" t="n">
        <v>95962.53125</v>
      </c>
    </row>
    <row r="859">
      <c r="A859" t="inlineStr">
        <is>
          <t>2024-11-29</t>
        </is>
      </c>
      <c r="B859" t="n">
        <v>2657</v>
      </c>
      <c r="C859" t="n">
        <v>97461.5234375</v>
      </c>
    </row>
    <row r="860">
      <c r="A860" t="inlineStr">
        <is>
          <t>2024-12-02</t>
        </is>
      </c>
      <c r="B860" t="n">
        <v>2634.89990234375</v>
      </c>
      <c r="C860" t="n">
        <v>95865.3046875</v>
      </c>
    </row>
    <row r="861">
      <c r="A861" t="inlineStr">
        <is>
          <t>2024-12-03</t>
        </is>
      </c>
      <c r="B861" t="n">
        <v>2644.699951171875</v>
      </c>
      <c r="C861" t="n">
        <v>96002.1640625</v>
      </c>
    </row>
    <row r="862">
      <c r="A862" t="inlineStr">
        <is>
          <t>2024-12-04</t>
        </is>
      </c>
      <c r="B862" t="n">
        <v>2653.800048828125</v>
      </c>
      <c r="C862" t="n">
        <v>98768.53125</v>
      </c>
    </row>
    <row r="863">
      <c r="A863" t="inlineStr">
        <is>
          <t>2024-12-05</t>
        </is>
      </c>
      <c r="B863" t="n">
        <v>2626.60009765625</v>
      </c>
      <c r="C863" t="n">
        <v>96593.5703125</v>
      </c>
    </row>
    <row r="864">
      <c r="A864" t="inlineStr">
        <is>
          <t>2024-12-06</t>
        </is>
      </c>
      <c r="B864" t="n">
        <v>2638.60009765625</v>
      </c>
      <c r="C864" t="n">
        <v>99920.7109375</v>
      </c>
    </row>
    <row r="865">
      <c r="A865" t="inlineStr">
        <is>
          <t>2024-12-09</t>
        </is>
      </c>
      <c r="B865" t="n">
        <v>2664.89990234375</v>
      </c>
      <c r="C865" t="n">
        <v>97432.71875</v>
      </c>
    </row>
    <row r="866">
      <c r="A866" t="inlineStr">
        <is>
          <t>2024-12-10</t>
        </is>
      </c>
      <c r="B866" t="n">
        <v>2697.60009765625</v>
      </c>
      <c r="C866" t="n">
        <v>96675.4296875</v>
      </c>
    </row>
    <row r="867">
      <c r="A867" t="inlineStr">
        <is>
          <t>2024-12-11</t>
        </is>
      </c>
      <c r="B867" t="n">
        <v>2733.800048828125</v>
      </c>
      <c r="C867" t="n">
        <v>101173.03125</v>
      </c>
    </row>
    <row r="868">
      <c r="A868" t="inlineStr">
        <is>
          <t>2024-12-12</t>
        </is>
      </c>
      <c r="B868" t="n">
        <v>2687.5</v>
      </c>
      <c r="C868" t="n">
        <v>100043</v>
      </c>
    </row>
    <row r="869">
      <c r="A869" t="inlineStr">
        <is>
          <t>2024-12-13</t>
        </is>
      </c>
      <c r="B869" t="n">
        <v>2656</v>
      </c>
      <c r="C869" t="n">
        <v>101459.2578125</v>
      </c>
    </row>
    <row r="870">
      <c r="A870" t="inlineStr">
        <is>
          <t>2024-12-16</t>
        </is>
      </c>
      <c r="B870" t="n">
        <v>2651.39990234375</v>
      </c>
      <c r="C870" t="n">
        <v>106029.71875</v>
      </c>
    </row>
    <row r="871">
      <c r="A871" t="inlineStr">
        <is>
          <t>2024-12-17</t>
        </is>
      </c>
      <c r="B871" t="n">
        <v>2644.39990234375</v>
      </c>
      <c r="C871" t="n">
        <v>106140.6015625</v>
      </c>
    </row>
    <row r="872">
      <c r="A872" t="inlineStr">
        <is>
          <t>2024-12-18</t>
        </is>
      </c>
      <c r="B872" t="n">
        <v>2636.5</v>
      </c>
      <c r="C872" t="n">
        <v>100041.5390625</v>
      </c>
    </row>
    <row r="873">
      <c r="A873" t="inlineStr">
        <is>
          <t>2024-12-19</t>
        </is>
      </c>
      <c r="B873" t="n">
        <v>2592.199951171875</v>
      </c>
      <c r="C873" t="n">
        <v>97490.953125</v>
      </c>
    </row>
    <row r="874">
      <c r="A874" t="inlineStr">
        <is>
          <t>2024-12-20</t>
        </is>
      </c>
      <c r="B874" t="n">
        <v>2628.699951171875</v>
      </c>
      <c r="C874" t="n">
        <v>97755.9296875</v>
      </c>
    </row>
    <row r="875">
      <c r="A875" t="inlineStr">
        <is>
          <t>2024-12-23</t>
        </is>
      </c>
      <c r="B875" t="n">
        <v>2612.300048828125</v>
      </c>
      <c r="C875" t="n">
        <v>94686.2421875</v>
      </c>
    </row>
    <row r="876">
      <c r="A876" t="inlineStr">
        <is>
          <t>2024-12-24</t>
        </is>
      </c>
      <c r="B876" t="n">
        <v>2620</v>
      </c>
      <c r="C876" t="n">
        <v>98676.09375</v>
      </c>
    </row>
    <row r="877">
      <c r="A877" t="inlineStr">
        <is>
          <t>2024-12-26</t>
        </is>
      </c>
      <c r="B877" t="n">
        <v>2638.800048828125</v>
      </c>
      <c r="C877" t="n">
        <v>95795.515625</v>
      </c>
    </row>
    <row r="878">
      <c r="A878" t="inlineStr">
        <is>
          <t>2024-12-27</t>
        </is>
      </c>
      <c r="B878" t="n">
        <v>2617.199951171875</v>
      </c>
      <c r="C878" t="n">
        <v>94164.859375</v>
      </c>
    </row>
    <row r="879">
      <c r="A879" t="inlineStr">
        <is>
          <t>2024-12-30</t>
        </is>
      </c>
      <c r="B879" t="n">
        <v>2606.10009765625</v>
      </c>
      <c r="C879" t="n">
        <v>92643.2109375</v>
      </c>
    </row>
    <row r="880">
      <c r="A880" t="inlineStr">
        <is>
          <t>2024-12-31</t>
        </is>
      </c>
      <c r="B880" t="n">
        <v>2629.199951171875</v>
      </c>
      <c r="C880" t="n">
        <v>93429.203125</v>
      </c>
    </row>
    <row r="881">
      <c r="A881" t="inlineStr">
        <is>
          <t>2025-01-02</t>
        </is>
      </c>
      <c r="B881" t="n">
        <v>2658.89990234375</v>
      </c>
      <c r="C881" t="n">
        <v>96886.875</v>
      </c>
    </row>
    <row r="882">
      <c r="A882" t="inlineStr">
        <is>
          <t>2025-01-03</t>
        </is>
      </c>
      <c r="B882" t="n">
        <v>2645</v>
      </c>
      <c r="C882" t="n">
        <v>98107.4296875</v>
      </c>
    </row>
    <row r="883">
      <c r="A883" t="inlineStr">
        <is>
          <t>2025-01-06</t>
        </is>
      </c>
      <c r="B883" t="n">
        <v>2638.39990234375</v>
      </c>
      <c r="C883" t="n">
        <v>102078.0859375</v>
      </c>
    </row>
    <row r="884">
      <c r="A884" t="inlineStr">
        <is>
          <t>2025-01-07</t>
        </is>
      </c>
      <c r="B884" t="n">
        <v>2656.699951171875</v>
      </c>
      <c r="C884" t="n">
        <v>96922.703125</v>
      </c>
    </row>
    <row r="885">
      <c r="A885" t="inlineStr">
        <is>
          <t>2025-01-08</t>
        </is>
      </c>
      <c r="B885" t="n">
        <v>2664.5</v>
      </c>
      <c r="C885" t="n">
        <v>95043.5234375</v>
      </c>
    </row>
    <row r="886">
      <c r="A886" t="inlineStr">
        <is>
          <t>2025-01-09</t>
        </is>
      </c>
      <c r="B886" t="n">
        <v>2683.800048828125</v>
      </c>
      <c r="C886" t="n">
        <v>92484.0390625</v>
      </c>
    </row>
    <row r="887">
      <c r="A887" t="inlineStr">
        <is>
          <t>2025-01-10</t>
        </is>
      </c>
      <c r="B887" t="n">
        <v>2708.5</v>
      </c>
      <c r="C887" t="n">
        <v>94701.453125</v>
      </c>
    </row>
    <row r="888">
      <c r="A888" t="inlineStr">
        <is>
          <t>2025-01-13</t>
        </is>
      </c>
      <c r="B888" t="n">
        <v>2673.5</v>
      </c>
      <c r="C888" t="n">
        <v>94516.5234375</v>
      </c>
    </row>
    <row r="889">
      <c r="A889" t="inlineStr">
        <is>
          <t>2025-01-14</t>
        </is>
      </c>
      <c r="B889" t="n">
        <v>2677.5</v>
      </c>
      <c r="C889" t="n">
        <v>96534.046875</v>
      </c>
    </row>
    <row r="890">
      <c r="A890" t="inlineStr">
        <is>
          <t>2025-01-15</t>
        </is>
      </c>
      <c r="B890" t="n">
        <v>2712.5</v>
      </c>
      <c r="C890" t="n">
        <v>100504.4921875</v>
      </c>
    </row>
    <row r="891">
      <c r="A891" t="inlineStr">
        <is>
          <t>2025-01-16</t>
        </is>
      </c>
      <c r="B891" t="n">
        <v>2746.39990234375</v>
      </c>
      <c r="C891" t="n">
        <v>99756.90625</v>
      </c>
    </row>
    <row r="892">
      <c r="A892" t="inlineStr">
        <is>
          <t>2025-01-17</t>
        </is>
      </c>
      <c r="B892" t="n">
        <v>2744.300048828125</v>
      </c>
      <c r="C892" t="n">
        <v>104462.0390625</v>
      </c>
    </row>
    <row r="893">
      <c r="A893" t="inlineStr">
        <is>
          <t>2025-01-21</t>
        </is>
      </c>
      <c r="B893" t="n">
        <v>2755</v>
      </c>
      <c r="C893" t="n">
        <v>106146.265625</v>
      </c>
    </row>
    <row r="894">
      <c r="A894" t="inlineStr">
        <is>
          <t>2025-01-22</t>
        </is>
      </c>
      <c r="B894" t="n">
        <v>2767.60009765625</v>
      </c>
      <c r="C894" t="n">
        <v>103653.0703125</v>
      </c>
    </row>
    <row r="895">
      <c r="A895" t="inlineStr">
        <is>
          <t>2025-01-23</t>
        </is>
      </c>
      <c r="B895" t="n">
        <v>2763.10009765625</v>
      </c>
      <c r="C895" t="n">
        <v>103960.171875</v>
      </c>
    </row>
    <row r="896">
      <c r="A896" t="inlineStr">
        <is>
          <t>2025-01-24</t>
        </is>
      </c>
      <c r="B896" t="n">
        <v>2777.300048828125</v>
      </c>
      <c r="C896" t="n">
        <v>104819.484375</v>
      </c>
    </row>
    <row r="897">
      <c r="A897" t="inlineStr">
        <is>
          <t>2025-01-27</t>
        </is>
      </c>
      <c r="B897" t="n">
        <v>2737.5</v>
      </c>
      <c r="C897" t="n">
        <v>102087.6875</v>
      </c>
    </row>
    <row r="898">
      <c r="A898" t="inlineStr">
        <is>
          <t>2025-01-28</t>
        </is>
      </c>
      <c r="B898" t="n">
        <v>2766.800048828125</v>
      </c>
      <c r="C898" t="n">
        <v>101332.4765625</v>
      </c>
    </row>
    <row r="899">
      <c r="A899" t="inlineStr">
        <is>
          <t>2025-01-29</t>
        </is>
      </c>
      <c r="B899" t="n">
        <v>2769.10009765625</v>
      </c>
      <c r="C899" t="n">
        <v>103703.2109375</v>
      </c>
    </row>
    <row r="900">
      <c r="A900" t="inlineStr">
        <is>
          <t>2025-01-30</t>
        </is>
      </c>
      <c r="B900" t="n">
        <v>2823</v>
      </c>
      <c r="C900" t="n">
        <v>104735.3046875</v>
      </c>
    </row>
    <row r="901">
      <c r="A901" t="inlineStr">
        <is>
          <t>2025-01-31</t>
        </is>
      </c>
      <c r="B901" t="n">
        <v>2812.5</v>
      </c>
      <c r="C901" t="n">
        <v>102405.0234375</v>
      </c>
    </row>
    <row r="902">
      <c r="A902" t="inlineStr">
        <is>
          <t>2025-02-03</t>
        </is>
      </c>
      <c r="B902" t="n">
        <v>2833.89990234375</v>
      </c>
      <c r="C902" t="n">
        <v>101405.421875</v>
      </c>
    </row>
    <row r="903">
      <c r="A903" t="inlineStr">
        <is>
          <t>2025-02-04</t>
        </is>
      </c>
      <c r="B903" t="n">
        <v>2853.300048828125</v>
      </c>
      <c r="C903" t="n">
        <v>97871.8203125</v>
      </c>
    </row>
    <row r="904">
      <c r="A904" t="inlineStr">
        <is>
          <t>2025-02-05</t>
        </is>
      </c>
      <c r="B904" t="n">
        <v>2871.60009765625</v>
      </c>
      <c r="C904" t="n">
        <v>96615.4453125</v>
      </c>
    </row>
    <row r="905">
      <c r="A905" t="inlineStr">
        <is>
          <t>2025-02-06</t>
        </is>
      </c>
      <c r="B905" t="n">
        <v>2856</v>
      </c>
      <c r="C905" t="n">
        <v>96593.296875</v>
      </c>
    </row>
    <row r="906">
      <c r="A906" t="inlineStr">
        <is>
          <t>2025-02-07</t>
        </is>
      </c>
      <c r="B906" t="n">
        <v>2867.300048828125</v>
      </c>
      <c r="C906" t="n">
        <v>96529.0859375</v>
      </c>
    </row>
    <row r="907">
      <c r="A907" t="inlineStr">
        <is>
          <t>2025-02-10</t>
        </is>
      </c>
      <c r="B907" t="n">
        <v>2914.300048828125</v>
      </c>
      <c r="C907" t="n">
        <v>97437.5546875</v>
      </c>
    </row>
    <row r="908">
      <c r="A908" t="inlineStr">
        <is>
          <t>2025-02-11</t>
        </is>
      </c>
      <c r="B908" t="n">
        <v>2912.5</v>
      </c>
      <c r="C908" t="n">
        <v>95747.4296875</v>
      </c>
    </row>
    <row r="909">
      <c r="A909" t="inlineStr">
        <is>
          <t>2025-02-12</t>
        </is>
      </c>
      <c r="B909" t="n">
        <v>2909</v>
      </c>
      <c r="C909" t="n">
        <v>97885.859375</v>
      </c>
    </row>
    <row r="910">
      <c r="A910" t="inlineStr">
        <is>
          <t>2025-02-13</t>
        </is>
      </c>
      <c r="B910" t="n">
        <v>2925.89990234375</v>
      </c>
      <c r="C910" t="n">
        <v>96623.8671875</v>
      </c>
    </row>
    <row r="911">
      <c r="A911" t="inlineStr">
        <is>
          <t>2025-02-14</t>
        </is>
      </c>
      <c r="B911" t="n">
        <v>2883.60009765625</v>
      </c>
      <c r="C911" t="n">
        <v>97508.96875</v>
      </c>
    </row>
    <row r="912">
      <c r="A912" t="inlineStr">
        <is>
          <t>2025-02-18</t>
        </is>
      </c>
      <c r="B912" t="n">
        <v>2931.60009765625</v>
      </c>
      <c r="C912" t="n">
        <v>95539.546875</v>
      </c>
    </row>
    <row r="913">
      <c r="A913" t="inlineStr">
        <is>
          <t>2025-02-19</t>
        </is>
      </c>
      <c r="B913" t="n">
        <v>2919.39990234375</v>
      </c>
      <c r="C913" t="n">
        <v>96635.609375</v>
      </c>
    </row>
    <row r="914">
      <c r="A914" t="inlineStr">
        <is>
          <t>2025-02-20</t>
        </is>
      </c>
      <c r="B914" t="n">
        <v>2940</v>
      </c>
      <c r="C914" t="n">
        <v>98333.9375</v>
      </c>
    </row>
    <row r="915">
      <c r="A915" t="inlineStr">
        <is>
          <t>2025-02-21</t>
        </is>
      </c>
      <c r="B915" t="n">
        <v>2937.60009765625</v>
      </c>
      <c r="C915" t="n">
        <v>96125.546875</v>
      </c>
    </row>
    <row r="916">
      <c r="A916" t="inlineStr">
        <is>
          <t>2025-02-24</t>
        </is>
      </c>
      <c r="B916" t="n">
        <v>2947.89990234375</v>
      </c>
      <c r="C916" t="n">
        <v>91418.171875</v>
      </c>
    </row>
    <row r="917">
      <c r="A917" t="inlineStr">
        <is>
          <t>2025-02-25</t>
        </is>
      </c>
      <c r="B917" t="n">
        <v>2904.5</v>
      </c>
      <c r="C917" t="n">
        <v>88736.171875</v>
      </c>
    </row>
    <row r="918">
      <c r="A918" t="inlineStr">
        <is>
          <t>2025-02-26</t>
        </is>
      </c>
      <c r="B918" t="n">
        <v>2916.800048828125</v>
      </c>
      <c r="C918" t="n">
        <v>84347.0234375</v>
      </c>
    </row>
    <row r="919">
      <c r="A919" t="inlineStr">
        <is>
          <t>2025-02-27</t>
        </is>
      </c>
      <c r="B919" t="n">
        <v>2883.199951171875</v>
      </c>
      <c r="C919" t="n">
        <v>84704.2265625</v>
      </c>
    </row>
    <row r="920">
      <c r="A920" t="inlineStr">
        <is>
          <t>2025-02-28</t>
        </is>
      </c>
      <c r="B920" t="n">
        <v>2836.800048828125</v>
      </c>
      <c r="C920" t="n">
        <v>84373.0078125</v>
      </c>
    </row>
    <row r="921">
      <c r="A921" t="inlineStr">
        <is>
          <t>2025-03-03</t>
        </is>
      </c>
      <c r="B921" t="n">
        <v>2890.199951171875</v>
      </c>
      <c r="C921" t="n">
        <v>86065.671875</v>
      </c>
    </row>
    <row r="922">
      <c r="A922" t="inlineStr">
        <is>
          <t>2025-03-04</t>
        </is>
      </c>
      <c r="B922" t="n">
        <v>2909.60009765625</v>
      </c>
      <c r="C922" t="n">
        <v>87222.1953125</v>
      </c>
    </row>
    <row r="923">
      <c r="A923" t="inlineStr">
        <is>
          <t>2025-03-05</t>
        </is>
      </c>
      <c r="B923" t="n">
        <v>2915.300048828125</v>
      </c>
      <c r="C923" t="n">
        <v>90623.5625</v>
      </c>
    </row>
    <row r="924">
      <c r="A924" t="inlineStr">
        <is>
          <t>2025-03-06</t>
        </is>
      </c>
      <c r="B924" t="n">
        <v>2916.60009765625</v>
      </c>
      <c r="C924" t="n">
        <v>89961.7265625</v>
      </c>
    </row>
    <row r="925">
      <c r="A925" t="inlineStr">
        <is>
          <t>2025-03-07</t>
        </is>
      </c>
      <c r="B925" t="n">
        <v>2904.699951171875</v>
      </c>
      <c r="C925" t="n">
        <v>86742.671875</v>
      </c>
    </row>
    <row r="926">
      <c r="A926" t="inlineStr">
        <is>
          <t>2025-03-10</t>
        </is>
      </c>
      <c r="B926" t="n">
        <v>2891</v>
      </c>
      <c r="C926" t="n">
        <v>78532</v>
      </c>
    </row>
    <row r="927">
      <c r="A927" t="inlineStr">
        <is>
          <t>2025-03-11</t>
        </is>
      </c>
      <c r="B927" t="n">
        <v>2912.89990234375</v>
      </c>
      <c r="C927" t="n">
        <v>82862.2109375</v>
      </c>
    </row>
    <row r="928">
      <c r="A928" t="inlineStr">
        <is>
          <t>2025-03-12</t>
        </is>
      </c>
      <c r="B928" t="n">
        <v>2939.10009765625</v>
      </c>
      <c r="C928" t="n">
        <v>83722.359375</v>
      </c>
    </row>
    <row r="929">
      <c r="A929" t="inlineStr">
        <is>
          <t>2025-03-13</t>
        </is>
      </c>
      <c r="B929" t="n">
        <v>2984.300048828125</v>
      </c>
      <c r="C929" t="n">
        <v>81066.703125</v>
      </c>
    </row>
    <row r="930">
      <c r="A930" t="inlineStr">
        <is>
          <t>2025-03-14</t>
        </is>
      </c>
      <c r="B930" t="n">
        <v>2994.5</v>
      </c>
      <c r="C930" t="n">
        <v>83969.1015625</v>
      </c>
    </row>
    <row r="931">
      <c r="A931" t="inlineStr">
        <is>
          <t>2025-03-17</t>
        </is>
      </c>
      <c r="B931" t="n">
        <v>3000</v>
      </c>
      <c r="C931" t="n">
        <v>84075.6875</v>
      </c>
    </row>
    <row r="932">
      <c r="A932" t="inlineStr">
        <is>
          <t>2025-03-18</t>
        </is>
      </c>
      <c r="B932" t="n">
        <v>3035.10009765625</v>
      </c>
      <c r="C932" t="n">
        <v>82718.5</v>
      </c>
    </row>
    <row r="933">
      <c r="A933" t="inlineStr">
        <is>
          <t>2025-03-19</t>
        </is>
      </c>
      <c r="B933" t="n">
        <v>3035.89990234375</v>
      </c>
      <c r="C933" t="n">
        <v>86854.2265625</v>
      </c>
    </row>
    <row r="934">
      <c r="A934" t="inlineStr">
        <is>
          <t>2025-03-20</t>
        </is>
      </c>
      <c r="B934" t="n">
        <v>3040</v>
      </c>
      <c r="C934" t="n">
        <v>84167.1953125</v>
      </c>
    </row>
    <row r="935">
      <c r="A935" t="inlineStr">
        <is>
          <t>2025-03-21</t>
        </is>
      </c>
      <c r="B935" t="n">
        <v>3018.199951171875</v>
      </c>
      <c r="C935" t="n">
        <v>84043.2421875</v>
      </c>
    </row>
    <row r="936">
      <c r="A936" t="inlineStr">
        <is>
          <t>2025-03-24</t>
        </is>
      </c>
      <c r="B936" t="n">
        <v>3013.10009765625</v>
      </c>
      <c r="C936" t="n">
        <v>87498.9140625</v>
      </c>
    </row>
    <row r="937">
      <c r="A937" t="inlineStr">
        <is>
          <t>2025-03-25</t>
        </is>
      </c>
      <c r="B937" t="n">
        <v>3023.699951171875</v>
      </c>
      <c r="C937" t="n">
        <v>87471.703125</v>
      </c>
    </row>
    <row r="938">
      <c r="A938" t="inlineStr">
        <is>
          <t>2025-03-26</t>
        </is>
      </c>
      <c r="B938" t="n">
        <v>3020.89990234375</v>
      </c>
      <c r="C938" t="n">
        <v>86900.8828125</v>
      </c>
    </row>
    <row r="939">
      <c r="A939" t="inlineStr">
        <is>
          <t>2025-03-27</t>
        </is>
      </c>
      <c r="B939" t="n">
        <v>3060.199951171875</v>
      </c>
      <c r="C939" t="n">
        <v>87177.1015625</v>
      </c>
    </row>
    <row r="940">
      <c r="A940" t="inlineStr">
        <is>
          <t>2025-03-28</t>
        </is>
      </c>
      <c r="B940" t="n">
        <v>3086.5</v>
      </c>
      <c r="C940" t="n">
        <v>84353.1484375</v>
      </c>
    </row>
    <row r="941">
      <c r="A941" t="inlineStr">
        <is>
          <t>2025-03-31</t>
        </is>
      </c>
      <c r="B941" t="n">
        <v>3122.800048828125</v>
      </c>
      <c r="C941" t="n">
        <v>82548.9140625</v>
      </c>
    </row>
    <row r="942">
      <c r="A942" t="inlineStr">
        <is>
          <t>2025-04-01</t>
        </is>
      </c>
      <c r="B942" t="n">
        <v>3118.89990234375</v>
      </c>
      <c r="C942" t="n">
        <v>85169.171875</v>
      </c>
    </row>
    <row r="943">
      <c r="A943" t="inlineStr">
        <is>
          <t>2025-04-02</t>
        </is>
      </c>
      <c r="B943" t="n">
        <v>3139.89990234375</v>
      </c>
      <c r="C943" t="n">
        <v>82485.7109375</v>
      </c>
    </row>
    <row r="944">
      <c r="A944" t="inlineStr">
        <is>
          <t>2025-04-03</t>
        </is>
      </c>
      <c r="B944" t="n">
        <v>3097</v>
      </c>
      <c r="C944" t="n">
        <v>83102.828125</v>
      </c>
    </row>
    <row r="945">
      <c r="A945" t="inlineStr">
        <is>
          <t>2025-04-04</t>
        </is>
      </c>
      <c r="B945" t="n">
        <v>3012</v>
      </c>
      <c r="C945" t="n">
        <v>83843.8046875</v>
      </c>
    </row>
    <row r="946">
      <c r="A946" t="inlineStr">
        <is>
          <t>2025-04-07</t>
        </is>
      </c>
      <c r="B946" t="n">
        <v>2951.300048828125</v>
      </c>
      <c r="C946" t="n">
        <v>79235.3359375</v>
      </c>
    </row>
    <row r="947">
      <c r="A947" t="inlineStr">
        <is>
          <t>2025-04-08</t>
        </is>
      </c>
      <c r="B947" t="n">
        <v>2968.39990234375</v>
      </c>
      <c r="C947" t="n">
        <v>76271.953125</v>
      </c>
    </row>
    <row r="948">
      <c r="A948" t="inlineStr">
        <is>
          <t>2025-04-09</t>
        </is>
      </c>
      <c r="B948" t="n">
        <v>3056.5</v>
      </c>
      <c r="C948" t="n">
        <v>82573.953125</v>
      </c>
    </row>
    <row r="949">
      <c r="A949" t="inlineStr">
        <is>
          <t>2025-04-10</t>
        </is>
      </c>
      <c r="B949" t="n">
        <v>3155.199951171875</v>
      </c>
      <c r="C949" t="n">
        <v>79626.140625</v>
      </c>
    </row>
    <row r="950">
      <c r="A950" t="inlineStr">
        <is>
          <t>2025-04-11</t>
        </is>
      </c>
      <c r="B950" t="n">
        <v>3222.199951171875</v>
      </c>
      <c r="C950" t="n">
        <v>83404.8359375</v>
      </c>
    </row>
    <row r="951">
      <c r="A951" t="inlineStr">
        <is>
          <t>2025-04-14</t>
        </is>
      </c>
      <c r="B951" t="n">
        <v>3204.800048828125</v>
      </c>
      <c r="C951" t="n">
        <v>84542.390625</v>
      </c>
    </row>
    <row r="952">
      <c r="A952" t="inlineStr">
        <is>
          <t>2025-04-15</t>
        </is>
      </c>
      <c r="B952" t="n">
        <v>3218.699951171875</v>
      </c>
      <c r="C952" t="n">
        <v>83668.9921875</v>
      </c>
    </row>
    <row r="953">
      <c r="A953" t="inlineStr">
        <is>
          <t>2025-04-16</t>
        </is>
      </c>
      <c r="B953" t="n">
        <v>3326.60009765625</v>
      </c>
      <c r="C953" t="n">
        <v>84033.8671875</v>
      </c>
    </row>
    <row r="954">
      <c r="A954" t="inlineStr">
        <is>
          <t>2025-04-17</t>
        </is>
      </c>
      <c r="B954" t="n">
        <v>3308.699951171875</v>
      </c>
      <c r="C954" t="n">
        <v>84895.75</v>
      </c>
    </row>
    <row r="955">
      <c r="A955" t="inlineStr">
        <is>
          <t>2025-04-21</t>
        </is>
      </c>
      <c r="B955" t="n">
        <v>3406.199951171875</v>
      </c>
      <c r="C955" t="n">
        <v>87518.90625</v>
      </c>
    </row>
    <row r="956">
      <c r="A956" t="inlineStr">
        <is>
          <t>2025-04-22</t>
        </is>
      </c>
      <c r="B956" t="n">
        <v>3400.800048828125</v>
      </c>
      <c r="C956" t="n">
        <v>93441.890625</v>
      </c>
    </row>
    <row r="957">
      <c r="A957" t="inlineStr">
        <is>
          <t>2025-04-23</t>
        </is>
      </c>
      <c r="B957" t="n">
        <v>3276.300048828125</v>
      </c>
      <c r="C957" t="n">
        <v>93699.109375</v>
      </c>
    </row>
    <row r="958">
      <c r="A958" t="inlineStr">
        <is>
          <t>2025-04-24</t>
        </is>
      </c>
      <c r="B958" t="n">
        <v>3332</v>
      </c>
      <c r="C958" t="n">
        <v>93943.796875</v>
      </c>
    </row>
    <row r="959">
      <c r="A959" t="inlineStr">
        <is>
          <t>2025-04-25</t>
        </is>
      </c>
      <c r="B959" t="n">
        <v>3282.39990234375</v>
      </c>
      <c r="C959" t="n">
        <v>94720.5</v>
      </c>
    </row>
    <row r="960">
      <c r="A960" t="inlineStr">
        <is>
          <t>2025-04-28</t>
        </is>
      </c>
      <c r="B960" t="n">
        <v>3332.5</v>
      </c>
      <c r="C960" t="n">
        <v>94978.75</v>
      </c>
    </row>
    <row r="961">
      <c r="A961" t="inlineStr">
        <is>
          <t>2025-04-29</t>
        </is>
      </c>
      <c r="B961" t="n">
        <v>3318.800048828125</v>
      </c>
      <c r="C961" t="n">
        <v>94284.7890625</v>
      </c>
    </row>
    <row r="962">
      <c r="A962" t="inlineStr">
        <is>
          <t>2025-04-30</t>
        </is>
      </c>
      <c r="B962" t="n">
        <v>3305</v>
      </c>
      <c r="C962" t="n">
        <v>94207.3125</v>
      </c>
    </row>
    <row r="963">
      <c r="A963" t="inlineStr">
        <is>
          <t>2025-05-01</t>
        </is>
      </c>
      <c r="B963" t="n">
        <v>3210</v>
      </c>
      <c r="C963" t="n">
        <v>96492.3359375</v>
      </c>
    </row>
    <row r="964">
      <c r="A964" t="inlineStr">
        <is>
          <t>2025-05-02</t>
        </is>
      </c>
      <c r="B964" t="n">
        <v>3231.89990234375</v>
      </c>
      <c r="C964" t="n">
        <v>96910.0703125</v>
      </c>
    </row>
    <row r="965">
      <c r="A965" t="inlineStr">
        <is>
          <t>2025-05-05</t>
        </is>
      </c>
      <c r="B965" t="n">
        <v>3311.300048828125</v>
      </c>
      <c r="C965" t="n">
        <v>94748.0546875</v>
      </c>
    </row>
    <row r="966">
      <c r="A966" t="inlineStr">
        <is>
          <t>2025-05-06</t>
        </is>
      </c>
      <c r="B966" t="n">
        <v>3411.39990234375</v>
      </c>
      <c r="C966" t="n">
        <v>96802.4765625</v>
      </c>
    </row>
    <row r="967">
      <c r="A967" t="inlineStr">
        <is>
          <t>2025-05-07</t>
        </is>
      </c>
      <c r="B967" t="n">
        <v>3381.39990234375</v>
      </c>
      <c r="C967" t="n">
        <v>97032.3203125</v>
      </c>
    </row>
    <row r="968">
      <c r="A968" t="inlineStr">
        <is>
          <t>2025-05-08</t>
        </is>
      </c>
      <c r="B968" t="n">
        <v>3296.60009765625</v>
      </c>
      <c r="C968" t="n">
        <v>103241.4609375</v>
      </c>
    </row>
    <row r="969">
      <c r="A969" t="inlineStr">
        <is>
          <t>2025-05-09</t>
        </is>
      </c>
      <c r="B969" t="n">
        <v>3335.39990234375</v>
      </c>
      <c r="C969" t="n">
        <v>102970.8515625</v>
      </c>
    </row>
    <row r="970">
      <c r="A970" t="inlineStr">
        <is>
          <t>2025-05-12</t>
        </is>
      </c>
      <c r="B970" t="n">
        <v>3220</v>
      </c>
      <c r="C970" t="n">
        <v>102812.953125</v>
      </c>
    </row>
    <row r="971">
      <c r="A971" t="inlineStr">
        <is>
          <t>2025-05-13</t>
        </is>
      </c>
      <c r="B971" t="n">
        <v>3240.300048828125</v>
      </c>
      <c r="C971" t="n">
        <v>104169.8125</v>
      </c>
    </row>
    <row r="972">
      <c r="A972" t="inlineStr">
        <is>
          <t>2025-05-14</t>
        </is>
      </c>
      <c r="B972" t="n">
        <v>3181.39990234375</v>
      </c>
      <c r="C972" t="n">
        <v>103539.4140625</v>
      </c>
    </row>
    <row r="973">
      <c r="A973" t="inlineStr">
        <is>
          <t>2025-05-15</t>
        </is>
      </c>
      <c r="B973" t="n">
        <v>3220.699951171875</v>
      </c>
      <c r="C973" t="n">
        <v>103744.640625</v>
      </c>
    </row>
    <row r="974">
      <c r="A974" t="inlineStr">
        <is>
          <t>2025-05-16</t>
        </is>
      </c>
      <c r="B974" t="n">
        <v>3182</v>
      </c>
      <c r="C974" t="n">
        <v>103489.2890625</v>
      </c>
    </row>
    <row r="975">
      <c r="A975" t="inlineStr">
        <is>
          <t>2025-05-19</t>
        </is>
      </c>
      <c r="B975" t="n">
        <v>3228.89990234375</v>
      </c>
      <c r="C975" t="n">
        <v>105606.1796875</v>
      </c>
    </row>
    <row r="976">
      <c r="A976" t="inlineStr">
        <is>
          <t>2025-05-20</t>
        </is>
      </c>
      <c r="B976" t="n">
        <v>3280.300048828125</v>
      </c>
      <c r="C976" t="n">
        <v>106791.0859375</v>
      </c>
    </row>
    <row r="977">
      <c r="A977" t="inlineStr">
        <is>
          <t>2025-05-21</t>
        </is>
      </c>
      <c r="B977" t="n">
        <v>3309.300048828125</v>
      </c>
      <c r="C977" t="n">
        <v>109678.078125</v>
      </c>
    </row>
    <row r="978">
      <c r="A978" t="inlineStr">
        <is>
          <t>2025-05-22</t>
        </is>
      </c>
      <c r="B978" t="n">
        <v>3292.300048828125</v>
      </c>
      <c r="C978" t="n">
        <v>111673.28125</v>
      </c>
    </row>
    <row r="979">
      <c r="A979" t="inlineStr">
        <is>
          <t>2025-05-23</t>
        </is>
      </c>
      <c r="B979" t="n">
        <v>3363.60009765625</v>
      </c>
      <c r="C979" t="n">
        <v>107287.796875</v>
      </c>
    </row>
    <row r="980">
      <c r="A980" t="inlineStr">
        <is>
          <t>2025-05-27</t>
        </is>
      </c>
      <c r="B980" t="n">
        <v>3299.10009765625</v>
      </c>
      <c r="C980" t="n">
        <v>108994.640625</v>
      </c>
    </row>
    <row r="981">
      <c r="A981" t="inlineStr">
        <is>
          <t>2025-05-28</t>
        </is>
      </c>
      <c r="B981" t="n">
        <v>3293.60009765625</v>
      </c>
      <c r="C981" t="n">
        <v>107802.328125</v>
      </c>
    </row>
    <row r="982">
      <c r="A982" t="inlineStr">
        <is>
          <t>2025-05-29</t>
        </is>
      </c>
      <c r="B982" t="n">
        <v>3317.10009765625</v>
      </c>
      <c r="C982" t="n">
        <v>105641.7578125</v>
      </c>
    </row>
    <row r="983">
      <c r="A983" t="inlineStr">
        <is>
          <t>2025-05-30</t>
        </is>
      </c>
      <c r="B983" t="n">
        <v>3288.89990234375</v>
      </c>
      <c r="C983" t="n">
        <v>103998.5703125</v>
      </c>
    </row>
    <row r="984">
      <c r="A984" t="inlineStr">
        <is>
          <t>2025-06-02</t>
        </is>
      </c>
      <c r="B984" t="n">
        <v>3370.60009765625</v>
      </c>
      <c r="C984" t="n">
        <v>105881.53125</v>
      </c>
    </row>
    <row r="985">
      <c r="A985" t="inlineStr">
        <is>
          <t>2025-06-03</t>
        </is>
      </c>
      <c r="B985" t="n">
        <v>3350.199951171875</v>
      </c>
      <c r="C985" t="n">
        <v>105432.46875</v>
      </c>
    </row>
    <row r="986">
      <c r="A986" t="inlineStr">
        <is>
          <t>2025-06-04</t>
        </is>
      </c>
      <c r="B986" t="n">
        <v>3373.5</v>
      </c>
      <c r="C986" t="n">
        <v>104731.984375</v>
      </c>
    </row>
    <row r="987">
      <c r="A987" t="inlineStr">
        <is>
          <t>2025-06-05</t>
        </is>
      </c>
      <c r="B987" t="n">
        <v>3350.699951171875</v>
      </c>
      <c r="C987" t="n">
        <v>101575.953125</v>
      </c>
    </row>
    <row r="988">
      <c r="A988" t="inlineStr">
        <is>
          <t>2025-06-06</t>
        </is>
      </c>
      <c r="B988" t="n">
        <v>3322.699951171875</v>
      </c>
      <c r="C988" t="n">
        <v>104390.34375</v>
      </c>
    </row>
    <row r="989">
      <c r="A989" t="inlineStr">
        <is>
          <t>2025-06-09</t>
        </is>
      </c>
      <c r="B989" t="n">
        <v>3332.10009765625</v>
      </c>
      <c r="C989" t="n">
        <v>110294.1015625</v>
      </c>
    </row>
    <row r="990">
      <c r="A990" t="inlineStr">
        <is>
          <t>2025-06-10</t>
        </is>
      </c>
      <c r="B990" t="n">
        <v>3320.89990234375</v>
      </c>
      <c r="C990" t="n">
        <v>110257.234375</v>
      </c>
    </row>
    <row r="991">
      <c r="A991" t="inlineStr">
        <is>
          <t>2025-06-11</t>
        </is>
      </c>
      <c r="B991" t="n">
        <v>3321.300048828125</v>
      </c>
      <c r="C991" t="n">
        <v>108686.625</v>
      </c>
    </row>
    <row r="992">
      <c r="A992" t="inlineStr">
        <is>
          <t>2025-06-12</t>
        </is>
      </c>
      <c r="B992" t="n">
        <v>3380.89990234375</v>
      </c>
      <c r="C992" t="n">
        <v>105929.0546875</v>
      </c>
    </row>
    <row r="993">
      <c r="A993" t="inlineStr">
        <is>
          <t>2025-06-13</t>
        </is>
      </c>
      <c r="B993" t="n">
        <v>3431.199951171875</v>
      </c>
      <c r="C993" t="n">
        <v>106090.96875</v>
      </c>
    </row>
    <row r="994">
      <c r="A994" t="inlineStr">
        <is>
          <t>2025-06-16</t>
        </is>
      </c>
      <c r="B994" t="n">
        <v>3396.39990234375</v>
      </c>
      <c r="C994" t="n">
        <v>106796.7578125</v>
      </c>
    </row>
    <row r="995">
      <c r="A995" t="inlineStr">
        <is>
          <t>2025-06-17</t>
        </is>
      </c>
      <c r="B995" t="n">
        <v>3386.60009765625</v>
      </c>
      <c r="C995" t="n">
        <v>104601.1171875</v>
      </c>
    </row>
    <row r="996">
      <c r="A996" t="inlineStr">
        <is>
          <t>2025-06-18</t>
        </is>
      </c>
      <c r="B996" t="n">
        <v>3389.800048828125</v>
      </c>
      <c r="C996" t="n">
        <v>104883.328125</v>
      </c>
    </row>
    <row r="997">
      <c r="A997" t="inlineStr">
        <is>
          <t>2025-06-20</t>
        </is>
      </c>
      <c r="B997" t="n">
        <v>3368.10009765625</v>
      </c>
      <c r="C997" t="n">
        <v>103309.6015625</v>
      </c>
    </row>
    <row r="998">
      <c r="A998" t="inlineStr">
        <is>
          <t>2025-06-23</t>
        </is>
      </c>
      <c r="B998" t="n">
        <v>3377.699951171875</v>
      </c>
      <c r="C998" t="n">
        <v>105577.7734375</v>
      </c>
    </row>
    <row r="999">
      <c r="A999" t="inlineStr">
        <is>
          <t>2025-06-24</t>
        </is>
      </c>
      <c r="B999" t="n">
        <v>3317.39990234375</v>
      </c>
      <c r="C999" t="n">
        <v>106045.6328125</v>
      </c>
    </row>
    <row r="1000">
      <c r="A1000" t="inlineStr">
        <is>
          <t>2025-06-25</t>
        </is>
      </c>
      <c r="B1000" t="n">
        <v>3327.10009765625</v>
      </c>
      <c r="C1000" t="n">
        <v>107361.2578125</v>
      </c>
    </row>
    <row r="1001">
      <c r="A1001" t="inlineStr">
        <is>
          <t>2025-06-26</t>
        </is>
      </c>
      <c r="B1001" t="n">
        <v>3333.5</v>
      </c>
      <c r="C1001" t="n">
        <v>106960</v>
      </c>
    </row>
    <row r="1002">
      <c r="A1002" t="inlineStr">
        <is>
          <t>2025-06-27</t>
        </is>
      </c>
      <c r="B1002" t="n">
        <v>3273.699951171875</v>
      </c>
      <c r="C1002" t="n">
        <v>107088.4296875</v>
      </c>
    </row>
    <row r="1003">
      <c r="A1003" t="inlineStr">
        <is>
          <t>2025-06-30</t>
        </is>
      </c>
      <c r="B1003" t="n">
        <v>3294.39990234375</v>
      </c>
      <c r="C1003" t="n">
        <v>107135.3359375</v>
      </c>
    </row>
    <row r="1004">
      <c r="A1004" t="inlineStr">
        <is>
          <t>2025-07-01</t>
        </is>
      </c>
      <c r="B1004" t="n">
        <v>3336.699951171875</v>
      </c>
      <c r="C1004" t="n">
        <v>105698.28125</v>
      </c>
    </row>
    <row r="1005">
      <c r="A1005" t="inlineStr">
        <is>
          <t>2025-07-02</t>
        </is>
      </c>
      <c r="B1005" t="n">
        <v>3348</v>
      </c>
      <c r="C1005" t="n">
        <v>108859.3203125</v>
      </c>
    </row>
    <row r="1006">
      <c r="A1006" t="inlineStr">
        <is>
          <t>2025-07-03</t>
        </is>
      </c>
      <c r="B1006" t="n">
        <v>3331.60009765625</v>
      </c>
      <c r="C1006" t="n">
        <v>109647.9765625</v>
      </c>
    </row>
    <row r="1007">
      <c r="A1007" t="inlineStr">
        <is>
          <t>2025-07-04</t>
        </is>
      </c>
      <c r="B1007" t="n">
        <v>3332.5</v>
      </c>
      <c r="C1007" t="n">
        <v>108034.3359375</v>
      </c>
    </row>
    <row r="1008">
      <c r="A1008" t="inlineStr">
        <is>
          <t>2025-07-07</t>
        </is>
      </c>
      <c r="B1008" t="n">
        <v>3332.199951171875</v>
      </c>
      <c r="C1008" t="n">
        <v>108299.8515625</v>
      </c>
    </row>
    <row r="1009">
      <c r="A1009" t="inlineStr">
        <is>
          <t>2025-07-08</t>
        </is>
      </c>
      <c r="B1009" t="n">
        <v>3307</v>
      </c>
      <c r="C1009" t="n">
        <v>108950.2734375</v>
      </c>
    </row>
    <row r="1010">
      <c r="A1010" t="inlineStr">
        <is>
          <t>2025-07-09</t>
        </is>
      </c>
      <c r="B1010" t="n">
        <v>3311.60009765625</v>
      </c>
      <c r="C1010" t="n">
        <v>111326.5546875</v>
      </c>
    </row>
    <row r="1011">
      <c r="A1011" t="inlineStr">
        <is>
          <t>2025-07-10</t>
        </is>
      </c>
      <c r="B1011" t="n">
        <v>3317.39990234375</v>
      </c>
      <c r="C1011" t="n">
        <v>115987.203125</v>
      </c>
    </row>
    <row r="1012">
      <c r="A1012" t="inlineStr">
        <is>
          <t>2025-07-11</t>
        </is>
      </c>
      <c r="B1012" t="n">
        <v>3356</v>
      </c>
      <c r="C1012" t="n">
        <v>117516.9921875</v>
      </c>
    </row>
    <row r="1013">
      <c r="A1013" t="inlineStr">
        <is>
          <t>2025-07-14</t>
        </is>
      </c>
      <c r="B1013" t="n">
        <v>3351.5</v>
      </c>
      <c r="C1013" t="n">
        <v>119849.703125</v>
      </c>
    </row>
    <row r="1014">
      <c r="A1014" t="inlineStr">
        <is>
          <t>2025-07-15</t>
        </is>
      </c>
      <c r="B1014" t="n">
        <v>3329.800048828125</v>
      </c>
      <c r="C1014" t="n">
        <v>117777.1875</v>
      </c>
    </row>
    <row r="1015">
      <c r="A1015" t="inlineStr">
        <is>
          <t>2025-07-16</t>
        </is>
      </c>
      <c r="B1015" t="n">
        <v>3352.5</v>
      </c>
      <c r="C1015" t="n">
        <v>118738.5078125</v>
      </c>
    </row>
    <row r="1016">
      <c r="A1016" t="inlineStr">
        <is>
          <t>2025-07-17</t>
        </is>
      </c>
      <c r="B1016" t="n">
        <v>3340.10009765625</v>
      </c>
      <c r="C1016" t="n">
        <v>119289.84375</v>
      </c>
    </row>
    <row r="1017">
      <c r="A1017" t="inlineStr">
        <is>
          <t>2025-07-18</t>
        </is>
      </c>
      <c r="B1017" t="n">
        <v>3353</v>
      </c>
      <c r="C1017" t="n">
        <v>118003.2265625</v>
      </c>
    </row>
    <row r="1018">
      <c r="A1018" t="inlineStr">
        <is>
          <t>2025-07-21</t>
        </is>
      </c>
      <c r="B1018" t="n">
        <v>3401.89990234375</v>
      </c>
      <c r="C1018" t="n">
        <v>117439.5390625</v>
      </c>
    </row>
    <row r="1019">
      <c r="A1019" t="inlineStr">
        <is>
          <t>2025-07-22</t>
        </is>
      </c>
      <c r="B1019" t="n">
        <v>3439.199951171875</v>
      </c>
      <c r="C1019" t="n">
        <v>119995.4140625</v>
      </c>
    </row>
    <row r="1020">
      <c r="A1020" t="inlineStr">
        <is>
          <t>2025-07-23</t>
        </is>
      </c>
      <c r="B1020" t="n">
        <v>3394.10009765625</v>
      </c>
      <c r="C1020" t="n">
        <v>118754.9609375</v>
      </c>
    </row>
    <row r="1021">
      <c r="A1021" t="inlineStr">
        <is>
          <t>2025-07-24</t>
        </is>
      </c>
      <c r="B1021" t="n">
        <v>3371</v>
      </c>
      <c r="C1021" t="n">
        <v>118368</v>
      </c>
    </row>
    <row r="1022">
      <c r="A1022" t="inlineStr">
        <is>
          <t>2025-07-25</t>
        </is>
      </c>
      <c r="B1022" t="n">
        <v>3334</v>
      </c>
      <c r="C1022" t="n">
        <v>117635.8828125</v>
      </c>
    </row>
    <row r="1023">
      <c r="A1023" t="inlineStr">
        <is>
          <t>2025-07-28</t>
        </is>
      </c>
      <c r="B1023" t="n">
        <v>3309.10009765625</v>
      </c>
      <c r="C1023" t="n">
        <v>117924.4765625</v>
      </c>
    </row>
    <row r="1024">
      <c r="A1024" t="inlineStr">
        <is>
          <t>2025-07-29</t>
        </is>
      </c>
      <c r="B1024" t="n">
        <v>3323.39990234375</v>
      </c>
      <c r="C1024" t="n">
        <v>117922.1484375</v>
      </c>
    </row>
    <row r="1025">
      <c r="A1025" t="inlineStr">
        <is>
          <t>2025-07-30</t>
        </is>
      </c>
      <c r="B1025" t="n">
        <v>3295.800048828125</v>
      </c>
      <c r="C1025" t="n">
        <v>117831.1875</v>
      </c>
    </row>
    <row r="1026">
      <c r="A1026" t="inlineStr">
        <is>
          <t>2025-07-31</t>
        </is>
      </c>
      <c r="B1026" t="n">
        <v>3293.199951171875</v>
      </c>
      <c r="C1026" t="n">
        <v>115758.203125</v>
      </c>
    </row>
    <row r="1027">
      <c r="A1027" t="inlineStr">
        <is>
          <t>2025-08-01</t>
        </is>
      </c>
      <c r="B1027" t="n">
        <v>3347.699951171875</v>
      </c>
      <c r="C1027" t="n">
        <v>113320.0859375</v>
      </c>
    </row>
    <row r="1028">
      <c r="A1028" t="inlineStr">
        <is>
          <t>2025-08-04</t>
        </is>
      </c>
      <c r="B1028" t="n">
        <v>3374.39990234375</v>
      </c>
      <c r="C1028" t="n">
        <v>115071.8828125</v>
      </c>
    </row>
    <row r="1029">
      <c r="A1029" t="inlineStr">
        <is>
          <t>2025-08-05</t>
        </is>
      </c>
      <c r="B1029" t="n">
        <v>3381.89990234375</v>
      </c>
      <c r="C1029" t="n">
        <v>114141.4453125</v>
      </c>
    </row>
    <row r="1030">
      <c r="A1030" t="inlineStr">
        <is>
          <t>2025-08-06</t>
        </is>
      </c>
      <c r="B1030" t="n">
        <v>3380</v>
      </c>
      <c r="C1030" t="n">
        <v>115028</v>
      </c>
    </row>
    <row r="1031">
      <c r="A1031" t="inlineStr">
        <is>
          <t>2025-08-07</t>
        </is>
      </c>
      <c r="B1031" t="n">
        <v>3400.300048828125</v>
      </c>
      <c r="C1031" t="n">
        <v>117496.8984375</v>
      </c>
    </row>
    <row r="1032">
      <c r="A1032" t="inlineStr">
        <is>
          <t>2025-08-08</t>
        </is>
      </c>
      <c r="B1032" t="n">
        <v>3439.10009765625</v>
      </c>
      <c r="C1032" t="n">
        <v>116688.7265625</v>
      </c>
    </row>
    <row r="1033">
      <c r="A1033" t="inlineStr">
        <is>
          <t>2025-08-11</t>
        </is>
      </c>
      <c r="B1033" t="n">
        <v>3353.10009765625</v>
      </c>
      <c r="C1033" t="n">
        <v>118731.4453125</v>
      </c>
    </row>
    <row r="1034">
      <c r="A1034" t="inlineStr">
        <is>
          <t>2025-08-12</t>
        </is>
      </c>
      <c r="B1034" t="n">
        <v>3348.89990234375</v>
      </c>
      <c r="C1034" t="n">
        <v>120172.90625</v>
      </c>
    </row>
    <row r="1035">
      <c r="A1035" t="inlineStr">
        <is>
          <t>2025-08-13</t>
        </is>
      </c>
      <c r="B1035" t="n">
        <v>3358.699951171875</v>
      </c>
      <c r="C1035" t="n">
        <v>123344.0625</v>
      </c>
    </row>
    <row r="1036">
      <c r="A1036" t="inlineStr">
        <is>
          <t>2025-08-14</t>
        </is>
      </c>
      <c r="B1036" t="n">
        <v>3335.199951171875</v>
      </c>
      <c r="C1036" t="n">
        <v>118359.578125</v>
      </c>
    </row>
    <row r="1037">
      <c r="A1037" t="inlineStr">
        <is>
          <t>2025-08-15</t>
        </is>
      </c>
      <c r="B1037" t="n">
        <v>3336</v>
      </c>
      <c r="C1037" t="n">
        <v>117398.3515625</v>
      </c>
    </row>
    <row r="1038">
      <c r="A1038" t="inlineStr">
        <is>
          <t>2025-08-18</t>
        </is>
      </c>
      <c r="B1038" t="n">
        <v>3331.699951171875</v>
      </c>
      <c r="C1038" t="n">
        <v>116252.3125</v>
      </c>
    </row>
    <row r="1039">
      <c r="A1039" t="inlineStr">
        <is>
          <t>2025-08-19</t>
        </is>
      </c>
      <c r="B1039" t="n">
        <v>3313.39990234375</v>
      </c>
      <c r="C1039" t="n">
        <v>112831.1796875</v>
      </c>
    </row>
    <row r="1040">
      <c r="A1040" t="inlineStr">
        <is>
          <t>2025-08-20</t>
        </is>
      </c>
      <c r="B1040" t="n">
        <v>3343.39990234375</v>
      </c>
      <c r="C1040" t="n">
        <v>114274.7421875</v>
      </c>
    </row>
    <row r="1041">
      <c r="A1041" t="inlineStr">
        <is>
          <t>2025-08-21</t>
        </is>
      </c>
      <c r="B1041" t="n">
        <v>3336.89990234375</v>
      </c>
      <c r="C1041" t="n">
        <v>112419.03125</v>
      </c>
    </row>
    <row r="1042">
      <c r="A1042" t="inlineStr">
        <is>
          <t>2025-08-22</t>
        </is>
      </c>
      <c r="B1042" t="n">
        <v>3374.39990234375</v>
      </c>
      <c r="C1042" t="n">
        <v>116874.0859375</v>
      </c>
    </row>
    <row r="1043">
      <c r="A1043" t="inlineStr">
        <is>
          <t>2025-08-25</t>
        </is>
      </c>
      <c r="B1043" t="n">
        <v>3373.800048828125</v>
      </c>
      <c r="C1043" t="n">
        <v>110124.3515625</v>
      </c>
    </row>
    <row r="1044">
      <c r="A1044" t="inlineStr">
        <is>
          <t>2025-08-26</t>
        </is>
      </c>
      <c r="B1044" t="n">
        <v>3388.60009765625</v>
      </c>
      <c r="C1044" t="n">
        <v>111802.65625</v>
      </c>
    </row>
    <row r="1045">
      <c r="A1045" t="inlineStr">
        <is>
          <t>2025-08-27</t>
        </is>
      </c>
      <c r="B1045" t="n">
        <v>3404.60009765625</v>
      </c>
      <c r="C1045" t="n">
        <v>111222.0625</v>
      </c>
    </row>
    <row r="1046">
      <c r="A1046" t="inlineStr">
        <is>
          <t>2025-08-28</t>
        </is>
      </c>
      <c r="B1046" t="n">
        <v>3431.800048828125</v>
      </c>
      <c r="C1046" t="n">
        <v>112544.8046875</v>
      </c>
    </row>
    <row r="1047">
      <c r="A1047" t="inlineStr">
        <is>
          <t>2025-08-29</t>
        </is>
      </c>
      <c r="B1047" t="n">
        <v>3473.699951171875</v>
      </c>
      <c r="C1047" t="n">
        <v>108410.8359375</v>
      </c>
    </row>
    <row r="1048">
      <c r="A1048" t="inlineStr">
        <is>
          <t>2025-09-02</t>
        </is>
      </c>
      <c r="B1048" t="n">
        <v>3549.39990234375</v>
      </c>
      <c r="C1048" t="n">
        <v>111200.5859375</v>
      </c>
    </row>
    <row r="1049">
      <c r="A1049" t="inlineStr">
        <is>
          <t>2025-09-03</t>
        </is>
      </c>
      <c r="B1049" t="n">
        <v>3593.199951171875</v>
      </c>
      <c r="C1049" t="n">
        <v>111723.2109375</v>
      </c>
    </row>
    <row r="1050">
      <c r="A1050" t="inlineStr">
        <is>
          <t>2025-09-04</t>
        </is>
      </c>
      <c r="B1050" t="n">
        <v>3565.800048828125</v>
      </c>
      <c r="C1050" t="n">
        <v>110723.6015625</v>
      </c>
    </row>
    <row r="1051">
      <c r="A1051" t="inlineStr">
        <is>
          <t>2025-09-05</t>
        </is>
      </c>
      <c r="B1051" t="n">
        <v>3613.199951171875</v>
      </c>
      <c r="C1051" t="n">
        <v>110650.984375</v>
      </c>
    </row>
    <row r="1052">
      <c r="A1052" t="inlineStr">
        <is>
          <t>2025-09-08</t>
        </is>
      </c>
      <c r="B1052" t="n">
        <v>3638.10009765625</v>
      </c>
      <c r="C1052" t="n">
        <v>112071.4296875</v>
      </c>
    </row>
    <row r="1053">
      <c r="A1053" t="inlineStr">
        <is>
          <t>2025-09-09</t>
        </is>
      </c>
      <c r="B1053" t="n">
        <v>3643.300048828125</v>
      </c>
      <c r="C1053" t="n">
        <v>111530.546875</v>
      </c>
    </row>
    <row r="1054">
      <c r="A1054" t="inlineStr">
        <is>
          <t>2025-09-10</t>
        </is>
      </c>
      <c r="B1054" t="n">
        <v>3643.60009765625</v>
      </c>
      <c r="C1054" t="n">
        <v>113955.359375</v>
      </c>
    </row>
    <row r="1055">
      <c r="A1055" t="inlineStr">
        <is>
          <t>2025-09-11</t>
        </is>
      </c>
      <c r="B1055" t="n">
        <v>3636.89990234375</v>
      </c>
      <c r="C1055" t="n">
        <v>115507.5390625</v>
      </c>
    </row>
    <row r="1056">
      <c r="A1056" t="inlineStr">
        <is>
          <t>2025-09-12</t>
        </is>
      </c>
      <c r="B1056" t="n">
        <v>3649.39990234375</v>
      </c>
      <c r="C1056" t="n">
        <v>116101.578125</v>
      </c>
    </row>
    <row r="1057">
      <c r="A1057" t="inlineStr">
        <is>
          <t>2025-09-15</t>
        </is>
      </c>
      <c r="B1057" t="n">
        <v>3682.199951171875</v>
      </c>
      <c r="C1057" t="n">
        <v>115444.875</v>
      </c>
    </row>
    <row r="1058">
      <c r="A1058" t="inlineStr">
        <is>
          <t>2025-09-16</t>
        </is>
      </c>
      <c r="B1058" t="n">
        <v>3688.89990234375</v>
      </c>
      <c r="C1058" t="n">
        <v>116843.1875</v>
      </c>
    </row>
    <row r="1059">
      <c r="A1059" t="inlineStr">
        <is>
          <t>2025-09-17</t>
        </is>
      </c>
      <c r="B1059" t="n">
        <v>3681.800048828125</v>
      </c>
      <c r="C1059" t="n">
        <v>116468.5078125</v>
      </c>
    </row>
    <row r="1060">
      <c r="A1060" t="inlineStr">
        <is>
          <t>2025-09-18</t>
        </is>
      </c>
      <c r="B1060" t="n">
        <v>3643.699951171875</v>
      </c>
      <c r="C1060" t="n">
        <v>117137.203125</v>
      </c>
    </row>
    <row r="1061">
      <c r="A1061" t="inlineStr">
        <is>
          <t>2025-09-19</t>
        </is>
      </c>
      <c r="B1061" t="n">
        <v>3671.5</v>
      </c>
      <c r="C1061" t="n">
        <v>115688.859375</v>
      </c>
    </row>
    <row r="1062">
      <c r="A1062" t="inlineStr">
        <is>
          <t>2025-09-22</t>
        </is>
      </c>
      <c r="B1062" t="n">
        <v>3740.699951171875</v>
      </c>
      <c r="C1062" t="n">
        <v>112748.5078125</v>
      </c>
    </row>
    <row r="1063">
      <c r="A1063" t="inlineStr">
        <is>
          <t>2025-09-23</t>
        </is>
      </c>
      <c r="B1063" t="n">
        <v>3780.60009765625</v>
      </c>
      <c r="C1063" t="n">
        <v>112014.5</v>
      </c>
    </row>
    <row r="1064">
      <c r="A1064" t="inlineStr">
        <is>
          <t>2025-09-24</t>
        </is>
      </c>
      <c r="B1064" t="n">
        <v>3732.10009765625</v>
      </c>
      <c r="C1064" t="n">
        <v>113328.6328125</v>
      </c>
    </row>
    <row r="1065">
      <c r="A1065" t="inlineStr">
        <is>
          <t>2025-09-25</t>
        </is>
      </c>
      <c r="B1065" t="n">
        <v>3736.89990234375</v>
      </c>
      <c r="C1065" t="n">
        <v>109049.2890625</v>
      </c>
    </row>
    <row r="1066">
      <c r="A1066" t="inlineStr">
        <is>
          <t>2025-09-26</t>
        </is>
      </c>
      <c r="B1066" t="n">
        <v>3775.300048828125</v>
      </c>
      <c r="C1066" t="n">
        <v>109712.828125</v>
      </c>
    </row>
    <row r="1067">
      <c r="A1067" t="inlineStr">
        <is>
          <t>2025-09-29</t>
        </is>
      </c>
      <c r="B1067" t="n">
        <v>3820.89990234375</v>
      </c>
      <c r="C1067" t="n">
        <v>114400.3828125</v>
      </c>
    </row>
    <row r="1068">
      <c r="A1068" t="inlineStr">
        <is>
          <t>2025-09-30</t>
        </is>
      </c>
      <c r="B1068" t="n">
        <v>3840.800048828125</v>
      </c>
      <c r="C1068" t="n">
        <v>114056.0859375</v>
      </c>
    </row>
    <row r="1069">
      <c r="A1069" t="inlineStr">
        <is>
          <t>2025-10-01</t>
        </is>
      </c>
      <c r="B1069" t="n">
        <v>3867.5</v>
      </c>
      <c r="C1069" t="n">
        <v>118648.9296875</v>
      </c>
    </row>
    <row r="1070">
      <c r="A1070" t="inlineStr">
        <is>
          <t>2025-10-02</t>
        </is>
      </c>
      <c r="B1070" t="n">
        <v>3839.699951171875</v>
      </c>
      <c r="C1070" t="n">
        <v>120681.2578125</v>
      </c>
    </row>
    <row r="1071">
      <c r="A1071" t="inlineStr">
        <is>
          <t>2025-10-03</t>
        </is>
      </c>
      <c r="B1071" t="n">
        <v>3880.800048828125</v>
      </c>
      <c r="C1071" t="n">
        <v>122266.53125</v>
      </c>
    </row>
    <row r="1072">
      <c r="A1072" t="inlineStr">
        <is>
          <t>2025-10-06</t>
        </is>
      </c>
      <c r="B1072" t="n">
        <v>3948.5</v>
      </c>
      <c r="C1072" t="n">
        <v>124752.53125</v>
      </c>
    </row>
    <row r="1073">
      <c r="A1073" t="inlineStr">
        <is>
          <t>2025-10-07</t>
        </is>
      </c>
      <c r="B1073" t="n">
        <v>3976.60009765625</v>
      </c>
      <c r="C1073" t="n">
        <v>121451.3828125</v>
      </c>
    </row>
    <row r="1074">
      <c r="A1074" t="inlineStr">
        <is>
          <t>2025-10-08</t>
        </is>
      </c>
      <c r="B1074" t="n">
        <v>4043.300048828125</v>
      </c>
      <c r="C1074" t="n">
        <v>123354.8671875</v>
      </c>
    </row>
    <row r="1075">
      <c r="A1075" t="inlineStr">
        <is>
          <t>2025-10-09</t>
        </is>
      </c>
      <c r="B1075" t="n">
        <v>3946.300048828125</v>
      </c>
      <c r="C1075" t="n">
        <v>121705.5859375</v>
      </c>
    </row>
    <row r="1076">
      <c r="A1076" t="inlineStr">
        <is>
          <t>2025-10-10</t>
        </is>
      </c>
      <c r="B1076" t="n">
        <v>3975.89990234375</v>
      </c>
      <c r="C1076" t="n">
        <v>113214.3671875</v>
      </c>
    </row>
    <row r="1077">
      <c r="A1077" t="inlineStr">
        <is>
          <t>2025-10-13</t>
        </is>
      </c>
      <c r="B1077" t="n">
        <v>4108.60009765625</v>
      </c>
      <c r="C1077" t="n">
        <v>115271.078125</v>
      </c>
    </row>
    <row r="1078">
      <c r="A1078" t="inlineStr">
        <is>
          <t>2025-10-14</t>
        </is>
      </c>
      <c r="B1078" t="n">
        <v>4138.7001953125</v>
      </c>
      <c r="C1078" t="n">
        <v>113118.6640625</v>
      </c>
    </row>
    <row r="1079">
      <c r="A1079" t="inlineStr">
        <is>
          <t>2025-10-15</t>
        </is>
      </c>
      <c r="B1079" t="n">
        <v>4176.89990234375</v>
      </c>
      <c r="C1079" t="n">
        <v>110783.1640625</v>
      </c>
    </row>
    <row r="1080">
      <c r="A1080" t="inlineStr">
        <is>
          <t>2025-10-16</t>
        </is>
      </c>
      <c r="B1080" t="n">
        <v>4280.2001953125</v>
      </c>
      <c r="C1080" t="n">
        <v>108186.0390625</v>
      </c>
    </row>
    <row r="1081">
      <c r="A1081" t="inlineStr">
        <is>
          <t>2025-10-17</t>
        </is>
      </c>
      <c r="B1081" t="n">
        <v>4189.89990234375</v>
      </c>
      <c r="C1081" t="n">
        <v>106467.7890625</v>
      </c>
    </row>
    <row r="1082">
      <c r="A1082" t="inlineStr">
        <is>
          <t>2025-10-20</t>
        </is>
      </c>
      <c r="B1082" t="n">
        <v>4336.39990234375</v>
      </c>
      <c r="C1082" t="n">
        <v>110588.9296875</v>
      </c>
    </row>
    <row r="1083">
      <c r="A1083" t="inlineStr">
        <is>
          <t>2025-10-21</t>
        </is>
      </c>
      <c r="B1083" t="n">
        <v>4087.699951171875</v>
      </c>
      <c r="C1083" t="n">
        <v>108476.890625</v>
      </c>
    </row>
    <row r="1084">
      <c r="A1084" t="inlineStr">
        <is>
          <t>2025-10-22</t>
        </is>
      </c>
      <c r="B1084" t="n">
        <v>4044.39990234375</v>
      </c>
      <c r="C1084" t="n">
        <v>107688.5859375</v>
      </c>
    </row>
    <row r="1085">
      <c r="A1085" t="inlineStr">
        <is>
          <t>2025-10-23</t>
        </is>
      </c>
      <c r="B1085" t="n">
        <v>4125.5</v>
      </c>
      <c r="C1085" t="n">
        <v>110069.7265625</v>
      </c>
    </row>
    <row r="1086">
      <c r="A1086" t="inlineStr">
        <is>
          <t>2025-10-24</t>
        </is>
      </c>
      <c r="B1086" t="n">
        <v>4118.39990234375</v>
      </c>
      <c r="C1086" t="n">
        <v>111033.921875</v>
      </c>
    </row>
    <row r="1087">
      <c r="A1087" t="inlineStr">
        <is>
          <t>2025-10-27</t>
        </is>
      </c>
      <c r="B1087" t="n">
        <v>4001.89990234375</v>
      </c>
      <c r="C1087" t="n">
        <v>114119.328125</v>
      </c>
    </row>
    <row r="1088">
      <c r="A1088" t="inlineStr">
        <is>
          <t>2025-10-28</t>
        </is>
      </c>
      <c r="B1088" t="n">
        <v>3966.199951171875</v>
      </c>
      <c r="C1088" t="n">
        <v>112956.1640625</v>
      </c>
    </row>
    <row r="1089">
      <c r="A1089" t="inlineStr">
        <is>
          <t>2025-10-29</t>
        </is>
      </c>
      <c r="B1089" t="n">
        <v>3983.699951171875</v>
      </c>
      <c r="C1089" t="n">
        <v>110055.3046875</v>
      </c>
    </row>
    <row r="1090">
      <c r="A1090" t="inlineStr">
        <is>
          <t>2025-10-30</t>
        </is>
      </c>
      <c r="B1090" t="n">
        <v>4001.300048828125</v>
      </c>
      <c r="C1090" t="n">
        <v>108305.546875</v>
      </c>
    </row>
    <row r="1091">
      <c r="A1091" t="inlineStr">
        <is>
          <t>2025-10-31</t>
        </is>
      </c>
      <c r="B1091" t="n">
        <v>3982.199951171875</v>
      </c>
      <c r="C1091" t="n">
        <v>109556.1640625</v>
      </c>
    </row>
    <row r="1092">
      <c r="A1092" t="inlineStr">
        <is>
          <t>2025-11-03</t>
        </is>
      </c>
      <c r="B1092" t="n">
        <v>4000.300048828125</v>
      </c>
      <c r="C1092" t="n">
        <v>106547.5234375</v>
      </c>
    </row>
    <row r="1093">
      <c r="A1093" t="inlineStr">
        <is>
          <t>2025-11-04</t>
        </is>
      </c>
      <c r="B1093" t="n">
        <v>3947.699951171875</v>
      </c>
      <c r="C1093" t="n">
        <v>101590.5234375</v>
      </c>
    </row>
    <row r="1094">
      <c r="A1094" t="inlineStr">
        <is>
          <t>2025-11-05</t>
        </is>
      </c>
      <c r="B1094" t="n">
        <v>3980.300048828125</v>
      </c>
      <c r="C1094" t="n">
        <v>103891.8359375</v>
      </c>
    </row>
    <row r="1095">
      <c r="A1095" t="inlineStr">
        <is>
          <t>2025-11-06</t>
        </is>
      </c>
      <c r="B1095" t="n">
        <v>3979.89990234375</v>
      </c>
      <c r="C1095" t="n">
        <v>101301.2890625</v>
      </c>
    </row>
    <row r="1096">
      <c r="A1096" t="inlineStr">
        <is>
          <t>2025-11-07</t>
        </is>
      </c>
      <c r="B1096" t="n">
        <v>3999.39990234375</v>
      </c>
      <c r="C1096" t="n">
        <v>103372.40625</v>
      </c>
    </row>
    <row r="1097">
      <c r="A1097" t="inlineStr">
        <is>
          <t>2025-11-10</t>
        </is>
      </c>
      <c r="B1097" t="n">
        <v>4111.7998046875</v>
      </c>
      <c r="C1097" t="n">
        <v>105996.59375</v>
      </c>
    </row>
    <row r="1098">
      <c r="A1098" t="inlineStr">
        <is>
          <t>2025-11-11</t>
        </is>
      </c>
      <c r="B1098" t="n">
        <v>4106.7998046875</v>
      </c>
      <c r="C1098" t="n">
        <v>102997.46875</v>
      </c>
    </row>
    <row r="1099">
      <c r="A1099" t="inlineStr">
        <is>
          <t>2025-11-12</t>
        </is>
      </c>
      <c r="B1099" t="n">
        <v>4204.39990234375</v>
      </c>
      <c r="C1099" t="n">
        <v>101663.1875</v>
      </c>
    </row>
    <row r="1100">
      <c r="A1100" t="inlineStr">
        <is>
          <t>2025-11-13</t>
        </is>
      </c>
      <c r="B1100" t="n">
        <v>4186.89990234375</v>
      </c>
      <c r="C1100" t="n">
        <v>99697.4921875</v>
      </c>
    </row>
    <row r="1101">
      <c r="A1101" t="inlineStr">
        <is>
          <t>2025-11-14</t>
        </is>
      </c>
      <c r="B1101" t="n">
        <v>4087.60009765625</v>
      </c>
      <c r="C1101" t="n">
        <v>94397.7890625</v>
      </c>
    </row>
    <row r="1102">
      <c r="A1102" t="inlineStr">
        <is>
          <t>2025-11-17</t>
        </is>
      </c>
      <c r="B1102" t="n">
        <v>4068.300048828125</v>
      </c>
      <c r="C1102" t="n">
        <v>92093.875</v>
      </c>
    </row>
    <row r="1103">
      <c r="A1103" t="inlineStr">
        <is>
          <t>2025-11-18</t>
        </is>
      </c>
      <c r="B1103" t="n">
        <v>4061.300048828125</v>
      </c>
      <c r="C1103" t="n">
        <v>92948.875</v>
      </c>
    </row>
    <row r="1104">
      <c r="A1104" t="inlineStr">
        <is>
          <t>2025-11-19</t>
        </is>
      </c>
      <c r="B1104" t="n">
        <v>4077.699951171875</v>
      </c>
      <c r="C1104" t="n">
        <v>91465.9921875</v>
      </c>
    </row>
    <row r="1105">
      <c r="A1105" t="inlineStr">
        <is>
          <t>2025-11-20</t>
        </is>
      </c>
      <c r="B1105" t="n">
        <v>4056.5</v>
      </c>
      <c r="C1105" t="n">
        <v>86631.8984375</v>
      </c>
    </row>
    <row r="1106">
      <c r="A1106" t="inlineStr">
        <is>
          <t>2025-11-21</t>
        </is>
      </c>
      <c r="B1106" t="n">
        <v>4076.699951171875</v>
      </c>
      <c r="C1106" t="n">
        <v>85090.6875</v>
      </c>
    </row>
    <row r="1107">
      <c r="A1107" t="inlineStr">
        <is>
          <t>2025-11-24</t>
        </is>
      </c>
      <c r="B1107" t="n">
        <v>4091.89990234375</v>
      </c>
      <c r="C1107" t="n">
        <v>88270.5625</v>
      </c>
    </row>
    <row r="1108">
      <c r="A1108" t="inlineStr">
        <is>
          <t>2025-11-25</t>
        </is>
      </c>
      <c r="B1108" t="n">
        <v>4139.2001953125</v>
      </c>
      <c r="C1108" t="n">
        <v>87341.890625</v>
      </c>
    </row>
    <row r="1109">
      <c r="A1109" t="inlineStr">
        <is>
          <t>2025-11-26</t>
        </is>
      </c>
      <c r="B1109" t="n">
        <v>4165.2001953125</v>
      </c>
      <c r="C1109" t="n">
        <v>90518.3671875</v>
      </c>
    </row>
    <row r="1110">
      <c r="A1110" t="inlineStr">
        <is>
          <t>2025-11-28</t>
        </is>
      </c>
      <c r="B1110" t="n">
        <v>4218.2998046875</v>
      </c>
      <c r="C1110" t="n">
        <v>90919.265625</v>
      </c>
    </row>
    <row r="1111">
      <c r="A1111" t="inlineStr">
        <is>
          <t>2025-12-01</t>
        </is>
      </c>
      <c r="B1111" t="n">
        <v>4239.2998046875</v>
      </c>
      <c r="C1111" t="n">
        <v>86321.5703125</v>
      </c>
    </row>
    <row r="1112">
      <c r="A1112" t="inlineStr">
        <is>
          <t>2025-12-02</t>
        </is>
      </c>
      <c r="B1112" t="n">
        <v>4186.60009765625</v>
      </c>
      <c r="C1112" t="n">
        <v>91350.203125</v>
      </c>
    </row>
    <row r="1113">
      <c r="A1113" t="inlineStr">
        <is>
          <t>2025-12-03</t>
        </is>
      </c>
      <c r="B1113" t="n">
        <v>4199.2998046875</v>
      </c>
      <c r="C1113" t="n">
        <v>93527.8046875</v>
      </c>
    </row>
    <row r="1114">
      <c r="A1114" t="inlineStr">
        <is>
          <t>2025-12-04</t>
        </is>
      </c>
      <c r="B1114" t="n">
        <v>4211.7998046875</v>
      </c>
      <c r="C1114" t="n">
        <v>92141.625</v>
      </c>
    </row>
    <row r="1115">
      <c r="A1115" t="inlineStr">
        <is>
          <t>2025-12-05</t>
        </is>
      </c>
      <c r="B1115" t="n">
        <v>4212.89990234375</v>
      </c>
      <c r="C1115" t="n">
        <v>89387.7578125</v>
      </c>
    </row>
    <row r="1116">
      <c r="A1116" t="inlineStr">
        <is>
          <t>2025-12-08</t>
        </is>
      </c>
      <c r="B1116" t="n">
        <v>4187.2001953125</v>
      </c>
      <c r="C1116" t="n">
        <v>90640.203125</v>
      </c>
    </row>
    <row r="1117">
      <c r="A1117" t="inlineStr">
        <is>
          <t>2025-12-09</t>
        </is>
      </c>
      <c r="B1117" t="n">
        <v>4206.7001953125</v>
      </c>
      <c r="C1117" t="n">
        <v>92691.7109375</v>
      </c>
    </row>
    <row r="1118">
      <c r="A1118" t="inlineStr">
        <is>
          <t>2025-12-10</t>
        </is>
      </c>
      <c r="B1118" t="n">
        <v>4196.39990234375</v>
      </c>
      <c r="C1118" t="n">
        <v>92020.9453125</v>
      </c>
    </row>
    <row r="1119">
      <c r="A1119" t="inlineStr">
        <is>
          <t>2025-12-11</t>
        </is>
      </c>
      <c r="B1119" t="n">
        <v>4285.5</v>
      </c>
      <c r="C1119" t="n">
        <v>92511.3359375</v>
      </c>
    </row>
    <row r="1120">
      <c r="A1120" t="inlineStr">
        <is>
          <t>2025-12-12</t>
        </is>
      </c>
      <c r="B1120" t="n">
        <v>4300.10009765625</v>
      </c>
      <c r="C1120" t="n">
        <v>90270.4140625</v>
      </c>
    </row>
    <row r="1121">
      <c r="A1121" t="inlineStr">
        <is>
          <t>2025-12-15</t>
        </is>
      </c>
      <c r="B1121" t="n">
        <v>4306.7001953125</v>
      </c>
      <c r="C1121" t="n">
        <v>86419.78125</v>
      </c>
    </row>
    <row r="1122">
      <c r="A1122" t="inlineStr">
        <is>
          <t>2025-12-16</t>
        </is>
      </c>
      <c r="B1122" t="n">
        <v>4304.5</v>
      </c>
      <c r="C1122" t="n">
        <v>87843.984375</v>
      </c>
    </row>
    <row r="1123">
      <c r="A1123" t="inlineStr">
        <is>
          <t>2025-12-17</t>
        </is>
      </c>
      <c r="B1123" t="n">
        <v>4347.5</v>
      </c>
      <c r="C1123" t="n">
        <v>86143.7578125</v>
      </c>
    </row>
    <row r="1124">
      <c r="A1124" t="inlineStr">
        <is>
          <t>2025-12-18</t>
        </is>
      </c>
      <c r="B1124" t="n">
        <v>4339.5</v>
      </c>
      <c r="C1124" t="n">
        <v>85462.5078125</v>
      </c>
    </row>
    <row r="1125">
      <c r="A1125" t="inlineStr">
        <is>
          <t>2025-12-19</t>
        </is>
      </c>
      <c r="B1125" t="n">
        <v>4361.39990234375</v>
      </c>
      <c r="C1125" t="n">
        <v>88103.3828125</v>
      </c>
    </row>
    <row r="1126">
      <c r="A1126" t="inlineStr">
        <is>
          <t>2025-12-22</t>
        </is>
      </c>
      <c r="B1126" t="n">
        <v>4444.60009765625</v>
      </c>
      <c r="C1126" t="n">
        <v>88490.015625</v>
      </c>
    </row>
    <row r="1127">
      <c r="A1127" t="inlineStr">
        <is>
          <t>2025-12-23</t>
        </is>
      </c>
      <c r="B1127" t="n">
        <v>4482.7998046875</v>
      </c>
      <c r="C1127" t="n">
        <v>87414</v>
      </c>
    </row>
    <row r="1128">
      <c r="A1128" t="inlineStr">
        <is>
          <t>2025-12-24</t>
        </is>
      </c>
      <c r="B1128" t="n">
        <v>4480.60009765625</v>
      </c>
      <c r="C1128" t="n">
        <v>87611.9609375</v>
      </c>
    </row>
    <row r="1129">
      <c r="A1129" t="inlineStr">
        <is>
          <t>2025-12-26</t>
        </is>
      </c>
      <c r="B1129" t="n">
        <v>4529.10009765625</v>
      </c>
      <c r="C1129" t="n">
        <v>87301.4296875</v>
      </c>
    </row>
    <row r="1130">
      <c r="A1130" t="inlineStr">
        <is>
          <t>2025-12-29</t>
        </is>
      </c>
      <c r="B1130" t="n">
        <v>4325.10009765625</v>
      </c>
      <c r="C1130" t="n">
        <v>87138.140625</v>
      </c>
    </row>
    <row r="1131">
      <c r="A1131" t="inlineStr">
        <is>
          <t>2025-12-30</t>
        </is>
      </c>
      <c r="B1131" t="n">
        <v>4370.10009765625</v>
      </c>
      <c r="C1131" t="n">
        <v>88430.1328125</v>
      </c>
    </row>
    <row r="1132">
      <c r="A1132" t="inlineStr">
        <is>
          <t>2025-12-31</t>
        </is>
      </c>
      <c r="B1132" t="n">
        <v>4325.60009765625</v>
      </c>
      <c r="C1132" t="n">
        <v>87508.828125</v>
      </c>
    </row>
    <row r="1133">
      <c r="A1133" t="inlineStr">
        <is>
          <t>2026-01-02</t>
        </is>
      </c>
      <c r="B1133" t="n">
        <v>4314.39990234375</v>
      </c>
      <c r="C1133" t="n">
        <v>89944.6953125</v>
      </c>
    </row>
    <row r="1134">
      <c r="A1134" t="inlineStr">
        <is>
          <t>2026-01-05</t>
        </is>
      </c>
      <c r="B1134" t="n">
        <v>4436.89990234375</v>
      </c>
      <c r="C1134" t="n">
        <v>93882.5546875</v>
      </c>
    </row>
    <row r="1135">
      <c r="A1135" t="inlineStr">
        <is>
          <t>2026-01-06</t>
        </is>
      </c>
      <c r="B1135" t="n">
        <v>4482.2001953125</v>
      </c>
      <c r="C1135" t="n">
        <v>93729.03125</v>
      </c>
    </row>
    <row r="1136">
      <c r="A1136" t="inlineStr">
        <is>
          <t>2026-01-07</t>
        </is>
      </c>
      <c r="B1136" t="n">
        <v>4449.2998046875</v>
      </c>
      <c r="C1136" t="n">
        <v>91308.0546875</v>
      </c>
    </row>
    <row r="1137">
      <c r="A1137" t="inlineStr">
        <is>
          <t>2026-01-08</t>
        </is>
      </c>
      <c r="B1137" t="n">
        <v>4449.7001953125</v>
      </c>
      <c r="C1137" t="n">
        <v>91027.125</v>
      </c>
    </row>
    <row r="1138">
      <c r="A1138" t="inlineStr">
        <is>
          <t>2026-01-09</t>
        </is>
      </c>
      <c r="B1138" t="n">
        <v>4490.2998046875</v>
      </c>
      <c r="C1138" t="n">
        <v>90513.1015625</v>
      </c>
    </row>
    <row r="1139">
      <c r="A1139" t="inlineStr">
        <is>
          <t>2026-01-12</t>
        </is>
      </c>
      <c r="B1139" t="n">
        <v>4604.2998046875</v>
      </c>
      <c r="C1139" t="n">
        <v>91192.9921875</v>
      </c>
    </row>
    <row r="1140">
      <c r="A1140" t="inlineStr">
        <is>
          <t>2026-01-13</t>
        </is>
      </c>
      <c r="B1140" t="n">
        <v>4589.2001953125</v>
      </c>
      <c r="C1140" t="n">
        <v>95321.78125</v>
      </c>
    </row>
    <row r="1141">
      <c r="A1141" t="inlineStr">
        <is>
          <t>2026-01-14</t>
        </is>
      </c>
      <c r="B1141" t="n">
        <v>4626.2998046875</v>
      </c>
      <c r="C1141" t="n">
        <v>96929.328125</v>
      </c>
    </row>
    <row r="1142">
      <c r="A1142" t="inlineStr">
        <is>
          <t>2026-01-15</t>
        </is>
      </c>
      <c r="B1142" t="n">
        <v>4616.2998046875</v>
      </c>
      <c r="C1142" t="n">
        <v>95551.1875</v>
      </c>
    </row>
    <row r="1143">
      <c r="A1143" t="inlineStr">
        <is>
          <t>2026-01-16</t>
        </is>
      </c>
      <c r="B1143" t="n">
        <v>4588.39990234375</v>
      </c>
      <c r="C1143" t="n">
        <v>95525.1171875</v>
      </c>
    </row>
    <row r="1144">
      <c r="A1144" t="inlineStr">
        <is>
          <t>2026-01-20</t>
        </is>
      </c>
      <c r="B1144" t="n">
        <v>4759.60009765625</v>
      </c>
      <c r="C1144" t="n">
        <v>88310.90625</v>
      </c>
    </row>
    <row r="1145">
      <c r="A1145" t="inlineStr">
        <is>
          <t>2026-01-21</t>
        </is>
      </c>
      <c r="B1145" t="n">
        <v>4831.7998046875</v>
      </c>
      <c r="C1145" t="n">
        <v>89376.9609375</v>
      </c>
    </row>
    <row r="1146">
      <c r="A1146" t="inlineStr">
        <is>
          <t>2026-01-22</t>
        </is>
      </c>
      <c r="B1146" t="n">
        <v>4908.7998046875</v>
      </c>
      <c r="C1146" t="n">
        <v>89462.453125</v>
      </c>
    </row>
    <row r="1147">
      <c r="A1147" t="inlineStr">
        <is>
          <t>2026-01-23</t>
        </is>
      </c>
      <c r="B1147" t="n">
        <v>4976.2001953125</v>
      </c>
      <c r="C1147" t="n">
        <v>89503.875</v>
      </c>
    </row>
    <row r="1148">
      <c r="A1148" t="inlineStr">
        <is>
          <t>2026-01-26</t>
        </is>
      </c>
      <c r="B1148" t="n">
        <v>5079.7001953125</v>
      </c>
      <c r="C1148" t="n">
        <v>88267.140625</v>
      </c>
    </row>
    <row r="1149">
      <c r="A1149" t="inlineStr">
        <is>
          <t>2026-01-27</t>
        </is>
      </c>
      <c r="B1149" t="n">
        <v>5079.89990234375</v>
      </c>
      <c r="C1149" t="n">
        <v>89102.5703125</v>
      </c>
    </row>
    <row r="1150">
      <c r="A1150" t="inlineStr">
        <is>
          <t>2026-01-28</t>
        </is>
      </c>
      <c r="B1150" t="n">
        <v>5301.60009765625</v>
      </c>
      <c r="C1150" t="n">
        <v>89184.5703125</v>
      </c>
    </row>
    <row r="1151">
      <c r="A1151" t="inlineStr">
        <is>
          <t>2026-01-29</t>
        </is>
      </c>
      <c r="B1151" t="n">
        <v>5318.39990234375</v>
      </c>
      <c r="C1151" t="n">
        <v>84561.5859375</v>
      </c>
    </row>
    <row r="1152">
      <c r="A1152" t="inlineStr">
        <is>
          <t>2026-01-30</t>
        </is>
      </c>
      <c r="B1152" t="n">
        <v>4713.89990234375</v>
      </c>
      <c r="C1152" t="n">
        <v>84128.65625</v>
      </c>
    </row>
    <row r="1153">
      <c r="A1153" t="inlineStr">
        <is>
          <t>2026-02-02</t>
        </is>
      </c>
      <c r="B1153" t="n">
        <v>4622.5</v>
      </c>
      <c r="C1153" t="n">
        <v>78688.765625</v>
      </c>
    </row>
    <row r="1154">
      <c r="A1154" t="inlineStr">
        <is>
          <t>2026-02-03</t>
        </is>
      </c>
      <c r="B1154" t="n">
        <v>4903.7001953125</v>
      </c>
      <c r="C1154" t="n">
        <v>75633.546875</v>
      </c>
    </row>
    <row r="1155">
      <c r="A1155" t="inlineStr">
        <is>
          <t>2026-02-04</t>
        </is>
      </c>
      <c r="B1155" t="n">
        <v>4920.39990234375</v>
      </c>
      <c r="C1155" t="n">
        <v>73019.703125</v>
      </c>
    </row>
    <row r="1156">
      <c r="A1156" t="inlineStr">
        <is>
          <t>2026-02-05</t>
        </is>
      </c>
      <c r="B1156" t="n">
        <v>4861.39990234375</v>
      </c>
      <c r="C1156" t="n">
        <v>62702.09765625</v>
      </c>
    </row>
    <row r="1157">
      <c r="A1157" t="inlineStr">
        <is>
          <t>2026-02-06</t>
        </is>
      </c>
      <c r="B1157" t="n">
        <v>4951.2001953125</v>
      </c>
      <c r="C1157" t="n">
        <v>70555.390625</v>
      </c>
    </row>
    <row r="1158">
      <c r="A1158" t="inlineStr">
        <is>
          <t>2026-02-09</t>
        </is>
      </c>
      <c r="B1158" t="n">
        <v>5050.89990234375</v>
      </c>
      <c r="C1158" t="n">
        <v>70120.78125</v>
      </c>
    </row>
    <row r="1159">
      <c r="A1159" t="inlineStr">
        <is>
          <t>2026-02-10</t>
        </is>
      </c>
      <c r="B1159" t="n">
        <v>5003.7998046875</v>
      </c>
      <c r="C1159" t="n">
        <v>68793.9609375</v>
      </c>
    </row>
    <row r="1160">
      <c r="A1160" t="inlineStr">
        <is>
          <t>2026-02-11</t>
        </is>
      </c>
      <c r="B1160" t="n">
        <v>5071.60009765625</v>
      </c>
      <c r="C1160" t="n">
        <v>66991.96875</v>
      </c>
    </row>
    <row r="1161">
      <c r="A1161" t="inlineStr">
        <is>
          <t>2026-02-12</t>
        </is>
      </c>
      <c r="B1161" t="n">
        <v>4923.7001953125</v>
      </c>
      <c r="C1161" t="n">
        <v>66221.84375</v>
      </c>
    </row>
    <row r="1162">
      <c r="A1162" t="inlineStr">
        <is>
          <t>2026-02-13</t>
        </is>
      </c>
      <c r="B1162" t="n">
        <v>5022</v>
      </c>
      <c r="C1162" t="n">
        <v>68857.84375</v>
      </c>
    </row>
    <row r="1163">
      <c r="A1163" t="inlineStr">
        <is>
          <t>2026-02-17</t>
        </is>
      </c>
      <c r="B1163" t="n">
        <v>4882.89990234375</v>
      </c>
      <c r="C1163" t="n">
        <v>67494.21875</v>
      </c>
    </row>
    <row r="1164">
      <c r="A1164" t="inlineStr">
        <is>
          <t>2026-02-18</t>
        </is>
      </c>
      <c r="B1164" t="n">
        <v>4986.5</v>
      </c>
      <c r="C1164" t="n">
        <v>66425.3203125</v>
      </c>
    </row>
    <row r="1165">
      <c r="A1165" t="inlineStr">
        <is>
          <t>2026-02-19</t>
        </is>
      </c>
      <c r="B1165" t="n">
        <v>4975.89990234375</v>
      </c>
      <c r="C1165" t="n">
        <v>66957.5234375</v>
      </c>
    </row>
    <row r="1166">
      <c r="A1166" t="inlineStr">
        <is>
          <t>2026-02-20</t>
        </is>
      </c>
      <c r="B1166" t="n">
        <v>5059.2998046875</v>
      </c>
      <c r="C1166" t="n">
        <v>68005.421875</v>
      </c>
    </row>
    <row r="1167">
      <c r="A1167" t="inlineStr">
        <is>
          <t>2026-02-23</t>
        </is>
      </c>
      <c r="B1167" t="n">
        <v>5204.7001953125</v>
      </c>
      <c r="C1167" t="n">
        <v>64616.73828125</v>
      </c>
    </row>
    <row r="1168">
      <c r="A1168" t="inlineStr">
        <is>
          <t>2026-02-24</t>
        </is>
      </c>
      <c r="B1168" t="n">
        <v>5155.7998046875</v>
      </c>
      <c r="C1168" t="n">
        <v>64080.04296875</v>
      </c>
    </row>
    <row r="1169">
      <c r="A1169" t="inlineStr">
        <is>
          <t>2026-02-25</t>
        </is>
      </c>
      <c r="B1169" t="n">
        <v>5206.39990234375</v>
      </c>
      <c r="C1169" t="n">
        <v>67960.125</v>
      </c>
    </row>
    <row r="1170">
      <c r="A1170" t="inlineStr">
        <is>
          <t>2026-02-26</t>
        </is>
      </c>
      <c r="B1170" t="n">
        <v>5176.5</v>
      </c>
      <c r="C1170" t="n">
        <v>67453.7734375</v>
      </c>
    </row>
    <row r="1171">
      <c r="A1171" t="inlineStr">
        <is>
          <t>2026-02-27</t>
        </is>
      </c>
      <c r="B1171" t="n">
        <v>5230.5</v>
      </c>
      <c r="C1171" t="n">
        <v>65881.796875</v>
      </c>
    </row>
    <row r="1172">
      <c r="A1172" t="inlineStr">
        <is>
          <t>2026-03-02</t>
        </is>
      </c>
      <c r="B1172" t="n">
        <v>5294.39990234375</v>
      </c>
      <c r="C1172" t="n">
        <v>68775.8515625</v>
      </c>
    </row>
    <row r="1173">
      <c r="A1173" t="inlineStr">
        <is>
          <t>2026-03-03</t>
        </is>
      </c>
      <c r="B1173" t="n">
        <v>5107.39990234375</v>
      </c>
      <c r="C1173" t="n">
        <v>68293.6484375</v>
      </c>
    </row>
    <row r="1174">
      <c r="A1174" t="inlineStr">
        <is>
          <t>2026-03-04</t>
        </is>
      </c>
      <c r="B1174" t="n">
        <v>5120.2001953125</v>
      </c>
      <c r="C1174" t="n">
        <v>72710.578125</v>
      </c>
    </row>
    <row r="1175">
      <c r="A1175" t="inlineStr">
        <is>
          <t>2026-03-05</t>
        </is>
      </c>
      <c r="B1175" t="n">
        <v>5065.2998046875</v>
      </c>
      <c r="C1175" t="n">
        <v>70841.125</v>
      </c>
    </row>
    <row r="1176">
      <c r="A1176" t="inlineStr">
        <is>
          <t>2026-03-06</t>
        </is>
      </c>
      <c r="B1176" t="n">
        <v>5146.10009765625</v>
      </c>
      <c r="C1176" t="n">
        <v>68136.4921875</v>
      </c>
    </row>
    <row r="1177">
      <c r="A1177" t="inlineStr">
        <is>
          <t>2026-03-09</t>
        </is>
      </c>
      <c r="B1177" t="n">
        <v>5091.5</v>
      </c>
      <c r="C1177" t="n">
        <v>68402.3828125</v>
      </c>
    </row>
    <row r="1178">
      <c r="A1178" t="inlineStr">
        <is>
          <t>2026-03-10</t>
        </is>
      </c>
      <c r="B1178" t="n">
        <v>5229.7001953125</v>
      </c>
      <c r="C1178" t="n">
        <v>69926.921875</v>
      </c>
    </row>
    <row r="1179">
      <c r="A1179" t="inlineStr">
        <is>
          <t>2026-03-11</t>
        </is>
      </c>
      <c r="B1179" t="n">
        <v>5167.39990234375</v>
      </c>
      <c r="C1179" t="n">
        <v>70204.8828125</v>
      </c>
    </row>
    <row r="1180">
      <c r="A1180" t="inlineStr">
        <is>
          <t>2026-03-12</t>
        </is>
      </c>
      <c r="B1180" t="n">
        <v>5115.7998046875</v>
      </c>
      <c r="C1180" t="n">
        <v>70493.4609375</v>
      </c>
    </row>
    <row r="1181">
      <c r="A1181" t="inlineStr">
        <is>
          <t>2026-03-13</t>
        </is>
      </c>
      <c r="B1181" t="n">
        <v>5052.5</v>
      </c>
      <c r="C1181" t="n">
        <v>70968.265625</v>
      </c>
    </row>
    <row r="1182">
      <c r="A1182" t="inlineStr">
        <is>
          <t>2026-03-16</t>
        </is>
      </c>
      <c r="B1182" t="n">
        <v>4994</v>
      </c>
      <c r="C1182" t="n">
        <v>74861.0859375</v>
      </c>
    </row>
    <row r="1183">
      <c r="A1183" t="inlineStr">
        <is>
          <t>2026-03-17</t>
        </is>
      </c>
      <c r="B1183" t="n">
        <v>5001</v>
      </c>
      <c r="C1183" t="n">
        <v>73922.4765625</v>
      </c>
    </row>
    <row r="1184">
      <c r="A1184" t="inlineStr">
        <is>
          <t>2026-03-18</t>
        </is>
      </c>
      <c r="B1184" t="n">
        <v>4889.89990234375</v>
      </c>
      <c r="C1184" t="n">
        <v>71245.578125</v>
      </c>
    </row>
    <row r="1185">
      <c r="A1185" t="inlineStr">
        <is>
          <t>2026-03-19</t>
        </is>
      </c>
      <c r="B1185" t="n">
        <v>4600.7001953125</v>
      </c>
      <c r="C1185" t="n">
        <v>69912.7890625</v>
      </c>
    </row>
    <row r="1186">
      <c r="A1186" t="inlineStr">
        <is>
          <t>2026-03-20</t>
        </is>
      </c>
      <c r="B1186" t="n">
        <v>4570.39990234375</v>
      </c>
      <c r="C1186" t="n">
        <v>70522.5859375</v>
      </c>
    </row>
    <row r="1187">
      <c r="A1187" t="inlineStr">
        <is>
          <t>2026-03-23</t>
        </is>
      </c>
      <c r="B1187" t="n">
        <v>4404.10009765625</v>
      </c>
      <c r="C1187" t="n">
        <v>70914.859375</v>
      </c>
    </row>
    <row r="1188">
      <c r="A1188" t="inlineStr">
        <is>
          <t>2026-03-24</t>
        </is>
      </c>
      <c r="B1188" t="n">
        <v>4399.2998046875</v>
      </c>
      <c r="C1188" t="n">
        <v>70517.859375</v>
      </c>
    </row>
    <row r="1189">
      <c r="A1189" t="inlineStr">
        <is>
          <t>2026-03-25</t>
        </is>
      </c>
      <c r="B1189" t="n">
        <v>4549.7998046875</v>
      </c>
      <c r="C1189" t="n">
        <v>71309.8828125</v>
      </c>
    </row>
    <row r="1190">
      <c r="A1190" t="inlineStr">
        <is>
          <t>2026-03-26</t>
        </is>
      </c>
      <c r="B1190" t="n">
        <v>4375.5</v>
      </c>
      <c r="C1190" t="n">
        <v>68791.625</v>
      </c>
    </row>
    <row r="1191">
      <c r="A1191" t="inlineStr">
        <is>
          <t>2026-03-27</t>
        </is>
      </c>
      <c r="B1191" t="n">
        <v>4492</v>
      </c>
      <c r="C1191" t="n">
        <v>66338.375</v>
      </c>
    </row>
    <row r="1192">
      <c r="A1192" t="inlineStr">
        <is>
          <t>2026-03-30</t>
        </is>
      </c>
      <c r="B1192" t="n">
        <v>4526</v>
      </c>
      <c r="C1192" t="n">
        <v>66691.4453125</v>
      </c>
    </row>
    <row r="1193">
      <c r="A1193" t="inlineStr">
        <is>
          <t>2026-03-31</t>
        </is>
      </c>
      <c r="B1193" t="n">
        <v>4647.60009765625</v>
      </c>
      <c r="C1193" t="n">
        <v>68233.3125</v>
      </c>
    </row>
    <row r="1194">
      <c r="A1194" t="inlineStr">
        <is>
          <t>2026-04-01</t>
        </is>
      </c>
      <c r="B1194" t="n">
        <v>4783.2001953125</v>
      </c>
      <c r="C1194" t="n">
        <v>68078.5546875</v>
      </c>
    </row>
    <row r="1195">
      <c r="A1195" t="inlineStr">
        <is>
          <t>2026-04-02</t>
        </is>
      </c>
      <c r="B1195" t="n">
        <v>4651.5</v>
      </c>
      <c r="C1195" t="n">
        <v>66888.5703125</v>
      </c>
    </row>
    <row r="1196">
      <c r="A1196" t="inlineStr">
        <is>
          <t>2026-04-06</t>
        </is>
      </c>
      <c r="B1196" t="n">
        <v>4656.7998046875</v>
      </c>
      <c r="C1196" t="n">
        <v>68859.828125</v>
      </c>
    </row>
    <row r="1197">
      <c r="A1197" t="inlineStr">
        <is>
          <t>2026-04-07</t>
        </is>
      </c>
      <c r="B1197" t="n">
        <v>4657.10009765625</v>
      </c>
      <c r="C1197" t="n">
        <v>71940.703125</v>
      </c>
    </row>
    <row r="1198">
      <c r="A1198" t="inlineStr">
        <is>
          <t>2026-04-08</t>
        </is>
      </c>
      <c r="B1198" t="n">
        <v>4749.5</v>
      </c>
      <c r="C1198" t="n">
        <v>71123.359375</v>
      </c>
    </row>
    <row r="1199">
      <c r="A1199" t="inlineStr">
        <is>
          <t>2026-04-09</t>
        </is>
      </c>
      <c r="B1199" t="n">
        <v>4792.2001953125</v>
      </c>
      <c r="C1199" t="n">
        <v>71767.828125</v>
      </c>
    </row>
    <row r="1200">
      <c r="A1200" t="inlineStr">
        <is>
          <t>2026-04-10</t>
        </is>
      </c>
      <c r="B1200" t="n">
        <v>4761.89990234375</v>
      </c>
      <c r="C1200" t="n">
        <v>72979.046875</v>
      </c>
    </row>
    <row r="1201">
      <c r="A1201" t="inlineStr">
        <is>
          <t>2026-04-13</t>
        </is>
      </c>
      <c r="B1201" t="n">
        <v>4742.39990234375</v>
      </c>
      <c r="C1201" t="n">
        <v>74484.640625</v>
      </c>
    </row>
    <row r="1202">
      <c r="A1202" t="inlineStr">
        <is>
          <t>2026-04-14</t>
        </is>
      </c>
      <c r="B1202" t="n">
        <v>4825</v>
      </c>
      <c r="C1202" t="n">
        <v>74181.609375</v>
      </c>
    </row>
    <row r="1203">
      <c r="A1203" t="inlineStr">
        <is>
          <t>2026-04-15</t>
        </is>
      </c>
      <c r="B1203" t="n">
        <v>4800</v>
      </c>
      <c r="C1203" t="n">
        <v>74805.078125</v>
      </c>
    </row>
    <row r="1204">
      <c r="A1204" t="inlineStr">
        <is>
          <t>2026-04-16</t>
        </is>
      </c>
      <c r="B1204" t="n">
        <v>4785.39990234375</v>
      </c>
      <c r="C1204" t="n">
        <v>75152.1328125</v>
      </c>
    </row>
    <row r="1205">
      <c r="A1205" t="inlineStr">
        <is>
          <t>2026-04-17</t>
        </is>
      </c>
      <c r="B1205" t="n">
        <v>4857.60009765625</v>
      </c>
      <c r="C1205" t="n">
        <v>77126.875</v>
      </c>
    </row>
    <row r="1206">
      <c r="A1206" t="inlineStr">
        <is>
          <t>2026-04-20</t>
        </is>
      </c>
      <c r="B1206" t="n">
        <v>4806.60009765625</v>
      </c>
      <c r="C1206" t="n">
        <v>75872.5234375</v>
      </c>
    </row>
    <row r="1207">
      <c r="A1207" t="inlineStr">
        <is>
          <t>2026-04-21</t>
        </is>
      </c>
      <c r="B1207" t="n">
        <v>4698.39990234375</v>
      </c>
      <c r="C1207" t="n">
        <v>76352.7734375</v>
      </c>
    </row>
    <row r="1208">
      <c r="A1208" t="inlineStr">
        <is>
          <t>2026-04-22</t>
        </is>
      </c>
      <c r="B1208" t="n">
        <v>4732.5</v>
      </c>
      <c r="C1208" t="n">
        <v>78203.1015625</v>
      </c>
    </row>
    <row r="1209">
      <c r="A1209" t="inlineStr">
        <is>
          <t>2026-04-23</t>
        </is>
      </c>
      <c r="B1209" t="n">
        <v>4705.10009765625</v>
      </c>
      <c r="C1209" t="n">
        <v>78268.953125</v>
      </c>
    </row>
    <row r="1210">
      <c r="A1210" t="inlineStr">
        <is>
          <t>2026-04-24</t>
        </is>
      </c>
      <c r="B1210" t="n">
        <v>4722.2998046875</v>
      </c>
      <c r="C1210" t="n">
        <v>77455.3125</v>
      </c>
    </row>
    <row r="1211">
      <c r="A1211" t="inlineStr">
        <is>
          <t>2026-04-27</t>
        </is>
      </c>
      <c r="B1211" t="n">
        <v>4675.39990234375</v>
      </c>
      <c r="C1211" t="n">
        <v>77366.625</v>
      </c>
    </row>
    <row r="1212">
      <c r="A1212" t="inlineStr">
        <is>
          <t>2026-04-28</t>
        </is>
      </c>
      <c r="B1212" t="n">
        <v>4591.5</v>
      </c>
      <c r="C1212" t="n">
        <v>76350.671875</v>
      </c>
    </row>
    <row r="1213">
      <c r="A1213" t="inlineStr">
        <is>
          <t>2026-04-29</t>
        </is>
      </c>
      <c r="B1213" t="n">
        <v>4545.2001953125</v>
      </c>
      <c r="C1213" t="n">
        <v>75776.1328125</v>
      </c>
    </row>
    <row r="1214">
      <c r="A1214" t="inlineStr">
        <is>
          <t>2026-04-30</t>
        </is>
      </c>
      <c r="B1214" t="n">
        <v>4614.7001953125</v>
      </c>
      <c r="C1214" t="n">
        <v>76304.3203125</v>
      </c>
    </row>
    <row r="1215">
      <c r="A1215" t="inlineStr">
        <is>
          <t>2026-05-01</t>
        </is>
      </c>
      <c r="B1215" t="n">
        <v>4629.89990234375</v>
      </c>
      <c r="C1215" t="n">
        <v>78179</v>
      </c>
    </row>
    <row r="1216">
      <c r="A1216" t="inlineStr">
        <is>
          <t>2026-05-04</t>
        </is>
      </c>
      <c r="B1216" t="n">
        <v>4519.5</v>
      </c>
      <c r="C1216" t="n">
        <v>79827.90625</v>
      </c>
    </row>
    <row r="1217">
      <c r="A1217" t="inlineStr">
        <is>
          <t>2026-05-05</t>
        </is>
      </c>
      <c r="B1217" t="n">
        <v>4555.7998046875</v>
      </c>
      <c r="C1217" t="n">
        <v>80927.0546875</v>
      </c>
    </row>
    <row r="1218">
      <c r="A1218" t="inlineStr">
        <is>
          <t>2026-05-06</t>
        </is>
      </c>
      <c r="B1218" t="n">
        <v>4681.89990234375</v>
      </c>
      <c r="C1218" t="n">
        <v>81427.53125</v>
      </c>
    </row>
    <row r="1219">
      <c r="A1219" t="inlineStr">
        <is>
          <t>2026-05-07</t>
        </is>
      </c>
      <c r="B1219" t="n">
        <v>4699.7998046875</v>
      </c>
      <c r="C1219" t="n">
        <v>80009.9921875</v>
      </c>
    </row>
    <row r="1220">
      <c r="A1220" t="inlineStr">
        <is>
          <t>2026-05-08</t>
        </is>
      </c>
      <c r="B1220" t="n">
        <v>4720.39990234375</v>
      </c>
      <c r="C1220" t="n">
        <v>80186.765625</v>
      </c>
    </row>
    <row r="1221">
      <c r="A1221" t="inlineStr">
        <is>
          <t>2026-05-11</t>
        </is>
      </c>
      <c r="B1221" t="n">
        <v>4718.7001953125</v>
      </c>
      <c r="C1221" t="n">
        <v>81728.296875</v>
      </c>
    </row>
    <row r="1222">
      <c r="A1222" t="inlineStr">
        <is>
          <t>2026-05-12</t>
        </is>
      </c>
      <c r="B1222" t="n">
        <v>4677.60009765625</v>
      </c>
      <c r="C1222" t="n">
        <v>80477.4921875</v>
      </c>
    </row>
    <row r="1223">
      <c r="A1223" t="inlineStr">
        <is>
          <t>2026-05-13</t>
        </is>
      </c>
      <c r="B1223" t="n">
        <v>4697.7001953125</v>
      </c>
      <c r="C1223" t="n">
        <v>79277.1171875</v>
      </c>
    </row>
    <row r="1224">
      <c r="A1224" t="inlineStr">
        <is>
          <t>2026-05-14</t>
        </is>
      </c>
      <c r="B1224" t="n">
        <v>4678.10009765625</v>
      </c>
      <c r="C1224" t="n">
        <v>81051.25</v>
      </c>
    </row>
    <row r="1225">
      <c r="A1225" t="inlineStr">
        <is>
          <t>2026-05-15</t>
        </is>
      </c>
      <c r="B1225" t="n">
        <v>4555.7998046875</v>
      </c>
      <c r="C1225" t="n">
        <v>79065.6796875</v>
      </c>
    </row>
    <row r="1226">
      <c r="A1226" t="inlineStr">
        <is>
          <t>2026-05-18</t>
        </is>
      </c>
      <c r="B1226" t="n">
        <v>4552.5</v>
      </c>
      <c r="C1226" t="n">
        <v>76954.171875</v>
      </c>
    </row>
    <row r="1227">
      <c r="A1227" t="inlineStr">
        <is>
          <t>2026-05-19</t>
        </is>
      </c>
      <c r="B1227" t="n">
        <v>4506.2998046875</v>
      </c>
      <c r="C1227" t="n">
        <v>76750.90625</v>
      </c>
    </row>
    <row r="1228">
      <c r="A1228" t="inlineStr">
        <is>
          <t>2026-05-20</t>
        </is>
      </c>
      <c r="B1228" t="n">
        <v>4531.2998046875</v>
      </c>
      <c r="C1228" t="n">
        <v>77457.7734375</v>
      </c>
    </row>
    <row r="1229">
      <c r="A1229" t="inlineStr">
        <is>
          <t>2026-05-21</t>
        </is>
      </c>
      <c r="B1229" t="n">
        <v>4539.7998046875</v>
      </c>
      <c r="C1229" t="n">
        <v>77539.171875</v>
      </c>
    </row>
    <row r="1230">
      <c r="A1230" t="inlineStr">
        <is>
          <t>2026-05-22</t>
        </is>
      </c>
      <c r="B1230" t="n">
        <v>4521</v>
      </c>
      <c r="C1230" t="n">
        <v>75488.2421875</v>
      </c>
    </row>
    <row r="1231">
      <c r="A1231" t="inlineStr">
        <is>
          <t>2026-05-26</t>
        </is>
      </c>
      <c r="B1231" t="n">
        <v>4500.39990234375</v>
      </c>
      <c r="C1231" t="n">
        <v>75825.734375</v>
      </c>
    </row>
    <row r="1232">
      <c r="A1232" t="inlineStr">
        <is>
          <t>2026-05-27</t>
        </is>
      </c>
      <c r="B1232" t="n">
        <v>4447.5</v>
      </c>
      <c r="C1232" t="n">
        <v>74344.703125</v>
      </c>
    </row>
    <row r="1233">
      <c r="A1233" t="inlineStr">
        <is>
          <t>2026-05-28</t>
        </is>
      </c>
      <c r="B1233" t="n">
        <v>4499.2998046875</v>
      </c>
      <c r="C1233" t="n">
        <v>73536.5546875</v>
      </c>
    </row>
    <row r="1234">
      <c r="A1234" t="inlineStr">
        <is>
          <t>2026-05-29</t>
        </is>
      </c>
      <c r="B1234" t="n">
        <v>4560.5</v>
      </c>
      <c r="C1234" t="n">
        <v>73372.5234375</v>
      </c>
    </row>
    <row r="1235">
      <c r="A1235" t="inlineStr">
        <is>
          <t>2026-06-01</t>
        </is>
      </c>
      <c r="B1235" t="n">
        <v>4475.2001953125</v>
      </c>
      <c r="C1235" t="n">
        <v>71319.7734375</v>
      </c>
    </row>
    <row r="1236">
      <c r="A1236" t="inlineStr">
        <is>
          <t>2026-06-02</t>
        </is>
      </c>
      <c r="B1236" t="n">
        <v>4489.10009765625</v>
      </c>
      <c r="C1236" t="n">
        <v>66703.65625</v>
      </c>
    </row>
    <row r="1237">
      <c r="A1237" t="inlineStr">
        <is>
          <t>2026-06-03</t>
        </is>
      </c>
      <c r="B1237" t="n">
        <v>4436.7001953125</v>
      </c>
      <c r="C1237" t="n">
        <v>64014.3671875</v>
      </c>
    </row>
    <row r="1238">
      <c r="A1238" t="inlineStr">
        <is>
          <t>2026-06-04</t>
        </is>
      </c>
      <c r="B1238" t="n">
        <v>4475.7998046875</v>
      </c>
      <c r="C1238" t="n">
        <v>63801.57421875</v>
      </c>
    </row>
    <row r="1239">
      <c r="A1239" t="inlineStr">
        <is>
          <t>2026-06-05</t>
        </is>
      </c>
      <c r="B1239" t="n">
        <v>4337.10009765625</v>
      </c>
      <c r="C1239" t="n">
        <v>60922.66796875</v>
      </c>
    </row>
    <row r="1240">
      <c r="A1240" t="inlineStr">
        <is>
          <t>2026-06-08</t>
        </is>
      </c>
      <c r="B1240" t="n">
        <v>4335.89990234375</v>
      </c>
      <c r="C1240" t="n">
        <v>63090.58984375</v>
      </c>
    </row>
    <row r="1241">
      <c r="A1241" t="inlineStr">
        <is>
          <t>2026-06-09</t>
        </is>
      </c>
      <c r="B1241" t="n">
        <v>4260</v>
      </c>
      <c r="C1241" t="n">
        <v>61643.78125</v>
      </c>
    </row>
    <row r="1242">
      <c r="A1242" t="inlineStr">
        <is>
          <t>2026-06-10</t>
        </is>
      </c>
      <c r="B1242" t="n">
        <v>4108.2001953125</v>
      </c>
      <c r="C1242" t="n">
        <v>61449.2890625</v>
      </c>
    </row>
    <row r="1243">
      <c r="A1243" t="inlineStr">
        <is>
          <t>2026-06-11</t>
        </is>
      </c>
      <c r="B1243" t="n">
        <v>4090.300048828125</v>
      </c>
      <c r="C1243" t="n">
        <v>63561.0546875</v>
      </c>
    </row>
    <row r="1244">
      <c r="A1244" t="inlineStr">
        <is>
          <t>2026-06-12</t>
        </is>
      </c>
      <c r="B1244" t="n">
        <v>4215</v>
      </c>
      <c r="C1244" t="n">
        <v>63543.19921875</v>
      </c>
    </row>
    <row r="1245">
      <c r="A1245" t="inlineStr">
        <is>
          <t>2026-06-15</t>
        </is>
      </c>
      <c r="B1245" t="n">
        <v>4328</v>
      </c>
      <c r="C1245" t="n">
        <v>66289.5</v>
      </c>
    </row>
    <row r="1246">
      <c r="A1246" t="inlineStr">
        <is>
          <t>2026-06-16</t>
        </is>
      </c>
      <c r="B1246" t="n">
        <v>4330.89990234375</v>
      </c>
      <c r="C1246" t="n">
        <v>65600.640625</v>
      </c>
    </row>
    <row r="1247">
      <c r="A1247" t="inlineStr">
        <is>
          <t>2026-06-17</t>
        </is>
      </c>
      <c r="B1247" t="n">
        <v>4358.89990234375</v>
      </c>
      <c r="C1247" t="n">
        <v>64418.4453125</v>
      </c>
    </row>
    <row r="1248">
      <c r="A1248" t="inlineStr">
        <is>
          <t>2026-06-18</t>
        </is>
      </c>
      <c r="B1248" t="n">
        <v>4224.10009765625</v>
      </c>
      <c r="C1248" t="n">
        <v>62896.47265625</v>
      </c>
    </row>
    <row r="1249">
      <c r="A1249" t="inlineStr">
        <is>
          <t>2026-06-22</t>
        </is>
      </c>
      <c r="B1249" t="n">
        <v>4181.89990234375</v>
      </c>
      <c r="C1249" t="n">
        <v>63952.10546875</v>
      </c>
    </row>
    <row r="1250">
      <c r="A1250" t="inlineStr">
        <is>
          <t>2026-06-23</t>
        </is>
      </c>
      <c r="B1250" t="n">
        <v>4129.89990234375</v>
      </c>
      <c r="C1250" t="n">
        <v>62668.01953125</v>
      </c>
    </row>
    <row r="1251">
      <c r="A1251" t="inlineStr">
        <is>
          <t>2026-06-24</t>
        </is>
      </c>
      <c r="B1251" t="n">
        <v>3990.300048828125</v>
      </c>
      <c r="C1251" t="n">
        <v>60995.1328125</v>
      </c>
    </row>
    <row r="1252">
      <c r="A1252" t="inlineStr">
        <is>
          <t>2026-06-25</t>
        </is>
      </c>
      <c r="B1252" t="n">
        <v>4030.5</v>
      </c>
      <c r="C1252" t="n">
        <v>59721.67578125</v>
      </c>
    </row>
    <row r="1253">
      <c r="A1253" t="inlineStr">
        <is>
          <t>2026-06-26</t>
        </is>
      </c>
      <c r="B1253" t="n">
        <v>4078.699951171875</v>
      </c>
      <c r="C1253" t="n">
        <v>60016.4296875</v>
      </c>
    </row>
    <row r="1254">
      <c r="A1254" t="inlineStr">
        <is>
          <t>2026-06-29</t>
        </is>
      </c>
      <c r="B1254" t="n">
        <v>4022.300048828125</v>
      </c>
      <c r="C1254" t="n">
        <v>60138.37890625</v>
      </c>
    </row>
    <row r="1255">
      <c r="A1255" t="inlineStr">
        <is>
          <t>2026-06-30</t>
        </is>
      </c>
      <c r="B1255" t="n">
        <v>4022.89990234375</v>
      </c>
      <c r="C1255" t="n">
        <v>58558.859375</v>
      </c>
    </row>
    <row r="1256">
      <c r="A1256" t="inlineStr">
        <is>
          <t>2026-07-01</t>
        </is>
      </c>
      <c r="B1256" t="n">
        <v>4068.300048828125</v>
      </c>
      <c r="C1256" t="n">
        <v>60003.7578125</v>
      </c>
    </row>
    <row r="1257">
      <c r="A1257" t="inlineStr">
        <is>
          <t>2026-07-02</t>
        </is>
      </c>
      <c r="B1257" t="n">
        <v>4112.7001953125</v>
      </c>
      <c r="C1257" t="n">
        <v>61485.30078125</v>
      </c>
    </row>
    <row r="1258">
      <c r="A1258" t="inlineStr">
        <is>
          <t>2026-07-03</t>
        </is>
      </c>
      <c r="B1258" t="n">
        <v>4187.2998046875</v>
      </c>
      <c r="C1258" t="n">
        <v>62544.19921875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58"/>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黄金 GC=F日收益</t>
        </is>
      </c>
      <c r="C1" s="1" t="inlineStr">
        <is>
          <t>黄金 GC=F净值(=100)</t>
        </is>
      </c>
      <c r="D1" s="1" t="inlineStr">
        <is>
          <t>黄金 GC=F回撤</t>
        </is>
      </c>
      <c r="E1" s="1" t="inlineStr">
        <is>
          <t>黄金 GC=F滚动年化波动</t>
        </is>
      </c>
      <c r="F1" s="1" t="inlineStr">
        <is>
          <t>比特币 BTC-USD日收益</t>
        </is>
      </c>
      <c r="G1" s="1" t="inlineStr">
        <is>
          <t>比特币 BTC-USD净值(=100)</t>
        </is>
      </c>
      <c r="H1" s="1" t="inlineStr">
        <is>
          <t>比特币 BTC-USD回撤</t>
        </is>
      </c>
      <c r="I1" s="1" t="inlineStr">
        <is>
          <t>比特币 BTC-USD滚动年化波动</t>
        </is>
      </c>
    </row>
    <row r="2">
      <c r="A2">
        <f>'对齐'!A2</f>
        <v/>
      </c>
      <c r="B2" t="inlineStr"/>
      <c r="C2">
        <f>'对齐'!B2/'对齐'!B$2*100</f>
        <v/>
      </c>
      <c r="D2">
        <f>'对齐'!B2/MAX('对齐'!B$2:'对齐'!B2)-1</f>
        <v/>
      </c>
      <c r="E2">
        <f>IF(ROW()-2&gt;='参数'!$B$2,STDEV(OFFSET(B2,1-'参数'!$B$2,0,'参数'!$B$2,1))*SQRT('参数'!$B$3),"")</f>
        <v/>
      </c>
      <c r="F2" t="inlineStr"/>
      <c r="G2">
        <f>'对齐'!C2/'对齐'!C$2*100</f>
        <v/>
      </c>
      <c r="H2">
        <f>'对齐'!C2/MAX('对齐'!C$2:'对齐'!C2)-1</f>
        <v/>
      </c>
      <c r="I2">
        <f>IF(ROW()-2&gt;='参数'!$B$2,STDEV(OFFSET(F2,1-'参数'!$B$2,0,'参数'!$B$2,1))*SQRT('参数'!$B$3),"")</f>
        <v/>
      </c>
    </row>
    <row r="3">
      <c r="A3">
        <f>'对齐'!A3</f>
        <v/>
      </c>
      <c r="B3">
        <f>'对齐'!B3/'对齐'!B2-1</f>
        <v/>
      </c>
      <c r="C3">
        <f>'对齐'!B3/'对齐'!B$2*100</f>
        <v/>
      </c>
      <c r="D3">
        <f>'对齐'!B3/MAX('对齐'!B$2:'对齐'!B3)-1</f>
        <v/>
      </c>
      <c r="E3">
        <f>IF(ROW()-2&gt;='参数'!$B$2,STDEV(OFFSET(B3,1-'参数'!$B$2,0,'参数'!$B$2,1))*SQRT('参数'!$B$3),"")</f>
        <v/>
      </c>
      <c r="F3">
        <f>'对齐'!C3/'对齐'!C2-1</f>
        <v/>
      </c>
      <c r="G3">
        <f>'对齐'!C3/'对齐'!C$2*100</f>
        <v/>
      </c>
      <c r="H3">
        <f>'对齐'!C3/MAX('对齐'!C$2:'对齐'!C3)-1</f>
        <v/>
      </c>
      <c r="I3">
        <f>IF(ROW()-2&gt;='参数'!$B$2,STDEV(OFFSET(F3,1-'参数'!$B$2,0,'参数'!$B$2,1))*SQRT('参数'!$B$3),"")</f>
        <v/>
      </c>
    </row>
    <row r="4">
      <c r="A4">
        <f>'对齐'!A4</f>
        <v/>
      </c>
      <c r="B4">
        <f>'对齐'!B4/'对齐'!B3-1</f>
        <v/>
      </c>
      <c r="C4">
        <f>'对齐'!B4/'对齐'!B$2*100</f>
        <v/>
      </c>
      <c r="D4">
        <f>'对齐'!B4/MAX('对齐'!B$2:'对齐'!B4)-1</f>
        <v/>
      </c>
      <c r="E4">
        <f>IF(ROW()-2&gt;='参数'!$B$2,STDEV(OFFSET(B4,1-'参数'!$B$2,0,'参数'!$B$2,1))*SQRT('参数'!$B$3),"")</f>
        <v/>
      </c>
      <c r="F4">
        <f>'对齐'!C4/'对齐'!C3-1</f>
        <v/>
      </c>
      <c r="G4">
        <f>'对齐'!C4/'对齐'!C$2*100</f>
        <v/>
      </c>
      <c r="H4">
        <f>'对齐'!C4/MAX('对齐'!C$2:'对齐'!C4)-1</f>
        <v/>
      </c>
      <c r="I4">
        <f>IF(ROW()-2&gt;='参数'!$B$2,STDEV(OFFSET(F4,1-'参数'!$B$2,0,'参数'!$B$2,1))*SQRT('参数'!$B$3),"")</f>
        <v/>
      </c>
    </row>
    <row r="5">
      <c r="A5">
        <f>'对齐'!A5</f>
        <v/>
      </c>
      <c r="B5">
        <f>'对齐'!B5/'对齐'!B4-1</f>
        <v/>
      </c>
      <c r="C5">
        <f>'对齐'!B5/'对齐'!B$2*100</f>
        <v/>
      </c>
      <c r="D5">
        <f>'对齐'!B5/MAX('对齐'!B$2:'对齐'!B5)-1</f>
        <v/>
      </c>
      <c r="E5">
        <f>IF(ROW()-2&gt;='参数'!$B$2,STDEV(OFFSET(B5,1-'参数'!$B$2,0,'参数'!$B$2,1))*SQRT('参数'!$B$3),"")</f>
        <v/>
      </c>
      <c r="F5">
        <f>'对齐'!C5/'对齐'!C4-1</f>
        <v/>
      </c>
      <c r="G5">
        <f>'对齐'!C5/'对齐'!C$2*100</f>
        <v/>
      </c>
      <c r="H5">
        <f>'对齐'!C5/MAX('对齐'!C$2:'对齐'!C5)-1</f>
        <v/>
      </c>
      <c r="I5">
        <f>IF(ROW()-2&gt;='参数'!$B$2,STDEV(OFFSET(F5,1-'参数'!$B$2,0,'参数'!$B$2,1))*SQRT('参数'!$B$3),"")</f>
        <v/>
      </c>
    </row>
    <row r="6">
      <c r="A6">
        <f>'对齐'!A6</f>
        <v/>
      </c>
      <c r="B6">
        <f>'对齐'!B6/'对齐'!B5-1</f>
        <v/>
      </c>
      <c r="C6">
        <f>'对齐'!B6/'对齐'!B$2*100</f>
        <v/>
      </c>
      <c r="D6">
        <f>'对齐'!B6/MAX('对齐'!B$2:'对齐'!B6)-1</f>
        <v/>
      </c>
      <c r="E6">
        <f>IF(ROW()-2&gt;='参数'!$B$2,STDEV(OFFSET(B6,1-'参数'!$B$2,0,'参数'!$B$2,1))*SQRT('参数'!$B$3),"")</f>
        <v/>
      </c>
      <c r="F6">
        <f>'对齐'!C6/'对齐'!C5-1</f>
        <v/>
      </c>
      <c r="G6">
        <f>'对齐'!C6/'对齐'!C$2*100</f>
        <v/>
      </c>
      <c r="H6">
        <f>'对齐'!C6/MAX('对齐'!C$2:'对齐'!C6)-1</f>
        <v/>
      </c>
      <c r="I6">
        <f>IF(ROW()-2&gt;='参数'!$B$2,STDEV(OFFSET(F6,1-'参数'!$B$2,0,'参数'!$B$2,1))*SQRT('参数'!$B$3),"")</f>
        <v/>
      </c>
    </row>
    <row r="7">
      <c r="A7">
        <f>'对齐'!A7</f>
        <v/>
      </c>
      <c r="B7">
        <f>'对齐'!B7/'对齐'!B6-1</f>
        <v/>
      </c>
      <c r="C7">
        <f>'对齐'!B7/'对齐'!B$2*100</f>
        <v/>
      </c>
      <c r="D7">
        <f>'对齐'!B7/MAX('对齐'!B$2:'对齐'!B7)-1</f>
        <v/>
      </c>
      <c r="E7">
        <f>IF(ROW()-2&gt;='参数'!$B$2,STDEV(OFFSET(B7,1-'参数'!$B$2,0,'参数'!$B$2,1))*SQRT('参数'!$B$3),"")</f>
        <v/>
      </c>
      <c r="F7">
        <f>'对齐'!C7/'对齐'!C6-1</f>
        <v/>
      </c>
      <c r="G7">
        <f>'对齐'!C7/'对齐'!C$2*100</f>
        <v/>
      </c>
      <c r="H7">
        <f>'对齐'!C7/MAX('对齐'!C$2:'对齐'!C7)-1</f>
        <v/>
      </c>
      <c r="I7">
        <f>IF(ROW()-2&gt;='参数'!$B$2,STDEV(OFFSET(F7,1-'参数'!$B$2,0,'参数'!$B$2,1))*SQRT('参数'!$B$3),"")</f>
        <v/>
      </c>
    </row>
    <row r="8">
      <c r="A8">
        <f>'对齐'!A8</f>
        <v/>
      </c>
      <c r="B8">
        <f>'对齐'!B8/'对齐'!B7-1</f>
        <v/>
      </c>
      <c r="C8">
        <f>'对齐'!B8/'对齐'!B$2*100</f>
        <v/>
      </c>
      <c r="D8">
        <f>'对齐'!B8/MAX('对齐'!B$2:'对齐'!B8)-1</f>
        <v/>
      </c>
      <c r="E8">
        <f>IF(ROW()-2&gt;='参数'!$B$2,STDEV(OFFSET(B8,1-'参数'!$B$2,0,'参数'!$B$2,1))*SQRT('参数'!$B$3),"")</f>
        <v/>
      </c>
      <c r="F8">
        <f>'对齐'!C8/'对齐'!C7-1</f>
        <v/>
      </c>
      <c r="G8">
        <f>'对齐'!C8/'对齐'!C$2*100</f>
        <v/>
      </c>
      <c r="H8">
        <f>'对齐'!C8/MAX('对齐'!C$2:'对齐'!C8)-1</f>
        <v/>
      </c>
      <c r="I8">
        <f>IF(ROW()-2&gt;='参数'!$B$2,STDEV(OFFSET(F8,1-'参数'!$B$2,0,'参数'!$B$2,1))*SQRT('参数'!$B$3),"")</f>
        <v/>
      </c>
    </row>
    <row r="9">
      <c r="A9">
        <f>'对齐'!A9</f>
        <v/>
      </c>
      <c r="B9">
        <f>'对齐'!B9/'对齐'!B8-1</f>
        <v/>
      </c>
      <c r="C9">
        <f>'对齐'!B9/'对齐'!B$2*100</f>
        <v/>
      </c>
      <c r="D9">
        <f>'对齐'!B9/MAX('对齐'!B$2:'对齐'!B9)-1</f>
        <v/>
      </c>
      <c r="E9">
        <f>IF(ROW()-2&gt;='参数'!$B$2,STDEV(OFFSET(B9,1-'参数'!$B$2,0,'参数'!$B$2,1))*SQRT('参数'!$B$3),"")</f>
        <v/>
      </c>
      <c r="F9">
        <f>'对齐'!C9/'对齐'!C8-1</f>
        <v/>
      </c>
      <c r="G9">
        <f>'对齐'!C9/'对齐'!C$2*100</f>
        <v/>
      </c>
      <c r="H9">
        <f>'对齐'!C9/MAX('对齐'!C$2:'对齐'!C9)-1</f>
        <v/>
      </c>
      <c r="I9">
        <f>IF(ROW()-2&gt;='参数'!$B$2,STDEV(OFFSET(F9,1-'参数'!$B$2,0,'参数'!$B$2,1))*SQRT('参数'!$B$3),"")</f>
        <v/>
      </c>
    </row>
    <row r="10">
      <c r="A10">
        <f>'对齐'!A10</f>
        <v/>
      </c>
      <c r="B10">
        <f>'对齐'!B10/'对齐'!B9-1</f>
        <v/>
      </c>
      <c r="C10">
        <f>'对齐'!B10/'对齐'!B$2*100</f>
        <v/>
      </c>
      <c r="D10">
        <f>'对齐'!B10/MAX('对齐'!B$2:'对齐'!B10)-1</f>
        <v/>
      </c>
      <c r="E10">
        <f>IF(ROW()-2&gt;='参数'!$B$2,STDEV(OFFSET(B10,1-'参数'!$B$2,0,'参数'!$B$2,1))*SQRT('参数'!$B$3),"")</f>
        <v/>
      </c>
      <c r="F10">
        <f>'对齐'!C10/'对齐'!C9-1</f>
        <v/>
      </c>
      <c r="G10">
        <f>'对齐'!C10/'对齐'!C$2*100</f>
        <v/>
      </c>
      <c r="H10">
        <f>'对齐'!C10/MAX('对齐'!C$2:'对齐'!C10)-1</f>
        <v/>
      </c>
      <c r="I10">
        <f>IF(ROW()-2&gt;='参数'!$B$2,STDEV(OFFSET(F10,1-'参数'!$B$2,0,'参数'!$B$2,1))*SQRT('参数'!$B$3),"")</f>
        <v/>
      </c>
    </row>
    <row r="11">
      <c r="A11">
        <f>'对齐'!A11</f>
        <v/>
      </c>
      <c r="B11">
        <f>'对齐'!B11/'对齐'!B10-1</f>
        <v/>
      </c>
      <c r="C11">
        <f>'对齐'!B11/'对齐'!B$2*100</f>
        <v/>
      </c>
      <c r="D11">
        <f>'对齐'!B11/MAX('对齐'!B$2:'对齐'!B11)-1</f>
        <v/>
      </c>
      <c r="E11">
        <f>IF(ROW()-2&gt;='参数'!$B$2,STDEV(OFFSET(B11,1-'参数'!$B$2,0,'参数'!$B$2,1))*SQRT('参数'!$B$3),"")</f>
        <v/>
      </c>
      <c r="F11">
        <f>'对齐'!C11/'对齐'!C10-1</f>
        <v/>
      </c>
      <c r="G11">
        <f>'对齐'!C11/'对齐'!C$2*100</f>
        <v/>
      </c>
      <c r="H11">
        <f>'对齐'!C11/MAX('对齐'!C$2:'对齐'!C11)-1</f>
        <v/>
      </c>
      <c r="I11">
        <f>IF(ROW()-2&gt;='参数'!$B$2,STDEV(OFFSET(F11,1-'参数'!$B$2,0,'参数'!$B$2,1))*SQRT('参数'!$B$3),"")</f>
        <v/>
      </c>
    </row>
    <row r="12">
      <c r="A12">
        <f>'对齐'!A12</f>
        <v/>
      </c>
      <c r="B12">
        <f>'对齐'!B12/'对齐'!B11-1</f>
        <v/>
      </c>
      <c r="C12">
        <f>'对齐'!B12/'对齐'!B$2*100</f>
        <v/>
      </c>
      <c r="D12">
        <f>'对齐'!B12/MAX('对齐'!B$2:'对齐'!B12)-1</f>
        <v/>
      </c>
      <c r="E12">
        <f>IF(ROW()-2&gt;='参数'!$B$2,STDEV(OFFSET(B12,1-'参数'!$B$2,0,'参数'!$B$2,1))*SQRT('参数'!$B$3),"")</f>
        <v/>
      </c>
      <c r="F12">
        <f>'对齐'!C12/'对齐'!C11-1</f>
        <v/>
      </c>
      <c r="G12">
        <f>'对齐'!C12/'对齐'!C$2*100</f>
        <v/>
      </c>
      <c r="H12">
        <f>'对齐'!C12/MAX('对齐'!C$2:'对齐'!C12)-1</f>
        <v/>
      </c>
      <c r="I12">
        <f>IF(ROW()-2&gt;='参数'!$B$2,STDEV(OFFSET(F12,1-'参数'!$B$2,0,'参数'!$B$2,1))*SQRT('参数'!$B$3),"")</f>
        <v/>
      </c>
    </row>
    <row r="13">
      <c r="A13">
        <f>'对齐'!A13</f>
        <v/>
      </c>
      <c r="B13">
        <f>'对齐'!B13/'对齐'!B12-1</f>
        <v/>
      </c>
      <c r="C13">
        <f>'对齐'!B13/'对齐'!B$2*100</f>
        <v/>
      </c>
      <c r="D13">
        <f>'对齐'!B13/MAX('对齐'!B$2:'对齐'!B13)-1</f>
        <v/>
      </c>
      <c r="E13">
        <f>IF(ROW()-2&gt;='参数'!$B$2,STDEV(OFFSET(B13,1-'参数'!$B$2,0,'参数'!$B$2,1))*SQRT('参数'!$B$3),"")</f>
        <v/>
      </c>
      <c r="F13">
        <f>'对齐'!C13/'对齐'!C12-1</f>
        <v/>
      </c>
      <c r="G13">
        <f>'对齐'!C13/'对齐'!C$2*100</f>
        <v/>
      </c>
      <c r="H13">
        <f>'对齐'!C13/MAX('对齐'!C$2:'对齐'!C13)-1</f>
        <v/>
      </c>
      <c r="I13">
        <f>IF(ROW()-2&gt;='参数'!$B$2,STDEV(OFFSET(F13,1-'参数'!$B$2,0,'参数'!$B$2,1))*SQRT('参数'!$B$3),"")</f>
        <v/>
      </c>
    </row>
    <row r="14">
      <c r="A14">
        <f>'对齐'!A14</f>
        <v/>
      </c>
      <c r="B14">
        <f>'对齐'!B14/'对齐'!B13-1</f>
        <v/>
      </c>
      <c r="C14">
        <f>'对齐'!B14/'对齐'!B$2*100</f>
        <v/>
      </c>
      <c r="D14">
        <f>'对齐'!B14/MAX('对齐'!B$2:'对齐'!B14)-1</f>
        <v/>
      </c>
      <c r="E14">
        <f>IF(ROW()-2&gt;='参数'!$B$2,STDEV(OFFSET(B14,1-'参数'!$B$2,0,'参数'!$B$2,1))*SQRT('参数'!$B$3),"")</f>
        <v/>
      </c>
      <c r="F14">
        <f>'对齐'!C14/'对齐'!C13-1</f>
        <v/>
      </c>
      <c r="G14">
        <f>'对齐'!C14/'对齐'!C$2*100</f>
        <v/>
      </c>
      <c r="H14">
        <f>'对齐'!C14/MAX('对齐'!C$2:'对齐'!C14)-1</f>
        <v/>
      </c>
      <c r="I14">
        <f>IF(ROW()-2&gt;='参数'!$B$2,STDEV(OFFSET(F14,1-'参数'!$B$2,0,'参数'!$B$2,1))*SQRT('参数'!$B$3),"")</f>
        <v/>
      </c>
    </row>
    <row r="15">
      <c r="A15">
        <f>'对齐'!A15</f>
        <v/>
      </c>
      <c r="B15">
        <f>'对齐'!B15/'对齐'!B14-1</f>
        <v/>
      </c>
      <c r="C15">
        <f>'对齐'!B15/'对齐'!B$2*100</f>
        <v/>
      </c>
      <c r="D15">
        <f>'对齐'!B15/MAX('对齐'!B$2:'对齐'!B15)-1</f>
        <v/>
      </c>
      <c r="E15">
        <f>IF(ROW()-2&gt;='参数'!$B$2,STDEV(OFFSET(B15,1-'参数'!$B$2,0,'参数'!$B$2,1))*SQRT('参数'!$B$3),"")</f>
        <v/>
      </c>
      <c r="F15">
        <f>'对齐'!C15/'对齐'!C14-1</f>
        <v/>
      </c>
      <c r="G15">
        <f>'对齐'!C15/'对齐'!C$2*100</f>
        <v/>
      </c>
      <c r="H15">
        <f>'对齐'!C15/MAX('对齐'!C$2:'对齐'!C15)-1</f>
        <v/>
      </c>
      <c r="I15">
        <f>IF(ROW()-2&gt;='参数'!$B$2,STDEV(OFFSET(F15,1-'参数'!$B$2,0,'参数'!$B$2,1))*SQRT('参数'!$B$3),"")</f>
        <v/>
      </c>
    </row>
    <row r="16">
      <c r="A16">
        <f>'对齐'!A16</f>
        <v/>
      </c>
      <c r="B16">
        <f>'对齐'!B16/'对齐'!B15-1</f>
        <v/>
      </c>
      <c r="C16">
        <f>'对齐'!B16/'对齐'!B$2*100</f>
        <v/>
      </c>
      <c r="D16">
        <f>'对齐'!B16/MAX('对齐'!B$2:'对齐'!B16)-1</f>
        <v/>
      </c>
      <c r="E16">
        <f>IF(ROW()-2&gt;='参数'!$B$2,STDEV(OFFSET(B16,1-'参数'!$B$2,0,'参数'!$B$2,1))*SQRT('参数'!$B$3),"")</f>
        <v/>
      </c>
      <c r="F16">
        <f>'对齐'!C16/'对齐'!C15-1</f>
        <v/>
      </c>
      <c r="G16">
        <f>'对齐'!C16/'对齐'!C$2*100</f>
        <v/>
      </c>
      <c r="H16">
        <f>'对齐'!C16/MAX('对齐'!C$2:'对齐'!C16)-1</f>
        <v/>
      </c>
      <c r="I16">
        <f>IF(ROW()-2&gt;='参数'!$B$2,STDEV(OFFSET(F16,1-'参数'!$B$2,0,'参数'!$B$2,1))*SQRT('参数'!$B$3),"")</f>
        <v/>
      </c>
    </row>
    <row r="17">
      <c r="A17">
        <f>'对齐'!A17</f>
        <v/>
      </c>
      <c r="B17">
        <f>'对齐'!B17/'对齐'!B16-1</f>
        <v/>
      </c>
      <c r="C17">
        <f>'对齐'!B17/'对齐'!B$2*100</f>
        <v/>
      </c>
      <c r="D17">
        <f>'对齐'!B17/MAX('对齐'!B$2:'对齐'!B17)-1</f>
        <v/>
      </c>
      <c r="E17">
        <f>IF(ROW()-2&gt;='参数'!$B$2,STDEV(OFFSET(B17,1-'参数'!$B$2,0,'参数'!$B$2,1))*SQRT('参数'!$B$3),"")</f>
        <v/>
      </c>
      <c r="F17">
        <f>'对齐'!C17/'对齐'!C16-1</f>
        <v/>
      </c>
      <c r="G17">
        <f>'对齐'!C17/'对齐'!C$2*100</f>
        <v/>
      </c>
      <c r="H17">
        <f>'对齐'!C17/MAX('对齐'!C$2:'对齐'!C17)-1</f>
        <v/>
      </c>
      <c r="I17">
        <f>IF(ROW()-2&gt;='参数'!$B$2,STDEV(OFFSET(F17,1-'参数'!$B$2,0,'参数'!$B$2,1))*SQRT('参数'!$B$3),"")</f>
        <v/>
      </c>
    </row>
    <row r="18">
      <c r="A18">
        <f>'对齐'!A18</f>
        <v/>
      </c>
      <c r="B18">
        <f>'对齐'!B18/'对齐'!B17-1</f>
        <v/>
      </c>
      <c r="C18">
        <f>'对齐'!B18/'对齐'!B$2*100</f>
        <v/>
      </c>
      <c r="D18">
        <f>'对齐'!B18/MAX('对齐'!B$2:'对齐'!B18)-1</f>
        <v/>
      </c>
      <c r="E18">
        <f>IF(ROW()-2&gt;='参数'!$B$2,STDEV(OFFSET(B18,1-'参数'!$B$2,0,'参数'!$B$2,1))*SQRT('参数'!$B$3),"")</f>
        <v/>
      </c>
      <c r="F18">
        <f>'对齐'!C18/'对齐'!C17-1</f>
        <v/>
      </c>
      <c r="G18">
        <f>'对齐'!C18/'对齐'!C$2*100</f>
        <v/>
      </c>
      <c r="H18">
        <f>'对齐'!C18/MAX('对齐'!C$2:'对齐'!C18)-1</f>
        <v/>
      </c>
      <c r="I18">
        <f>IF(ROW()-2&gt;='参数'!$B$2,STDEV(OFFSET(F18,1-'参数'!$B$2,0,'参数'!$B$2,1))*SQRT('参数'!$B$3),"")</f>
        <v/>
      </c>
    </row>
    <row r="19">
      <c r="A19">
        <f>'对齐'!A19</f>
        <v/>
      </c>
      <c r="B19">
        <f>'对齐'!B19/'对齐'!B18-1</f>
        <v/>
      </c>
      <c r="C19">
        <f>'对齐'!B19/'对齐'!B$2*100</f>
        <v/>
      </c>
      <c r="D19">
        <f>'对齐'!B19/MAX('对齐'!B$2:'对齐'!B19)-1</f>
        <v/>
      </c>
      <c r="E19">
        <f>IF(ROW()-2&gt;='参数'!$B$2,STDEV(OFFSET(B19,1-'参数'!$B$2,0,'参数'!$B$2,1))*SQRT('参数'!$B$3),"")</f>
        <v/>
      </c>
      <c r="F19">
        <f>'对齐'!C19/'对齐'!C18-1</f>
        <v/>
      </c>
      <c r="G19">
        <f>'对齐'!C19/'对齐'!C$2*100</f>
        <v/>
      </c>
      <c r="H19">
        <f>'对齐'!C19/MAX('对齐'!C$2:'对齐'!C19)-1</f>
        <v/>
      </c>
      <c r="I19">
        <f>IF(ROW()-2&gt;='参数'!$B$2,STDEV(OFFSET(F19,1-'参数'!$B$2,0,'参数'!$B$2,1))*SQRT('参数'!$B$3),"")</f>
        <v/>
      </c>
    </row>
    <row r="20">
      <c r="A20">
        <f>'对齐'!A20</f>
        <v/>
      </c>
      <c r="B20">
        <f>'对齐'!B20/'对齐'!B19-1</f>
        <v/>
      </c>
      <c r="C20">
        <f>'对齐'!B20/'对齐'!B$2*100</f>
        <v/>
      </c>
      <c r="D20">
        <f>'对齐'!B20/MAX('对齐'!B$2:'对齐'!B20)-1</f>
        <v/>
      </c>
      <c r="E20">
        <f>IF(ROW()-2&gt;='参数'!$B$2,STDEV(OFFSET(B20,1-'参数'!$B$2,0,'参数'!$B$2,1))*SQRT('参数'!$B$3),"")</f>
        <v/>
      </c>
      <c r="F20">
        <f>'对齐'!C20/'对齐'!C19-1</f>
        <v/>
      </c>
      <c r="G20">
        <f>'对齐'!C20/'对齐'!C$2*100</f>
        <v/>
      </c>
      <c r="H20">
        <f>'对齐'!C20/MAX('对齐'!C$2:'对齐'!C20)-1</f>
        <v/>
      </c>
      <c r="I20">
        <f>IF(ROW()-2&gt;='参数'!$B$2,STDEV(OFFSET(F20,1-'参数'!$B$2,0,'参数'!$B$2,1))*SQRT('参数'!$B$3),"")</f>
        <v/>
      </c>
    </row>
    <row r="21">
      <c r="A21">
        <f>'对齐'!A21</f>
        <v/>
      </c>
      <c r="B21">
        <f>'对齐'!B21/'对齐'!B20-1</f>
        <v/>
      </c>
      <c r="C21">
        <f>'对齐'!B21/'对齐'!B$2*100</f>
        <v/>
      </c>
      <c r="D21">
        <f>'对齐'!B21/MAX('对齐'!B$2:'对齐'!B21)-1</f>
        <v/>
      </c>
      <c r="E21">
        <f>IF(ROW()-2&gt;='参数'!$B$2,STDEV(OFFSET(B21,1-'参数'!$B$2,0,'参数'!$B$2,1))*SQRT('参数'!$B$3),"")</f>
        <v/>
      </c>
      <c r="F21">
        <f>'对齐'!C21/'对齐'!C20-1</f>
        <v/>
      </c>
      <c r="G21">
        <f>'对齐'!C21/'对齐'!C$2*100</f>
        <v/>
      </c>
      <c r="H21">
        <f>'对齐'!C21/MAX('对齐'!C$2:'对齐'!C21)-1</f>
        <v/>
      </c>
      <c r="I21">
        <f>IF(ROW()-2&gt;='参数'!$B$2,STDEV(OFFSET(F21,1-'参数'!$B$2,0,'参数'!$B$2,1))*SQRT('参数'!$B$3),"")</f>
        <v/>
      </c>
    </row>
    <row r="22">
      <c r="A22">
        <f>'对齐'!A22</f>
        <v/>
      </c>
      <c r="B22">
        <f>'对齐'!B22/'对齐'!B21-1</f>
        <v/>
      </c>
      <c r="C22">
        <f>'对齐'!B22/'对齐'!B$2*100</f>
        <v/>
      </c>
      <c r="D22">
        <f>'对齐'!B22/MAX('对齐'!B$2:'对齐'!B22)-1</f>
        <v/>
      </c>
      <c r="E22">
        <f>IF(ROW()-2&gt;='参数'!$B$2,STDEV(OFFSET(B22,1-'参数'!$B$2,0,'参数'!$B$2,1))*SQRT('参数'!$B$3),"")</f>
        <v/>
      </c>
      <c r="F22">
        <f>'对齐'!C22/'对齐'!C21-1</f>
        <v/>
      </c>
      <c r="G22">
        <f>'对齐'!C22/'对齐'!C$2*100</f>
        <v/>
      </c>
      <c r="H22">
        <f>'对齐'!C22/MAX('对齐'!C$2:'对齐'!C22)-1</f>
        <v/>
      </c>
      <c r="I22">
        <f>IF(ROW()-2&gt;='参数'!$B$2,STDEV(OFFSET(F22,1-'参数'!$B$2,0,'参数'!$B$2,1))*SQRT('参数'!$B$3),"")</f>
        <v/>
      </c>
    </row>
    <row r="23">
      <c r="A23">
        <f>'对齐'!A23</f>
        <v/>
      </c>
      <c r="B23">
        <f>'对齐'!B23/'对齐'!B22-1</f>
        <v/>
      </c>
      <c r="C23">
        <f>'对齐'!B23/'对齐'!B$2*100</f>
        <v/>
      </c>
      <c r="D23">
        <f>'对齐'!B23/MAX('对齐'!B$2:'对齐'!B23)-1</f>
        <v/>
      </c>
      <c r="E23">
        <f>IF(ROW()-2&gt;='参数'!$B$2,STDEV(OFFSET(B23,1-'参数'!$B$2,0,'参数'!$B$2,1))*SQRT('参数'!$B$3),"")</f>
        <v/>
      </c>
      <c r="F23">
        <f>'对齐'!C23/'对齐'!C22-1</f>
        <v/>
      </c>
      <c r="G23">
        <f>'对齐'!C23/'对齐'!C$2*100</f>
        <v/>
      </c>
      <c r="H23">
        <f>'对齐'!C23/MAX('对齐'!C$2:'对齐'!C23)-1</f>
        <v/>
      </c>
      <c r="I23">
        <f>IF(ROW()-2&gt;='参数'!$B$2,STDEV(OFFSET(F23,1-'参数'!$B$2,0,'参数'!$B$2,1))*SQRT('参数'!$B$3),"")</f>
        <v/>
      </c>
    </row>
    <row r="24">
      <c r="A24">
        <f>'对齐'!A24</f>
        <v/>
      </c>
      <c r="B24">
        <f>'对齐'!B24/'对齐'!B23-1</f>
        <v/>
      </c>
      <c r="C24">
        <f>'对齐'!B24/'对齐'!B$2*100</f>
        <v/>
      </c>
      <c r="D24">
        <f>'对齐'!B24/MAX('对齐'!B$2:'对齐'!B24)-1</f>
        <v/>
      </c>
      <c r="E24">
        <f>IF(ROW()-2&gt;='参数'!$B$2,STDEV(OFFSET(B24,1-'参数'!$B$2,0,'参数'!$B$2,1))*SQRT('参数'!$B$3),"")</f>
        <v/>
      </c>
      <c r="F24">
        <f>'对齐'!C24/'对齐'!C23-1</f>
        <v/>
      </c>
      <c r="G24">
        <f>'对齐'!C24/'对齐'!C$2*100</f>
        <v/>
      </c>
      <c r="H24">
        <f>'对齐'!C24/MAX('对齐'!C$2:'对齐'!C24)-1</f>
        <v/>
      </c>
      <c r="I24">
        <f>IF(ROW()-2&gt;='参数'!$B$2,STDEV(OFFSET(F24,1-'参数'!$B$2,0,'参数'!$B$2,1))*SQRT('参数'!$B$3),"")</f>
        <v/>
      </c>
    </row>
    <row r="25">
      <c r="A25">
        <f>'对齐'!A25</f>
        <v/>
      </c>
      <c r="B25">
        <f>'对齐'!B25/'对齐'!B24-1</f>
        <v/>
      </c>
      <c r="C25">
        <f>'对齐'!B25/'对齐'!B$2*100</f>
        <v/>
      </c>
      <c r="D25">
        <f>'对齐'!B25/MAX('对齐'!B$2:'对齐'!B25)-1</f>
        <v/>
      </c>
      <c r="E25">
        <f>IF(ROW()-2&gt;='参数'!$B$2,STDEV(OFFSET(B25,1-'参数'!$B$2,0,'参数'!$B$2,1))*SQRT('参数'!$B$3),"")</f>
        <v/>
      </c>
      <c r="F25">
        <f>'对齐'!C25/'对齐'!C24-1</f>
        <v/>
      </c>
      <c r="G25">
        <f>'对齐'!C25/'对齐'!C$2*100</f>
        <v/>
      </c>
      <c r="H25">
        <f>'对齐'!C25/MAX('对齐'!C$2:'对齐'!C25)-1</f>
        <v/>
      </c>
      <c r="I25">
        <f>IF(ROW()-2&gt;='参数'!$B$2,STDEV(OFFSET(F25,1-'参数'!$B$2,0,'参数'!$B$2,1))*SQRT('参数'!$B$3),"")</f>
        <v/>
      </c>
    </row>
    <row r="26">
      <c r="A26">
        <f>'对齐'!A26</f>
        <v/>
      </c>
      <c r="B26">
        <f>'对齐'!B26/'对齐'!B25-1</f>
        <v/>
      </c>
      <c r="C26">
        <f>'对齐'!B26/'对齐'!B$2*100</f>
        <v/>
      </c>
      <c r="D26">
        <f>'对齐'!B26/MAX('对齐'!B$2:'对齐'!B26)-1</f>
        <v/>
      </c>
      <c r="E26">
        <f>IF(ROW()-2&gt;='参数'!$B$2,STDEV(OFFSET(B26,1-'参数'!$B$2,0,'参数'!$B$2,1))*SQRT('参数'!$B$3),"")</f>
        <v/>
      </c>
      <c r="F26">
        <f>'对齐'!C26/'对齐'!C25-1</f>
        <v/>
      </c>
      <c r="G26">
        <f>'对齐'!C26/'对齐'!C$2*100</f>
        <v/>
      </c>
      <c r="H26">
        <f>'对齐'!C26/MAX('对齐'!C$2:'对齐'!C26)-1</f>
        <v/>
      </c>
      <c r="I26">
        <f>IF(ROW()-2&gt;='参数'!$B$2,STDEV(OFFSET(F26,1-'参数'!$B$2,0,'参数'!$B$2,1))*SQRT('参数'!$B$3),"")</f>
        <v/>
      </c>
    </row>
    <row r="27">
      <c r="A27">
        <f>'对齐'!A27</f>
        <v/>
      </c>
      <c r="B27">
        <f>'对齐'!B27/'对齐'!B26-1</f>
        <v/>
      </c>
      <c r="C27">
        <f>'对齐'!B27/'对齐'!B$2*100</f>
        <v/>
      </c>
      <c r="D27">
        <f>'对齐'!B27/MAX('对齐'!B$2:'对齐'!B27)-1</f>
        <v/>
      </c>
      <c r="E27">
        <f>IF(ROW()-2&gt;='参数'!$B$2,STDEV(OFFSET(B27,1-'参数'!$B$2,0,'参数'!$B$2,1))*SQRT('参数'!$B$3),"")</f>
        <v/>
      </c>
      <c r="F27">
        <f>'对齐'!C27/'对齐'!C26-1</f>
        <v/>
      </c>
      <c r="G27">
        <f>'对齐'!C27/'对齐'!C$2*100</f>
        <v/>
      </c>
      <c r="H27">
        <f>'对齐'!C27/MAX('对齐'!C$2:'对齐'!C27)-1</f>
        <v/>
      </c>
      <c r="I27">
        <f>IF(ROW()-2&gt;='参数'!$B$2,STDEV(OFFSET(F27,1-'参数'!$B$2,0,'参数'!$B$2,1))*SQRT('参数'!$B$3),"")</f>
        <v/>
      </c>
    </row>
    <row r="28">
      <c r="A28">
        <f>'对齐'!A28</f>
        <v/>
      </c>
      <c r="B28">
        <f>'对齐'!B28/'对齐'!B27-1</f>
        <v/>
      </c>
      <c r="C28">
        <f>'对齐'!B28/'对齐'!B$2*100</f>
        <v/>
      </c>
      <c r="D28">
        <f>'对齐'!B28/MAX('对齐'!B$2:'对齐'!B28)-1</f>
        <v/>
      </c>
      <c r="E28">
        <f>IF(ROW()-2&gt;='参数'!$B$2,STDEV(OFFSET(B28,1-'参数'!$B$2,0,'参数'!$B$2,1))*SQRT('参数'!$B$3),"")</f>
        <v/>
      </c>
      <c r="F28">
        <f>'对齐'!C28/'对齐'!C27-1</f>
        <v/>
      </c>
      <c r="G28">
        <f>'对齐'!C28/'对齐'!C$2*100</f>
        <v/>
      </c>
      <c r="H28">
        <f>'对齐'!C28/MAX('对齐'!C$2:'对齐'!C28)-1</f>
        <v/>
      </c>
      <c r="I28">
        <f>IF(ROW()-2&gt;='参数'!$B$2,STDEV(OFFSET(F28,1-'参数'!$B$2,0,'参数'!$B$2,1))*SQRT('参数'!$B$3),"")</f>
        <v/>
      </c>
    </row>
    <row r="29">
      <c r="A29">
        <f>'对齐'!A29</f>
        <v/>
      </c>
      <c r="B29">
        <f>'对齐'!B29/'对齐'!B28-1</f>
        <v/>
      </c>
      <c r="C29">
        <f>'对齐'!B29/'对齐'!B$2*100</f>
        <v/>
      </c>
      <c r="D29">
        <f>'对齐'!B29/MAX('对齐'!B$2:'对齐'!B29)-1</f>
        <v/>
      </c>
      <c r="E29">
        <f>IF(ROW()-2&gt;='参数'!$B$2,STDEV(OFFSET(B29,1-'参数'!$B$2,0,'参数'!$B$2,1))*SQRT('参数'!$B$3),"")</f>
        <v/>
      </c>
      <c r="F29">
        <f>'对齐'!C29/'对齐'!C28-1</f>
        <v/>
      </c>
      <c r="G29">
        <f>'对齐'!C29/'对齐'!C$2*100</f>
        <v/>
      </c>
      <c r="H29">
        <f>'对齐'!C29/MAX('对齐'!C$2:'对齐'!C29)-1</f>
        <v/>
      </c>
      <c r="I29">
        <f>IF(ROW()-2&gt;='参数'!$B$2,STDEV(OFFSET(F29,1-'参数'!$B$2,0,'参数'!$B$2,1))*SQRT('参数'!$B$3),"")</f>
        <v/>
      </c>
    </row>
    <row r="30">
      <c r="A30">
        <f>'对齐'!A30</f>
        <v/>
      </c>
      <c r="B30">
        <f>'对齐'!B30/'对齐'!B29-1</f>
        <v/>
      </c>
      <c r="C30">
        <f>'对齐'!B30/'对齐'!B$2*100</f>
        <v/>
      </c>
      <c r="D30">
        <f>'对齐'!B30/MAX('对齐'!B$2:'对齐'!B30)-1</f>
        <v/>
      </c>
      <c r="E30">
        <f>IF(ROW()-2&gt;='参数'!$B$2,STDEV(OFFSET(B30,1-'参数'!$B$2,0,'参数'!$B$2,1))*SQRT('参数'!$B$3),"")</f>
        <v/>
      </c>
      <c r="F30">
        <f>'对齐'!C30/'对齐'!C29-1</f>
        <v/>
      </c>
      <c r="G30">
        <f>'对齐'!C30/'对齐'!C$2*100</f>
        <v/>
      </c>
      <c r="H30">
        <f>'对齐'!C30/MAX('对齐'!C$2:'对齐'!C30)-1</f>
        <v/>
      </c>
      <c r="I30">
        <f>IF(ROW()-2&gt;='参数'!$B$2,STDEV(OFFSET(F30,1-'参数'!$B$2,0,'参数'!$B$2,1))*SQRT('参数'!$B$3),"")</f>
        <v/>
      </c>
    </row>
    <row r="31">
      <c r="A31">
        <f>'对齐'!A31</f>
        <v/>
      </c>
      <c r="B31">
        <f>'对齐'!B31/'对齐'!B30-1</f>
        <v/>
      </c>
      <c r="C31">
        <f>'对齐'!B31/'对齐'!B$2*100</f>
        <v/>
      </c>
      <c r="D31">
        <f>'对齐'!B31/MAX('对齐'!B$2:'对齐'!B31)-1</f>
        <v/>
      </c>
      <c r="E31">
        <f>IF(ROW()-2&gt;='参数'!$B$2,STDEV(OFFSET(B31,1-'参数'!$B$2,0,'参数'!$B$2,1))*SQRT('参数'!$B$3),"")</f>
        <v/>
      </c>
      <c r="F31">
        <f>'对齐'!C31/'对齐'!C30-1</f>
        <v/>
      </c>
      <c r="G31">
        <f>'对齐'!C31/'对齐'!C$2*100</f>
        <v/>
      </c>
      <c r="H31">
        <f>'对齐'!C31/MAX('对齐'!C$2:'对齐'!C31)-1</f>
        <v/>
      </c>
      <c r="I31">
        <f>IF(ROW()-2&gt;='参数'!$B$2,STDEV(OFFSET(F31,1-'参数'!$B$2,0,'参数'!$B$2,1))*SQRT('参数'!$B$3),"")</f>
        <v/>
      </c>
    </row>
    <row r="32">
      <c r="A32">
        <f>'对齐'!A32</f>
        <v/>
      </c>
      <c r="B32">
        <f>'对齐'!B32/'对齐'!B31-1</f>
        <v/>
      </c>
      <c r="C32">
        <f>'对齐'!B32/'对齐'!B$2*100</f>
        <v/>
      </c>
      <c r="D32">
        <f>'对齐'!B32/MAX('对齐'!B$2:'对齐'!B32)-1</f>
        <v/>
      </c>
      <c r="E32">
        <f>IF(ROW()-2&gt;='参数'!$B$2,STDEV(OFFSET(B32,1-'参数'!$B$2,0,'参数'!$B$2,1))*SQRT('参数'!$B$3),"")</f>
        <v/>
      </c>
      <c r="F32">
        <f>'对齐'!C32/'对齐'!C31-1</f>
        <v/>
      </c>
      <c r="G32">
        <f>'对齐'!C32/'对齐'!C$2*100</f>
        <v/>
      </c>
      <c r="H32">
        <f>'对齐'!C32/MAX('对齐'!C$2:'对齐'!C32)-1</f>
        <v/>
      </c>
      <c r="I32">
        <f>IF(ROW()-2&gt;='参数'!$B$2,STDEV(OFFSET(F32,1-'参数'!$B$2,0,'参数'!$B$2,1))*SQRT('参数'!$B$3),"")</f>
        <v/>
      </c>
    </row>
    <row r="33">
      <c r="A33">
        <f>'对齐'!A33</f>
        <v/>
      </c>
      <c r="B33">
        <f>'对齐'!B33/'对齐'!B32-1</f>
        <v/>
      </c>
      <c r="C33">
        <f>'对齐'!B33/'对齐'!B$2*100</f>
        <v/>
      </c>
      <c r="D33">
        <f>'对齐'!B33/MAX('对齐'!B$2:'对齐'!B33)-1</f>
        <v/>
      </c>
      <c r="E33">
        <f>IF(ROW()-2&gt;='参数'!$B$2,STDEV(OFFSET(B33,1-'参数'!$B$2,0,'参数'!$B$2,1))*SQRT('参数'!$B$3),"")</f>
        <v/>
      </c>
      <c r="F33">
        <f>'对齐'!C33/'对齐'!C32-1</f>
        <v/>
      </c>
      <c r="G33">
        <f>'对齐'!C33/'对齐'!C$2*100</f>
        <v/>
      </c>
      <c r="H33">
        <f>'对齐'!C33/MAX('对齐'!C$2:'对齐'!C33)-1</f>
        <v/>
      </c>
      <c r="I33">
        <f>IF(ROW()-2&gt;='参数'!$B$2,STDEV(OFFSET(F33,1-'参数'!$B$2,0,'参数'!$B$2,1))*SQRT('参数'!$B$3),"")</f>
        <v/>
      </c>
    </row>
    <row r="34">
      <c r="A34">
        <f>'对齐'!A34</f>
        <v/>
      </c>
      <c r="B34">
        <f>'对齐'!B34/'对齐'!B33-1</f>
        <v/>
      </c>
      <c r="C34">
        <f>'对齐'!B34/'对齐'!B$2*100</f>
        <v/>
      </c>
      <c r="D34">
        <f>'对齐'!B34/MAX('对齐'!B$2:'对齐'!B34)-1</f>
        <v/>
      </c>
      <c r="E34">
        <f>IF(ROW()-2&gt;='参数'!$B$2,STDEV(OFFSET(B34,1-'参数'!$B$2,0,'参数'!$B$2,1))*SQRT('参数'!$B$3),"")</f>
        <v/>
      </c>
      <c r="F34">
        <f>'对齐'!C34/'对齐'!C33-1</f>
        <v/>
      </c>
      <c r="G34">
        <f>'对齐'!C34/'对齐'!C$2*100</f>
        <v/>
      </c>
      <c r="H34">
        <f>'对齐'!C34/MAX('对齐'!C$2:'对齐'!C34)-1</f>
        <v/>
      </c>
      <c r="I34">
        <f>IF(ROW()-2&gt;='参数'!$B$2,STDEV(OFFSET(F34,1-'参数'!$B$2,0,'参数'!$B$2,1))*SQRT('参数'!$B$3),"")</f>
        <v/>
      </c>
    </row>
    <row r="35">
      <c r="A35">
        <f>'对齐'!A35</f>
        <v/>
      </c>
      <c r="B35">
        <f>'对齐'!B35/'对齐'!B34-1</f>
        <v/>
      </c>
      <c r="C35">
        <f>'对齐'!B35/'对齐'!B$2*100</f>
        <v/>
      </c>
      <c r="D35">
        <f>'对齐'!B35/MAX('对齐'!B$2:'对齐'!B35)-1</f>
        <v/>
      </c>
      <c r="E35">
        <f>IF(ROW()-2&gt;='参数'!$B$2,STDEV(OFFSET(B35,1-'参数'!$B$2,0,'参数'!$B$2,1))*SQRT('参数'!$B$3),"")</f>
        <v/>
      </c>
      <c r="F35">
        <f>'对齐'!C35/'对齐'!C34-1</f>
        <v/>
      </c>
      <c r="G35">
        <f>'对齐'!C35/'对齐'!C$2*100</f>
        <v/>
      </c>
      <c r="H35">
        <f>'对齐'!C35/MAX('对齐'!C$2:'对齐'!C35)-1</f>
        <v/>
      </c>
      <c r="I35">
        <f>IF(ROW()-2&gt;='参数'!$B$2,STDEV(OFFSET(F35,1-'参数'!$B$2,0,'参数'!$B$2,1))*SQRT('参数'!$B$3),"")</f>
        <v/>
      </c>
    </row>
    <row r="36">
      <c r="A36">
        <f>'对齐'!A36</f>
        <v/>
      </c>
      <c r="B36">
        <f>'对齐'!B36/'对齐'!B35-1</f>
        <v/>
      </c>
      <c r="C36">
        <f>'对齐'!B36/'对齐'!B$2*100</f>
        <v/>
      </c>
      <c r="D36">
        <f>'对齐'!B36/MAX('对齐'!B$2:'对齐'!B36)-1</f>
        <v/>
      </c>
      <c r="E36">
        <f>IF(ROW()-2&gt;='参数'!$B$2,STDEV(OFFSET(B36,1-'参数'!$B$2,0,'参数'!$B$2,1))*SQRT('参数'!$B$3),"")</f>
        <v/>
      </c>
      <c r="F36">
        <f>'对齐'!C36/'对齐'!C35-1</f>
        <v/>
      </c>
      <c r="G36">
        <f>'对齐'!C36/'对齐'!C$2*100</f>
        <v/>
      </c>
      <c r="H36">
        <f>'对齐'!C36/MAX('对齐'!C$2:'对齐'!C36)-1</f>
        <v/>
      </c>
      <c r="I36">
        <f>IF(ROW()-2&gt;='参数'!$B$2,STDEV(OFFSET(F36,1-'参数'!$B$2,0,'参数'!$B$2,1))*SQRT('参数'!$B$3),"")</f>
        <v/>
      </c>
    </row>
    <row r="37">
      <c r="A37">
        <f>'对齐'!A37</f>
        <v/>
      </c>
      <c r="B37">
        <f>'对齐'!B37/'对齐'!B36-1</f>
        <v/>
      </c>
      <c r="C37">
        <f>'对齐'!B37/'对齐'!B$2*100</f>
        <v/>
      </c>
      <c r="D37">
        <f>'对齐'!B37/MAX('对齐'!B$2:'对齐'!B37)-1</f>
        <v/>
      </c>
      <c r="E37">
        <f>IF(ROW()-2&gt;='参数'!$B$2,STDEV(OFFSET(B37,1-'参数'!$B$2,0,'参数'!$B$2,1))*SQRT('参数'!$B$3),"")</f>
        <v/>
      </c>
      <c r="F37">
        <f>'对齐'!C37/'对齐'!C36-1</f>
        <v/>
      </c>
      <c r="G37">
        <f>'对齐'!C37/'对齐'!C$2*100</f>
        <v/>
      </c>
      <c r="H37">
        <f>'对齐'!C37/MAX('对齐'!C$2:'对齐'!C37)-1</f>
        <v/>
      </c>
      <c r="I37">
        <f>IF(ROW()-2&gt;='参数'!$B$2,STDEV(OFFSET(F37,1-'参数'!$B$2,0,'参数'!$B$2,1))*SQRT('参数'!$B$3),"")</f>
        <v/>
      </c>
    </row>
    <row r="38">
      <c r="A38">
        <f>'对齐'!A38</f>
        <v/>
      </c>
      <c r="B38">
        <f>'对齐'!B38/'对齐'!B37-1</f>
        <v/>
      </c>
      <c r="C38">
        <f>'对齐'!B38/'对齐'!B$2*100</f>
        <v/>
      </c>
      <c r="D38">
        <f>'对齐'!B38/MAX('对齐'!B$2:'对齐'!B38)-1</f>
        <v/>
      </c>
      <c r="E38">
        <f>IF(ROW()-2&gt;='参数'!$B$2,STDEV(OFFSET(B38,1-'参数'!$B$2,0,'参数'!$B$2,1))*SQRT('参数'!$B$3),"")</f>
        <v/>
      </c>
      <c r="F38">
        <f>'对齐'!C38/'对齐'!C37-1</f>
        <v/>
      </c>
      <c r="G38">
        <f>'对齐'!C38/'对齐'!C$2*100</f>
        <v/>
      </c>
      <c r="H38">
        <f>'对齐'!C38/MAX('对齐'!C$2:'对齐'!C38)-1</f>
        <v/>
      </c>
      <c r="I38">
        <f>IF(ROW()-2&gt;='参数'!$B$2,STDEV(OFFSET(F38,1-'参数'!$B$2,0,'参数'!$B$2,1))*SQRT('参数'!$B$3),"")</f>
        <v/>
      </c>
    </row>
    <row r="39">
      <c r="A39">
        <f>'对齐'!A39</f>
        <v/>
      </c>
      <c r="B39">
        <f>'对齐'!B39/'对齐'!B38-1</f>
        <v/>
      </c>
      <c r="C39">
        <f>'对齐'!B39/'对齐'!B$2*100</f>
        <v/>
      </c>
      <c r="D39">
        <f>'对齐'!B39/MAX('对齐'!B$2:'对齐'!B39)-1</f>
        <v/>
      </c>
      <c r="E39">
        <f>IF(ROW()-2&gt;='参数'!$B$2,STDEV(OFFSET(B39,1-'参数'!$B$2,0,'参数'!$B$2,1))*SQRT('参数'!$B$3),"")</f>
        <v/>
      </c>
      <c r="F39">
        <f>'对齐'!C39/'对齐'!C38-1</f>
        <v/>
      </c>
      <c r="G39">
        <f>'对齐'!C39/'对齐'!C$2*100</f>
        <v/>
      </c>
      <c r="H39">
        <f>'对齐'!C39/MAX('对齐'!C$2:'对齐'!C39)-1</f>
        <v/>
      </c>
      <c r="I39">
        <f>IF(ROW()-2&gt;='参数'!$B$2,STDEV(OFFSET(F39,1-'参数'!$B$2,0,'参数'!$B$2,1))*SQRT('参数'!$B$3),"")</f>
        <v/>
      </c>
    </row>
    <row r="40">
      <c r="A40">
        <f>'对齐'!A40</f>
        <v/>
      </c>
      <c r="B40">
        <f>'对齐'!B40/'对齐'!B39-1</f>
        <v/>
      </c>
      <c r="C40">
        <f>'对齐'!B40/'对齐'!B$2*100</f>
        <v/>
      </c>
      <c r="D40">
        <f>'对齐'!B40/MAX('对齐'!B$2:'对齐'!B40)-1</f>
        <v/>
      </c>
      <c r="E40">
        <f>IF(ROW()-2&gt;='参数'!$B$2,STDEV(OFFSET(B40,1-'参数'!$B$2,0,'参数'!$B$2,1))*SQRT('参数'!$B$3),"")</f>
        <v/>
      </c>
      <c r="F40">
        <f>'对齐'!C40/'对齐'!C39-1</f>
        <v/>
      </c>
      <c r="G40">
        <f>'对齐'!C40/'对齐'!C$2*100</f>
        <v/>
      </c>
      <c r="H40">
        <f>'对齐'!C40/MAX('对齐'!C$2:'对齐'!C40)-1</f>
        <v/>
      </c>
      <c r="I40">
        <f>IF(ROW()-2&gt;='参数'!$B$2,STDEV(OFFSET(F40,1-'参数'!$B$2,0,'参数'!$B$2,1))*SQRT('参数'!$B$3),"")</f>
        <v/>
      </c>
    </row>
    <row r="41">
      <c r="A41">
        <f>'对齐'!A41</f>
        <v/>
      </c>
      <c r="B41">
        <f>'对齐'!B41/'对齐'!B40-1</f>
        <v/>
      </c>
      <c r="C41">
        <f>'对齐'!B41/'对齐'!B$2*100</f>
        <v/>
      </c>
      <c r="D41">
        <f>'对齐'!B41/MAX('对齐'!B$2:'对齐'!B41)-1</f>
        <v/>
      </c>
      <c r="E41">
        <f>IF(ROW()-2&gt;='参数'!$B$2,STDEV(OFFSET(B41,1-'参数'!$B$2,0,'参数'!$B$2,1))*SQRT('参数'!$B$3),"")</f>
        <v/>
      </c>
      <c r="F41">
        <f>'对齐'!C41/'对齐'!C40-1</f>
        <v/>
      </c>
      <c r="G41">
        <f>'对齐'!C41/'对齐'!C$2*100</f>
        <v/>
      </c>
      <c r="H41">
        <f>'对齐'!C41/MAX('对齐'!C$2:'对齐'!C41)-1</f>
        <v/>
      </c>
      <c r="I41">
        <f>IF(ROW()-2&gt;='参数'!$B$2,STDEV(OFFSET(F41,1-'参数'!$B$2,0,'参数'!$B$2,1))*SQRT('参数'!$B$3),"")</f>
        <v/>
      </c>
    </row>
    <row r="42">
      <c r="A42">
        <f>'对齐'!A42</f>
        <v/>
      </c>
      <c r="B42">
        <f>'对齐'!B42/'对齐'!B41-1</f>
        <v/>
      </c>
      <c r="C42">
        <f>'对齐'!B42/'对齐'!B$2*100</f>
        <v/>
      </c>
      <c r="D42">
        <f>'对齐'!B42/MAX('对齐'!B$2:'对齐'!B42)-1</f>
        <v/>
      </c>
      <c r="E42">
        <f>IF(ROW()-2&gt;='参数'!$B$2,STDEV(OFFSET(B42,1-'参数'!$B$2,0,'参数'!$B$2,1))*SQRT('参数'!$B$3),"")</f>
        <v/>
      </c>
      <c r="F42">
        <f>'对齐'!C42/'对齐'!C41-1</f>
        <v/>
      </c>
      <c r="G42">
        <f>'对齐'!C42/'对齐'!C$2*100</f>
        <v/>
      </c>
      <c r="H42">
        <f>'对齐'!C42/MAX('对齐'!C$2:'对齐'!C42)-1</f>
        <v/>
      </c>
      <c r="I42">
        <f>IF(ROW()-2&gt;='参数'!$B$2,STDEV(OFFSET(F42,1-'参数'!$B$2,0,'参数'!$B$2,1))*SQRT('参数'!$B$3),"")</f>
        <v/>
      </c>
    </row>
    <row r="43">
      <c r="A43">
        <f>'对齐'!A43</f>
        <v/>
      </c>
      <c r="B43">
        <f>'对齐'!B43/'对齐'!B42-1</f>
        <v/>
      </c>
      <c r="C43">
        <f>'对齐'!B43/'对齐'!B$2*100</f>
        <v/>
      </c>
      <c r="D43">
        <f>'对齐'!B43/MAX('对齐'!B$2:'对齐'!B43)-1</f>
        <v/>
      </c>
      <c r="E43">
        <f>IF(ROW()-2&gt;='参数'!$B$2,STDEV(OFFSET(B43,1-'参数'!$B$2,0,'参数'!$B$2,1))*SQRT('参数'!$B$3),"")</f>
        <v/>
      </c>
      <c r="F43">
        <f>'对齐'!C43/'对齐'!C42-1</f>
        <v/>
      </c>
      <c r="G43">
        <f>'对齐'!C43/'对齐'!C$2*100</f>
        <v/>
      </c>
      <c r="H43">
        <f>'对齐'!C43/MAX('对齐'!C$2:'对齐'!C43)-1</f>
        <v/>
      </c>
      <c r="I43">
        <f>IF(ROW()-2&gt;='参数'!$B$2,STDEV(OFFSET(F43,1-'参数'!$B$2,0,'参数'!$B$2,1))*SQRT('参数'!$B$3),"")</f>
        <v/>
      </c>
    </row>
    <row r="44">
      <c r="A44">
        <f>'对齐'!A44</f>
        <v/>
      </c>
      <c r="B44">
        <f>'对齐'!B44/'对齐'!B43-1</f>
        <v/>
      </c>
      <c r="C44">
        <f>'对齐'!B44/'对齐'!B$2*100</f>
        <v/>
      </c>
      <c r="D44">
        <f>'对齐'!B44/MAX('对齐'!B$2:'对齐'!B44)-1</f>
        <v/>
      </c>
      <c r="E44">
        <f>IF(ROW()-2&gt;='参数'!$B$2,STDEV(OFFSET(B44,1-'参数'!$B$2,0,'参数'!$B$2,1))*SQRT('参数'!$B$3),"")</f>
        <v/>
      </c>
      <c r="F44">
        <f>'对齐'!C44/'对齐'!C43-1</f>
        <v/>
      </c>
      <c r="G44">
        <f>'对齐'!C44/'对齐'!C$2*100</f>
        <v/>
      </c>
      <c r="H44">
        <f>'对齐'!C44/MAX('对齐'!C$2:'对齐'!C44)-1</f>
        <v/>
      </c>
      <c r="I44">
        <f>IF(ROW()-2&gt;='参数'!$B$2,STDEV(OFFSET(F44,1-'参数'!$B$2,0,'参数'!$B$2,1))*SQRT('参数'!$B$3),"")</f>
        <v/>
      </c>
    </row>
    <row r="45">
      <c r="A45">
        <f>'对齐'!A45</f>
        <v/>
      </c>
      <c r="B45">
        <f>'对齐'!B45/'对齐'!B44-1</f>
        <v/>
      </c>
      <c r="C45">
        <f>'对齐'!B45/'对齐'!B$2*100</f>
        <v/>
      </c>
      <c r="D45">
        <f>'对齐'!B45/MAX('对齐'!B$2:'对齐'!B45)-1</f>
        <v/>
      </c>
      <c r="E45">
        <f>IF(ROW()-2&gt;='参数'!$B$2,STDEV(OFFSET(B45,1-'参数'!$B$2,0,'参数'!$B$2,1))*SQRT('参数'!$B$3),"")</f>
        <v/>
      </c>
      <c r="F45">
        <f>'对齐'!C45/'对齐'!C44-1</f>
        <v/>
      </c>
      <c r="G45">
        <f>'对齐'!C45/'对齐'!C$2*100</f>
        <v/>
      </c>
      <c r="H45">
        <f>'对齐'!C45/MAX('对齐'!C$2:'对齐'!C45)-1</f>
        <v/>
      </c>
      <c r="I45">
        <f>IF(ROW()-2&gt;='参数'!$B$2,STDEV(OFFSET(F45,1-'参数'!$B$2,0,'参数'!$B$2,1))*SQRT('参数'!$B$3),"")</f>
        <v/>
      </c>
    </row>
    <row r="46">
      <c r="A46">
        <f>'对齐'!A46</f>
        <v/>
      </c>
      <c r="B46">
        <f>'对齐'!B46/'对齐'!B45-1</f>
        <v/>
      </c>
      <c r="C46">
        <f>'对齐'!B46/'对齐'!B$2*100</f>
        <v/>
      </c>
      <c r="D46">
        <f>'对齐'!B46/MAX('对齐'!B$2:'对齐'!B46)-1</f>
        <v/>
      </c>
      <c r="E46">
        <f>IF(ROW()-2&gt;='参数'!$B$2,STDEV(OFFSET(B46,1-'参数'!$B$2,0,'参数'!$B$2,1))*SQRT('参数'!$B$3),"")</f>
        <v/>
      </c>
      <c r="F46">
        <f>'对齐'!C46/'对齐'!C45-1</f>
        <v/>
      </c>
      <c r="G46">
        <f>'对齐'!C46/'对齐'!C$2*100</f>
        <v/>
      </c>
      <c r="H46">
        <f>'对齐'!C46/MAX('对齐'!C$2:'对齐'!C46)-1</f>
        <v/>
      </c>
      <c r="I46">
        <f>IF(ROW()-2&gt;='参数'!$B$2,STDEV(OFFSET(F46,1-'参数'!$B$2,0,'参数'!$B$2,1))*SQRT('参数'!$B$3),"")</f>
        <v/>
      </c>
    </row>
    <row r="47">
      <c r="A47">
        <f>'对齐'!A47</f>
        <v/>
      </c>
      <c r="B47">
        <f>'对齐'!B47/'对齐'!B46-1</f>
        <v/>
      </c>
      <c r="C47">
        <f>'对齐'!B47/'对齐'!B$2*100</f>
        <v/>
      </c>
      <c r="D47">
        <f>'对齐'!B47/MAX('对齐'!B$2:'对齐'!B47)-1</f>
        <v/>
      </c>
      <c r="E47">
        <f>IF(ROW()-2&gt;='参数'!$B$2,STDEV(OFFSET(B47,1-'参数'!$B$2,0,'参数'!$B$2,1))*SQRT('参数'!$B$3),"")</f>
        <v/>
      </c>
      <c r="F47">
        <f>'对齐'!C47/'对齐'!C46-1</f>
        <v/>
      </c>
      <c r="G47">
        <f>'对齐'!C47/'对齐'!C$2*100</f>
        <v/>
      </c>
      <c r="H47">
        <f>'对齐'!C47/MAX('对齐'!C$2:'对齐'!C47)-1</f>
        <v/>
      </c>
      <c r="I47">
        <f>IF(ROW()-2&gt;='参数'!$B$2,STDEV(OFFSET(F47,1-'参数'!$B$2,0,'参数'!$B$2,1))*SQRT('参数'!$B$3),"")</f>
        <v/>
      </c>
    </row>
    <row r="48">
      <c r="A48">
        <f>'对齐'!A48</f>
        <v/>
      </c>
      <c r="B48">
        <f>'对齐'!B48/'对齐'!B47-1</f>
        <v/>
      </c>
      <c r="C48">
        <f>'对齐'!B48/'对齐'!B$2*100</f>
        <v/>
      </c>
      <c r="D48">
        <f>'对齐'!B48/MAX('对齐'!B$2:'对齐'!B48)-1</f>
        <v/>
      </c>
      <c r="E48">
        <f>IF(ROW()-2&gt;='参数'!$B$2,STDEV(OFFSET(B48,1-'参数'!$B$2,0,'参数'!$B$2,1))*SQRT('参数'!$B$3),"")</f>
        <v/>
      </c>
      <c r="F48">
        <f>'对齐'!C48/'对齐'!C47-1</f>
        <v/>
      </c>
      <c r="G48">
        <f>'对齐'!C48/'对齐'!C$2*100</f>
        <v/>
      </c>
      <c r="H48">
        <f>'对齐'!C48/MAX('对齐'!C$2:'对齐'!C48)-1</f>
        <v/>
      </c>
      <c r="I48">
        <f>IF(ROW()-2&gt;='参数'!$B$2,STDEV(OFFSET(F48,1-'参数'!$B$2,0,'参数'!$B$2,1))*SQRT('参数'!$B$3),"")</f>
        <v/>
      </c>
    </row>
    <row r="49">
      <c r="A49">
        <f>'对齐'!A49</f>
        <v/>
      </c>
      <c r="B49">
        <f>'对齐'!B49/'对齐'!B48-1</f>
        <v/>
      </c>
      <c r="C49">
        <f>'对齐'!B49/'对齐'!B$2*100</f>
        <v/>
      </c>
      <c r="D49">
        <f>'对齐'!B49/MAX('对齐'!B$2:'对齐'!B49)-1</f>
        <v/>
      </c>
      <c r="E49">
        <f>IF(ROW()-2&gt;='参数'!$B$2,STDEV(OFFSET(B49,1-'参数'!$B$2,0,'参数'!$B$2,1))*SQRT('参数'!$B$3),"")</f>
        <v/>
      </c>
      <c r="F49">
        <f>'对齐'!C49/'对齐'!C48-1</f>
        <v/>
      </c>
      <c r="G49">
        <f>'对齐'!C49/'对齐'!C$2*100</f>
        <v/>
      </c>
      <c r="H49">
        <f>'对齐'!C49/MAX('对齐'!C$2:'对齐'!C49)-1</f>
        <v/>
      </c>
      <c r="I49">
        <f>IF(ROW()-2&gt;='参数'!$B$2,STDEV(OFFSET(F49,1-'参数'!$B$2,0,'参数'!$B$2,1))*SQRT('参数'!$B$3),"")</f>
        <v/>
      </c>
    </row>
    <row r="50">
      <c r="A50">
        <f>'对齐'!A50</f>
        <v/>
      </c>
      <c r="B50">
        <f>'对齐'!B50/'对齐'!B49-1</f>
        <v/>
      </c>
      <c r="C50">
        <f>'对齐'!B50/'对齐'!B$2*100</f>
        <v/>
      </c>
      <c r="D50">
        <f>'对齐'!B50/MAX('对齐'!B$2:'对齐'!B50)-1</f>
        <v/>
      </c>
      <c r="E50">
        <f>IF(ROW()-2&gt;='参数'!$B$2,STDEV(OFFSET(B50,1-'参数'!$B$2,0,'参数'!$B$2,1))*SQRT('参数'!$B$3),"")</f>
        <v/>
      </c>
      <c r="F50">
        <f>'对齐'!C50/'对齐'!C49-1</f>
        <v/>
      </c>
      <c r="G50">
        <f>'对齐'!C50/'对齐'!C$2*100</f>
        <v/>
      </c>
      <c r="H50">
        <f>'对齐'!C50/MAX('对齐'!C$2:'对齐'!C50)-1</f>
        <v/>
      </c>
      <c r="I50">
        <f>IF(ROW()-2&gt;='参数'!$B$2,STDEV(OFFSET(F50,1-'参数'!$B$2,0,'参数'!$B$2,1))*SQRT('参数'!$B$3),"")</f>
        <v/>
      </c>
    </row>
    <row r="51">
      <c r="A51">
        <f>'对齐'!A51</f>
        <v/>
      </c>
      <c r="B51">
        <f>'对齐'!B51/'对齐'!B50-1</f>
        <v/>
      </c>
      <c r="C51">
        <f>'对齐'!B51/'对齐'!B$2*100</f>
        <v/>
      </c>
      <c r="D51">
        <f>'对齐'!B51/MAX('对齐'!B$2:'对齐'!B51)-1</f>
        <v/>
      </c>
      <c r="E51">
        <f>IF(ROW()-2&gt;='参数'!$B$2,STDEV(OFFSET(B51,1-'参数'!$B$2,0,'参数'!$B$2,1))*SQRT('参数'!$B$3),"")</f>
        <v/>
      </c>
      <c r="F51">
        <f>'对齐'!C51/'对齐'!C50-1</f>
        <v/>
      </c>
      <c r="G51">
        <f>'对齐'!C51/'对齐'!C$2*100</f>
        <v/>
      </c>
      <c r="H51">
        <f>'对齐'!C51/MAX('对齐'!C$2:'对齐'!C51)-1</f>
        <v/>
      </c>
      <c r="I51">
        <f>IF(ROW()-2&gt;='参数'!$B$2,STDEV(OFFSET(F51,1-'参数'!$B$2,0,'参数'!$B$2,1))*SQRT('参数'!$B$3),"")</f>
        <v/>
      </c>
    </row>
    <row r="52">
      <c r="A52">
        <f>'对齐'!A52</f>
        <v/>
      </c>
      <c r="B52">
        <f>'对齐'!B52/'对齐'!B51-1</f>
        <v/>
      </c>
      <c r="C52">
        <f>'对齐'!B52/'对齐'!B$2*100</f>
        <v/>
      </c>
      <c r="D52">
        <f>'对齐'!B52/MAX('对齐'!B$2:'对齐'!B52)-1</f>
        <v/>
      </c>
      <c r="E52">
        <f>IF(ROW()-2&gt;='参数'!$B$2,STDEV(OFFSET(B52,1-'参数'!$B$2,0,'参数'!$B$2,1))*SQRT('参数'!$B$3),"")</f>
        <v/>
      </c>
      <c r="F52">
        <f>'对齐'!C52/'对齐'!C51-1</f>
        <v/>
      </c>
      <c r="G52">
        <f>'对齐'!C52/'对齐'!C$2*100</f>
        <v/>
      </c>
      <c r="H52">
        <f>'对齐'!C52/MAX('对齐'!C$2:'对齐'!C52)-1</f>
        <v/>
      </c>
      <c r="I52">
        <f>IF(ROW()-2&gt;='参数'!$B$2,STDEV(OFFSET(F52,1-'参数'!$B$2,0,'参数'!$B$2,1))*SQRT('参数'!$B$3),"")</f>
        <v/>
      </c>
    </row>
    <row r="53">
      <c r="A53">
        <f>'对齐'!A53</f>
        <v/>
      </c>
      <c r="B53">
        <f>'对齐'!B53/'对齐'!B52-1</f>
        <v/>
      </c>
      <c r="C53">
        <f>'对齐'!B53/'对齐'!B$2*100</f>
        <v/>
      </c>
      <c r="D53">
        <f>'对齐'!B53/MAX('对齐'!B$2:'对齐'!B53)-1</f>
        <v/>
      </c>
      <c r="E53">
        <f>IF(ROW()-2&gt;='参数'!$B$2,STDEV(OFFSET(B53,1-'参数'!$B$2,0,'参数'!$B$2,1))*SQRT('参数'!$B$3),"")</f>
        <v/>
      </c>
      <c r="F53">
        <f>'对齐'!C53/'对齐'!C52-1</f>
        <v/>
      </c>
      <c r="G53">
        <f>'对齐'!C53/'对齐'!C$2*100</f>
        <v/>
      </c>
      <c r="H53">
        <f>'对齐'!C53/MAX('对齐'!C$2:'对齐'!C53)-1</f>
        <v/>
      </c>
      <c r="I53">
        <f>IF(ROW()-2&gt;='参数'!$B$2,STDEV(OFFSET(F53,1-'参数'!$B$2,0,'参数'!$B$2,1))*SQRT('参数'!$B$3),"")</f>
        <v/>
      </c>
    </row>
    <row r="54">
      <c r="A54">
        <f>'对齐'!A54</f>
        <v/>
      </c>
      <c r="B54">
        <f>'对齐'!B54/'对齐'!B53-1</f>
        <v/>
      </c>
      <c r="C54">
        <f>'对齐'!B54/'对齐'!B$2*100</f>
        <v/>
      </c>
      <c r="D54">
        <f>'对齐'!B54/MAX('对齐'!B$2:'对齐'!B54)-1</f>
        <v/>
      </c>
      <c r="E54">
        <f>IF(ROW()-2&gt;='参数'!$B$2,STDEV(OFFSET(B54,1-'参数'!$B$2,0,'参数'!$B$2,1))*SQRT('参数'!$B$3),"")</f>
        <v/>
      </c>
      <c r="F54">
        <f>'对齐'!C54/'对齐'!C53-1</f>
        <v/>
      </c>
      <c r="G54">
        <f>'对齐'!C54/'对齐'!C$2*100</f>
        <v/>
      </c>
      <c r="H54">
        <f>'对齐'!C54/MAX('对齐'!C$2:'对齐'!C54)-1</f>
        <v/>
      </c>
      <c r="I54">
        <f>IF(ROW()-2&gt;='参数'!$B$2,STDEV(OFFSET(F54,1-'参数'!$B$2,0,'参数'!$B$2,1))*SQRT('参数'!$B$3),"")</f>
        <v/>
      </c>
    </row>
    <row r="55">
      <c r="A55">
        <f>'对齐'!A55</f>
        <v/>
      </c>
      <c r="B55">
        <f>'对齐'!B55/'对齐'!B54-1</f>
        <v/>
      </c>
      <c r="C55">
        <f>'对齐'!B55/'对齐'!B$2*100</f>
        <v/>
      </c>
      <c r="D55">
        <f>'对齐'!B55/MAX('对齐'!B$2:'对齐'!B55)-1</f>
        <v/>
      </c>
      <c r="E55">
        <f>IF(ROW()-2&gt;='参数'!$B$2,STDEV(OFFSET(B55,1-'参数'!$B$2,0,'参数'!$B$2,1))*SQRT('参数'!$B$3),"")</f>
        <v/>
      </c>
      <c r="F55">
        <f>'对齐'!C55/'对齐'!C54-1</f>
        <v/>
      </c>
      <c r="G55">
        <f>'对齐'!C55/'对齐'!C$2*100</f>
        <v/>
      </c>
      <c r="H55">
        <f>'对齐'!C55/MAX('对齐'!C$2:'对齐'!C55)-1</f>
        <v/>
      </c>
      <c r="I55">
        <f>IF(ROW()-2&gt;='参数'!$B$2,STDEV(OFFSET(F55,1-'参数'!$B$2,0,'参数'!$B$2,1))*SQRT('参数'!$B$3),"")</f>
        <v/>
      </c>
    </row>
    <row r="56">
      <c r="A56">
        <f>'对齐'!A56</f>
        <v/>
      </c>
      <c r="B56">
        <f>'对齐'!B56/'对齐'!B55-1</f>
        <v/>
      </c>
      <c r="C56">
        <f>'对齐'!B56/'对齐'!B$2*100</f>
        <v/>
      </c>
      <c r="D56">
        <f>'对齐'!B56/MAX('对齐'!B$2:'对齐'!B56)-1</f>
        <v/>
      </c>
      <c r="E56">
        <f>IF(ROW()-2&gt;='参数'!$B$2,STDEV(OFFSET(B56,1-'参数'!$B$2,0,'参数'!$B$2,1))*SQRT('参数'!$B$3),"")</f>
        <v/>
      </c>
      <c r="F56">
        <f>'对齐'!C56/'对齐'!C55-1</f>
        <v/>
      </c>
      <c r="G56">
        <f>'对齐'!C56/'对齐'!C$2*100</f>
        <v/>
      </c>
      <c r="H56">
        <f>'对齐'!C56/MAX('对齐'!C$2:'对齐'!C56)-1</f>
        <v/>
      </c>
      <c r="I56">
        <f>IF(ROW()-2&gt;='参数'!$B$2,STDEV(OFFSET(F56,1-'参数'!$B$2,0,'参数'!$B$2,1))*SQRT('参数'!$B$3),"")</f>
        <v/>
      </c>
    </row>
    <row r="57">
      <c r="A57">
        <f>'对齐'!A57</f>
        <v/>
      </c>
      <c r="B57">
        <f>'对齐'!B57/'对齐'!B56-1</f>
        <v/>
      </c>
      <c r="C57">
        <f>'对齐'!B57/'对齐'!B$2*100</f>
        <v/>
      </c>
      <c r="D57">
        <f>'对齐'!B57/MAX('对齐'!B$2:'对齐'!B57)-1</f>
        <v/>
      </c>
      <c r="E57">
        <f>IF(ROW()-2&gt;='参数'!$B$2,STDEV(OFFSET(B57,1-'参数'!$B$2,0,'参数'!$B$2,1))*SQRT('参数'!$B$3),"")</f>
        <v/>
      </c>
      <c r="F57">
        <f>'对齐'!C57/'对齐'!C56-1</f>
        <v/>
      </c>
      <c r="G57">
        <f>'对齐'!C57/'对齐'!C$2*100</f>
        <v/>
      </c>
      <c r="H57">
        <f>'对齐'!C57/MAX('对齐'!C$2:'对齐'!C57)-1</f>
        <v/>
      </c>
      <c r="I57">
        <f>IF(ROW()-2&gt;='参数'!$B$2,STDEV(OFFSET(F57,1-'参数'!$B$2,0,'参数'!$B$2,1))*SQRT('参数'!$B$3),"")</f>
        <v/>
      </c>
    </row>
    <row r="58">
      <c r="A58">
        <f>'对齐'!A58</f>
        <v/>
      </c>
      <c r="B58">
        <f>'对齐'!B58/'对齐'!B57-1</f>
        <v/>
      </c>
      <c r="C58">
        <f>'对齐'!B58/'对齐'!B$2*100</f>
        <v/>
      </c>
      <c r="D58">
        <f>'对齐'!B58/MAX('对齐'!B$2:'对齐'!B58)-1</f>
        <v/>
      </c>
      <c r="E58">
        <f>IF(ROW()-2&gt;='参数'!$B$2,STDEV(OFFSET(B58,1-'参数'!$B$2,0,'参数'!$B$2,1))*SQRT('参数'!$B$3),"")</f>
        <v/>
      </c>
      <c r="F58">
        <f>'对齐'!C58/'对齐'!C57-1</f>
        <v/>
      </c>
      <c r="G58">
        <f>'对齐'!C58/'对齐'!C$2*100</f>
        <v/>
      </c>
      <c r="H58">
        <f>'对齐'!C58/MAX('对齐'!C$2:'对齐'!C58)-1</f>
        <v/>
      </c>
      <c r="I58">
        <f>IF(ROW()-2&gt;='参数'!$B$2,STDEV(OFFSET(F58,1-'参数'!$B$2,0,'参数'!$B$2,1))*SQRT('参数'!$B$3),"")</f>
        <v/>
      </c>
    </row>
    <row r="59">
      <c r="A59">
        <f>'对齐'!A59</f>
        <v/>
      </c>
      <c r="B59">
        <f>'对齐'!B59/'对齐'!B58-1</f>
        <v/>
      </c>
      <c r="C59">
        <f>'对齐'!B59/'对齐'!B$2*100</f>
        <v/>
      </c>
      <c r="D59">
        <f>'对齐'!B59/MAX('对齐'!B$2:'对齐'!B59)-1</f>
        <v/>
      </c>
      <c r="E59">
        <f>IF(ROW()-2&gt;='参数'!$B$2,STDEV(OFFSET(B59,1-'参数'!$B$2,0,'参数'!$B$2,1))*SQRT('参数'!$B$3),"")</f>
        <v/>
      </c>
      <c r="F59">
        <f>'对齐'!C59/'对齐'!C58-1</f>
        <v/>
      </c>
      <c r="G59">
        <f>'对齐'!C59/'对齐'!C$2*100</f>
        <v/>
      </c>
      <c r="H59">
        <f>'对齐'!C59/MAX('对齐'!C$2:'对齐'!C59)-1</f>
        <v/>
      </c>
      <c r="I59">
        <f>IF(ROW()-2&gt;='参数'!$B$2,STDEV(OFFSET(F59,1-'参数'!$B$2,0,'参数'!$B$2,1))*SQRT('参数'!$B$3),"")</f>
        <v/>
      </c>
    </row>
    <row r="60">
      <c r="A60">
        <f>'对齐'!A60</f>
        <v/>
      </c>
      <c r="B60">
        <f>'对齐'!B60/'对齐'!B59-1</f>
        <v/>
      </c>
      <c r="C60">
        <f>'对齐'!B60/'对齐'!B$2*100</f>
        <v/>
      </c>
      <c r="D60">
        <f>'对齐'!B60/MAX('对齐'!B$2:'对齐'!B60)-1</f>
        <v/>
      </c>
      <c r="E60">
        <f>IF(ROW()-2&gt;='参数'!$B$2,STDEV(OFFSET(B60,1-'参数'!$B$2,0,'参数'!$B$2,1))*SQRT('参数'!$B$3),"")</f>
        <v/>
      </c>
      <c r="F60">
        <f>'对齐'!C60/'对齐'!C59-1</f>
        <v/>
      </c>
      <c r="G60">
        <f>'对齐'!C60/'对齐'!C$2*100</f>
        <v/>
      </c>
      <c r="H60">
        <f>'对齐'!C60/MAX('对齐'!C$2:'对齐'!C60)-1</f>
        <v/>
      </c>
      <c r="I60">
        <f>IF(ROW()-2&gt;='参数'!$B$2,STDEV(OFFSET(F60,1-'参数'!$B$2,0,'参数'!$B$2,1))*SQRT('参数'!$B$3),"")</f>
        <v/>
      </c>
    </row>
    <row r="61">
      <c r="A61">
        <f>'对齐'!A61</f>
        <v/>
      </c>
      <c r="B61">
        <f>'对齐'!B61/'对齐'!B60-1</f>
        <v/>
      </c>
      <c r="C61">
        <f>'对齐'!B61/'对齐'!B$2*100</f>
        <v/>
      </c>
      <c r="D61">
        <f>'对齐'!B61/MAX('对齐'!B$2:'对齐'!B61)-1</f>
        <v/>
      </c>
      <c r="E61">
        <f>IF(ROW()-2&gt;='参数'!$B$2,STDEV(OFFSET(B61,1-'参数'!$B$2,0,'参数'!$B$2,1))*SQRT('参数'!$B$3),"")</f>
        <v/>
      </c>
      <c r="F61">
        <f>'对齐'!C61/'对齐'!C60-1</f>
        <v/>
      </c>
      <c r="G61">
        <f>'对齐'!C61/'对齐'!C$2*100</f>
        <v/>
      </c>
      <c r="H61">
        <f>'对齐'!C61/MAX('对齐'!C$2:'对齐'!C61)-1</f>
        <v/>
      </c>
      <c r="I61">
        <f>IF(ROW()-2&gt;='参数'!$B$2,STDEV(OFFSET(F61,1-'参数'!$B$2,0,'参数'!$B$2,1))*SQRT('参数'!$B$3),"")</f>
        <v/>
      </c>
    </row>
    <row r="62">
      <c r="A62">
        <f>'对齐'!A62</f>
        <v/>
      </c>
      <c r="B62">
        <f>'对齐'!B62/'对齐'!B61-1</f>
        <v/>
      </c>
      <c r="C62">
        <f>'对齐'!B62/'对齐'!B$2*100</f>
        <v/>
      </c>
      <c r="D62">
        <f>'对齐'!B62/MAX('对齐'!B$2:'对齐'!B62)-1</f>
        <v/>
      </c>
      <c r="E62">
        <f>IF(ROW()-2&gt;='参数'!$B$2,STDEV(OFFSET(B62,1-'参数'!$B$2,0,'参数'!$B$2,1))*SQRT('参数'!$B$3),"")</f>
        <v/>
      </c>
      <c r="F62">
        <f>'对齐'!C62/'对齐'!C61-1</f>
        <v/>
      </c>
      <c r="G62">
        <f>'对齐'!C62/'对齐'!C$2*100</f>
        <v/>
      </c>
      <c r="H62">
        <f>'对齐'!C62/MAX('对齐'!C$2:'对齐'!C62)-1</f>
        <v/>
      </c>
      <c r="I62">
        <f>IF(ROW()-2&gt;='参数'!$B$2,STDEV(OFFSET(F62,1-'参数'!$B$2,0,'参数'!$B$2,1))*SQRT('参数'!$B$3),"")</f>
        <v/>
      </c>
    </row>
    <row r="63">
      <c r="A63">
        <f>'对齐'!A63</f>
        <v/>
      </c>
      <c r="B63">
        <f>'对齐'!B63/'对齐'!B62-1</f>
        <v/>
      </c>
      <c r="C63">
        <f>'对齐'!B63/'对齐'!B$2*100</f>
        <v/>
      </c>
      <c r="D63">
        <f>'对齐'!B63/MAX('对齐'!B$2:'对齐'!B63)-1</f>
        <v/>
      </c>
      <c r="E63">
        <f>IF(ROW()-2&gt;='参数'!$B$2,STDEV(OFFSET(B63,1-'参数'!$B$2,0,'参数'!$B$2,1))*SQRT('参数'!$B$3),"")</f>
        <v/>
      </c>
      <c r="F63">
        <f>'对齐'!C63/'对齐'!C62-1</f>
        <v/>
      </c>
      <c r="G63">
        <f>'对齐'!C63/'对齐'!C$2*100</f>
        <v/>
      </c>
      <c r="H63">
        <f>'对齐'!C63/MAX('对齐'!C$2:'对齐'!C63)-1</f>
        <v/>
      </c>
      <c r="I63">
        <f>IF(ROW()-2&gt;='参数'!$B$2,STDEV(OFFSET(F63,1-'参数'!$B$2,0,'参数'!$B$2,1))*SQRT('参数'!$B$3),"")</f>
        <v/>
      </c>
    </row>
    <row r="64">
      <c r="A64">
        <f>'对齐'!A64</f>
        <v/>
      </c>
      <c r="B64">
        <f>'对齐'!B64/'对齐'!B63-1</f>
        <v/>
      </c>
      <c r="C64">
        <f>'对齐'!B64/'对齐'!B$2*100</f>
        <v/>
      </c>
      <c r="D64">
        <f>'对齐'!B64/MAX('对齐'!B$2:'对齐'!B64)-1</f>
        <v/>
      </c>
      <c r="E64">
        <f>IF(ROW()-2&gt;='参数'!$B$2,STDEV(OFFSET(B64,1-'参数'!$B$2,0,'参数'!$B$2,1))*SQRT('参数'!$B$3),"")</f>
        <v/>
      </c>
      <c r="F64">
        <f>'对齐'!C64/'对齐'!C63-1</f>
        <v/>
      </c>
      <c r="G64">
        <f>'对齐'!C64/'对齐'!C$2*100</f>
        <v/>
      </c>
      <c r="H64">
        <f>'对齐'!C64/MAX('对齐'!C$2:'对齐'!C64)-1</f>
        <v/>
      </c>
      <c r="I64">
        <f>IF(ROW()-2&gt;='参数'!$B$2,STDEV(OFFSET(F64,1-'参数'!$B$2,0,'参数'!$B$2,1))*SQRT('参数'!$B$3),"")</f>
        <v/>
      </c>
    </row>
    <row r="65">
      <c r="A65">
        <f>'对齐'!A65</f>
        <v/>
      </c>
      <c r="B65">
        <f>'对齐'!B65/'对齐'!B64-1</f>
        <v/>
      </c>
      <c r="C65">
        <f>'对齐'!B65/'对齐'!B$2*100</f>
        <v/>
      </c>
      <c r="D65">
        <f>'对齐'!B65/MAX('对齐'!B$2:'对齐'!B65)-1</f>
        <v/>
      </c>
      <c r="E65">
        <f>IF(ROW()-2&gt;='参数'!$B$2,STDEV(OFFSET(B65,1-'参数'!$B$2,0,'参数'!$B$2,1))*SQRT('参数'!$B$3),"")</f>
        <v/>
      </c>
      <c r="F65">
        <f>'对齐'!C65/'对齐'!C64-1</f>
        <v/>
      </c>
      <c r="G65">
        <f>'对齐'!C65/'对齐'!C$2*100</f>
        <v/>
      </c>
      <c r="H65">
        <f>'对齐'!C65/MAX('对齐'!C$2:'对齐'!C65)-1</f>
        <v/>
      </c>
      <c r="I65">
        <f>IF(ROW()-2&gt;='参数'!$B$2,STDEV(OFFSET(F65,1-'参数'!$B$2,0,'参数'!$B$2,1))*SQRT('参数'!$B$3),"")</f>
        <v/>
      </c>
    </row>
    <row r="66">
      <c r="A66">
        <f>'对齐'!A66</f>
        <v/>
      </c>
      <c r="B66">
        <f>'对齐'!B66/'对齐'!B65-1</f>
        <v/>
      </c>
      <c r="C66">
        <f>'对齐'!B66/'对齐'!B$2*100</f>
        <v/>
      </c>
      <c r="D66">
        <f>'对齐'!B66/MAX('对齐'!B$2:'对齐'!B66)-1</f>
        <v/>
      </c>
      <c r="E66">
        <f>IF(ROW()-2&gt;='参数'!$B$2,STDEV(OFFSET(B66,1-'参数'!$B$2,0,'参数'!$B$2,1))*SQRT('参数'!$B$3),"")</f>
        <v/>
      </c>
      <c r="F66">
        <f>'对齐'!C66/'对齐'!C65-1</f>
        <v/>
      </c>
      <c r="G66">
        <f>'对齐'!C66/'对齐'!C$2*100</f>
        <v/>
      </c>
      <c r="H66">
        <f>'对齐'!C66/MAX('对齐'!C$2:'对齐'!C66)-1</f>
        <v/>
      </c>
      <c r="I66">
        <f>IF(ROW()-2&gt;='参数'!$B$2,STDEV(OFFSET(F66,1-'参数'!$B$2,0,'参数'!$B$2,1))*SQRT('参数'!$B$3),"")</f>
        <v/>
      </c>
    </row>
    <row r="67">
      <c r="A67">
        <f>'对齐'!A67</f>
        <v/>
      </c>
      <c r="B67">
        <f>'对齐'!B67/'对齐'!B66-1</f>
        <v/>
      </c>
      <c r="C67">
        <f>'对齐'!B67/'对齐'!B$2*100</f>
        <v/>
      </c>
      <c r="D67">
        <f>'对齐'!B67/MAX('对齐'!B$2:'对齐'!B67)-1</f>
        <v/>
      </c>
      <c r="E67">
        <f>IF(ROW()-2&gt;='参数'!$B$2,STDEV(OFFSET(B67,1-'参数'!$B$2,0,'参数'!$B$2,1))*SQRT('参数'!$B$3),"")</f>
        <v/>
      </c>
      <c r="F67">
        <f>'对齐'!C67/'对齐'!C66-1</f>
        <v/>
      </c>
      <c r="G67">
        <f>'对齐'!C67/'对齐'!C$2*100</f>
        <v/>
      </c>
      <c r="H67">
        <f>'对齐'!C67/MAX('对齐'!C$2:'对齐'!C67)-1</f>
        <v/>
      </c>
      <c r="I67">
        <f>IF(ROW()-2&gt;='参数'!$B$2,STDEV(OFFSET(F67,1-'参数'!$B$2,0,'参数'!$B$2,1))*SQRT('参数'!$B$3),"")</f>
        <v/>
      </c>
    </row>
    <row r="68">
      <c r="A68">
        <f>'对齐'!A68</f>
        <v/>
      </c>
      <c r="B68">
        <f>'对齐'!B68/'对齐'!B67-1</f>
        <v/>
      </c>
      <c r="C68">
        <f>'对齐'!B68/'对齐'!B$2*100</f>
        <v/>
      </c>
      <c r="D68">
        <f>'对齐'!B68/MAX('对齐'!B$2:'对齐'!B68)-1</f>
        <v/>
      </c>
      <c r="E68">
        <f>IF(ROW()-2&gt;='参数'!$B$2,STDEV(OFFSET(B68,1-'参数'!$B$2,0,'参数'!$B$2,1))*SQRT('参数'!$B$3),"")</f>
        <v/>
      </c>
      <c r="F68">
        <f>'对齐'!C68/'对齐'!C67-1</f>
        <v/>
      </c>
      <c r="G68">
        <f>'对齐'!C68/'对齐'!C$2*100</f>
        <v/>
      </c>
      <c r="H68">
        <f>'对齐'!C68/MAX('对齐'!C$2:'对齐'!C68)-1</f>
        <v/>
      </c>
      <c r="I68">
        <f>IF(ROW()-2&gt;='参数'!$B$2,STDEV(OFFSET(F68,1-'参数'!$B$2,0,'参数'!$B$2,1))*SQRT('参数'!$B$3),"")</f>
        <v/>
      </c>
    </row>
    <row r="69">
      <c r="A69">
        <f>'对齐'!A69</f>
        <v/>
      </c>
      <c r="B69">
        <f>'对齐'!B69/'对齐'!B68-1</f>
        <v/>
      </c>
      <c r="C69">
        <f>'对齐'!B69/'对齐'!B$2*100</f>
        <v/>
      </c>
      <c r="D69">
        <f>'对齐'!B69/MAX('对齐'!B$2:'对齐'!B69)-1</f>
        <v/>
      </c>
      <c r="E69">
        <f>IF(ROW()-2&gt;='参数'!$B$2,STDEV(OFFSET(B69,1-'参数'!$B$2,0,'参数'!$B$2,1))*SQRT('参数'!$B$3),"")</f>
        <v/>
      </c>
      <c r="F69">
        <f>'对齐'!C69/'对齐'!C68-1</f>
        <v/>
      </c>
      <c r="G69">
        <f>'对齐'!C69/'对齐'!C$2*100</f>
        <v/>
      </c>
      <c r="H69">
        <f>'对齐'!C69/MAX('对齐'!C$2:'对齐'!C69)-1</f>
        <v/>
      </c>
      <c r="I69">
        <f>IF(ROW()-2&gt;='参数'!$B$2,STDEV(OFFSET(F69,1-'参数'!$B$2,0,'参数'!$B$2,1))*SQRT('参数'!$B$3),"")</f>
        <v/>
      </c>
    </row>
    <row r="70">
      <c r="A70">
        <f>'对齐'!A70</f>
        <v/>
      </c>
      <c r="B70">
        <f>'对齐'!B70/'对齐'!B69-1</f>
        <v/>
      </c>
      <c r="C70">
        <f>'对齐'!B70/'对齐'!B$2*100</f>
        <v/>
      </c>
      <c r="D70">
        <f>'对齐'!B70/MAX('对齐'!B$2:'对齐'!B70)-1</f>
        <v/>
      </c>
      <c r="E70">
        <f>IF(ROW()-2&gt;='参数'!$B$2,STDEV(OFFSET(B70,1-'参数'!$B$2,0,'参数'!$B$2,1))*SQRT('参数'!$B$3),"")</f>
        <v/>
      </c>
      <c r="F70">
        <f>'对齐'!C70/'对齐'!C69-1</f>
        <v/>
      </c>
      <c r="G70">
        <f>'对齐'!C70/'对齐'!C$2*100</f>
        <v/>
      </c>
      <c r="H70">
        <f>'对齐'!C70/MAX('对齐'!C$2:'对齐'!C70)-1</f>
        <v/>
      </c>
      <c r="I70">
        <f>IF(ROW()-2&gt;='参数'!$B$2,STDEV(OFFSET(F70,1-'参数'!$B$2,0,'参数'!$B$2,1))*SQRT('参数'!$B$3),"")</f>
        <v/>
      </c>
    </row>
    <row r="71">
      <c r="A71">
        <f>'对齐'!A71</f>
        <v/>
      </c>
      <c r="B71">
        <f>'对齐'!B71/'对齐'!B70-1</f>
        <v/>
      </c>
      <c r="C71">
        <f>'对齐'!B71/'对齐'!B$2*100</f>
        <v/>
      </c>
      <c r="D71">
        <f>'对齐'!B71/MAX('对齐'!B$2:'对齐'!B71)-1</f>
        <v/>
      </c>
      <c r="E71">
        <f>IF(ROW()-2&gt;='参数'!$B$2,STDEV(OFFSET(B71,1-'参数'!$B$2,0,'参数'!$B$2,1))*SQRT('参数'!$B$3),"")</f>
        <v/>
      </c>
      <c r="F71">
        <f>'对齐'!C71/'对齐'!C70-1</f>
        <v/>
      </c>
      <c r="G71">
        <f>'对齐'!C71/'对齐'!C$2*100</f>
        <v/>
      </c>
      <c r="H71">
        <f>'对齐'!C71/MAX('对齐'!C$2:'对齐'!C71)-1</f>
        <v/>
      </c>
      <c r="I71">
        <f>IF(ROW()-2&gt;='参数'!$B$2,STDEV(OFFSET(F71,1-'参数'!$B$2,0,'参数'!$B$2,1))*SQRT('参数'!$B$3),"")</f>
        <v/>
      </c>
    </row>
    <row r="72">
      <c r="A72">
        <f>'对齐'!A72</f>
        <v/>
      </c>
      <c r="B72">
        <f>'对齐'!B72/'对齐'!B71-1</f>
        <v/>
      </c>
      <c r="C72">
        <f>'对齐'!B72/'对齐'!B$2*100</f>
        <v/>
      </c>
      <c r="D72">
        <f>'对齐'!B72/MAX('对齐'!B$2:'对齐'!B72)-1</f>
        <v/>
      </c>
      <c r="E72">
        <f>IF(ROW()-2&gt;='参数'!$B$2,STDEV(OFFSET(B72,1-'参数'!$B$2,0,'参数'!$B$2,1))*SQRT('参数'!$B$3),"")</f>
        <v/>
      </c>
      <c r="F72">
        <f>'对齐'!C72/'对齐'!C71-1</f>
        <v/>
      </c>
      <c r="G72">
        <f>'对齐'!C72/'对齐'!C$2*100</f>
        <v/>
      </c>
      <c r="H72">
        <f>'对齐'!C72/MAX('对齐'!C$2:'对齐'!C72)-1</f>
        <v/>
      </c>
      <c r="I72">
        <f>IF(ROW()-2&gt;='参数'!$B$2,STDEV(OFFSET(F72,1-'参数'!$B$2,0,'参数'!$B$2,1))*SQRT('参数'!$B$3),"")</f>
        <v/>
      </c>
    </row>
    <row r="73">
      <c r="A73">
        <f>'对齐'!A73</f>
        <v/>
      </c>
      <c r="B73">
        <f>'对齐'!B73/'对齐'!B72-1</f>
        <v/>
      </c>
      <c r="C73">
        <f>'对齐'!B73/'对齐'!B$2*100</f>
        <v/>
      </c>
      <c r="D73">
        <f>'对齐'!B73/MAX('对齐'!B$2:'对齐'!B73)-1</f>
        <v/>
      </c>
      <c r="E73">
        <f>IF(ROW()-2&gt;='参数'!$B$2,STDEV(OFFSET(B73,1-'参数'!$B$2,0,'参数'!$B$2,1))*SQRT('参数'!$B$3),"")</f>
        <v/>
      </c>
      <c r="F73">
        <f>'对齐'!C73/'对齐'!C72-1</f>
        <v/>
      </c>
      <c r="G73">
        <f>'对齐'!C73/'对齐'!C$2*100</f>
        <v/>
      </c>
      <c r="H73">
        <f>'对齐'!C73/MAX('对齐'!C$2:'对齐'!C73)-1</f>
        <v/>
      </c>
      <c r="I73">
        <f>IF(ROW()-2&gt;='参数'!$B$2,STDEV(OFFSET(F73,1-'参数'!$B$2,0,'参数'!$B$2,1))*SQRT('参数'!$B$3),"")</f>
        <v/>
      </c>
    </row>
    <row r="74">
      <c r="A74">
        <f>'对齐'!A74</f>
        <v/>
      </c>
      <c r="B74">
        <f>'对齐'!B74/'对齐'!B73-1</f>
        <v/>
      </c>
      <c r="C74">
        <f>'对齐'!B74/'对齐'!B$2*100</f>
        <v/>
      </c>
      <c r="D74">
        <f>'对齐'!B74/MAX('对齐'!B$2:'对齐'!B74)-1</f>
        <v/>
      </c>
      <c r="E74">
        <f>IF(ROW()-2&gt;='参数'!$B$2,STDEV(OFFSET(B74,1-'参数'!$B$2,0,'参数'!$B$2,1))*SQRT('参数'!$B$3),"")</f>
        <v/>
      </c>
      <c r="F74">
        <f>'对齐'!C74/'对齐'!C73-1</f>
        <v/>
      </c>
      <c r="G74">
        <f>'对齐'!C74/'对齐'!C$2*100</f>
        <v/>
      </c>
      <c r="H74">
        <f>'对齐'!C74/MAX('对齐'!C$2:'对齐'!C74)-1</f>
        <v/>
      </c>
      <c r="I74">
        <f>IF(ROW()-2&gt;='参数'!$B$2,STDEV(OFFSET(F74,1-'参数'!$B$2,0,'参数'!$B$2,1))*SQRT('参数'!$B$3),"")</f>
        <v/>
      </c>
    </row>
    <row r="75">
      <c r="A75">
        <f>'对齐'!A75</f>
        <v/>
      </c>
      <c r="B75">
        <f>'对齐'!B75/'对齐'!B74-1</f>
        <v/>
      </c>
      <c r="C75">
        <f>'对齐'!B75/'对齐'!B$2*100</f>
        <v/>
      </c>
      <c r="D75">
        <f>'对齐'!B75/MAX('对齐'!B$2:'对齐'!B75)-1</f>
        <v/>
      </c>
      <c r="E75">
        <f>IF(ROW()-2&gt;='参数'!$B$2,STDEV(OFFSET(B75,1-'参数'!$B$2,0,'参数'!$B$2,1))*SQRT('参数'!$B$3),"")</f>
        <v/>
      </c>
      <c r="F75">
        <f>'对齐'!C75/'对齐'!C74-1</f>
        <v/>
      </c>
      <c r="G75">
        <f>'对齐'!C75/'对齐'!C$2*100</f>
        <v/>
      </c>
      <c r="H75">
        <f>'对齐'!C75/MAX('对齐'!C$2:'对齐'!C75)-1</f>
        <v/>
      </c>
      <c r="I75">
        <f>IF(ROW()-2&gt;='参数'!$B$2,STDEV(OFFSET(F75,1-'参数'!$B$2,0,'参数'!$B$2,1))*SQRT('参数'!$B$3),"")</f>
        <v/>
      </c>
    </row>
    <row r="76">
      <c r="A76">
        <f>'对齐'!A76</f>
        <v/>
      </c>
      <c r="B76">
        <f>'对齐'!B76/'对齐'!B75-1</f>
        <v/>
      </c>
      <c r="C76">
        <f>'对齐'!B76/'对齐'!B$2*100</f>
        <v/>
      </c>
      <c r="D76">
        <f>'对齐'!B76/MAX('对齐'!B$2:'对齐'!B76)-1</f>
        <v/>
      </c>
      <c r="E76">
        <f>IF(ROW()-2&gt;='参数'!$B$2,STDEV(OFFSET(B76,1-'参数'!$B$2,0,'参数'!$B$2,1))*SQRT('参数'!$B$3),"")</f>
        <v/>
      </c>
      <c r="F76">
        <f>'对齐'!C76/'对齐'!C75-1</f>
        <v/>
      </c>
      <c r="G76">
        <f>'对齐'!C76/'对齐'!C$2*100</f>
        <v/>
      </c>
      <c r="H76">
        <f>'对齐'!C76/MAX('对齐'!C$2:'对齐'!C76)-1</f>
        <v/>
      </c>
      <c r="I76">
        <f>IF(ROW()-2&gt;='参数'!$B$2,STDEV(OFFSET(F76,1-'参数'!$B$2,0,'参数'!$B$2,1))*SQRT('参数'!$B$3),"")</f>
        <v/>
      </c>
    </row>
    <row r="77">
      <c r="A77">
        <f>'对齐'!A77</f>
        <v/>
      </c>
      <c r="B77">
        <f>'对齐'!B77/'对齐'!B76-1</f>
        <v/>
      </c>
      <c r="C77">
        <f>'对齐'!B77/'对齐'!B$2*100</f>
        <v/>
      </c>
      <c r="D77">
        <f>'对齐'!B77/MAX('对齐'!B$2:'对齐'!B77)-1</f>
        <v/>
      </c>
      <c r="E77">
        <f>IF(ROW()-2&gt;='参数'!$B$2,STDEV(OFFSET(B77,1-'参数'!$B$2,0,'参数'!$B$2,1))*SQRT('参数'!$B$3),"")</f>
        <v/>
      </c>
      <c r="F77">
        <f>'对齐'!C77/'对齐'!C76-1</f>
        <v/>
      </c>
      <c r="G77">
        <f>'对齐'!C77/'对齐'!C$2*100</f>
        <v/>
      </c>
      <c r="H77">
        <f>'对齐'!C77/MAX('对齐'!C$2:'对齐'!C77)-1</f>
        <v/>
      </c>
      <c r="I77">
        <f>IF(ROW()-2&gt;='参数'!$B$2,STDEV(OFFSET(F77,1-'参数'!$B$2,0,'参数'!$B$2,1))*SQRT('参数'!$B$3),"")</f>
        <v/>
      </c>
    </row>
    <row r="78">
      <c r="A78">
        <f>'对齐'!A78</f>
        <v/>
      </c>
      <c r="B78">
        <f>'对齐'!B78/'对齐'!B77-1</f>
        <v/>
      </c>
      <c r="C78">
        <f>'对齐'!B78/'对齐'!B$2*100</f>
        <v/>
      </c>
      <c r="D78">
        <f>'对齐'!B78/MAX('对齐'!B$2:'对齐'!B78)-1</f>
        <v/>
      </c>
      <c r="E78">
        <f>IF(ROW()-2&gt;='参数'!$B$2,STDEV(OFFSET(B78,1-'参数'!$B$2,0,'参数'!$B$2,1))*SQRT('参数'!$B$3),"")</f>
        <v/>
      </c>
      <c r="F78">
        <f>'对齐'!C78/'对齐'!C77-1</f>
        <v/>
      </c>
      <c r="G78">
        <f>'对齐'!C78/'对齐'!C$2*100</f>
        <v/>
      </c>
      <c r="H78">
        <f>'对齐'!C78/MAX('对齐'!C$2:'对齐'!C78)-1</f>
        <v/>
      </c>
      <c r="I78">
        <f>IF(ROW()-2&gt;='参数'!$B$2,STDEV(OFFSET(F78,1-'参数'!$B$2,0,'参数'!$B$2,1))*SQRT('参数'!$B$3),"")</f>
        <v/>
      </c>
    </row>
    <row r="79">
      <c r="A79">
        <f>'对齐'!A79</f>
        <v/>
      </c>
      <c r="B79">
        <f>'对齐'!B79/'对齐'!B78-1</f>
        <v/>
      </c>
      <c r="C79">
        <f>'对齐'!B79/'对齐'!B$2*100</f>
        <v/>
      </c>
      <c r="D79">
        <f>'对齐'!B79/MAX('对齐'!B$2:'对齐'!B79)-1</f>
        <v/>
      </c>
      <c r="E79">
        <f>IF(ROW()-2&gt;='参数'!$B$2,STDEV(OFFSET(B79,1-'参数'!$B$2,0,'参数'!$B$2,1))*SQRT('参数'!$B$3),"")</f>
        <v/>
      </c>
      <c r="F79">
        <f>'对齐'!C79/'对齐'!C78-1</f>
        <v/>
      </c>
      <c r="G79">
        <f>'对齐'!C79/'对齐'!C$2*100</f>
        <v/>
      </c>
      <c r="H79">
        <f>'对齐'!C79/MAX('对齐'!C$2:'对齐'!C79)-1</f>
        <v/>
      </c>
      <c r="I79">
        <f>IF(ROW()-2&gt;='参数'!$B$2,STDEV(OFFSET(F79,1-'参数'!$B$2,0,'参数'!$B$2,1))*SQRT('参数'!$B$3),"")</f>
        <v/>
      </c>
    </row>
    <row r="80">
      <c r="A80">
        <f>'对齐'!A80</f>
        <v/>
      </c>
      <c r="B80">
        <f>'对齐'!B80/'对齐'!B79-1</f>
        <v/>
      </c>
      <c r="C80">
        <f>'对齐'!B80/'对齐'!B$2*100</f>
        <v/>
      </c>
      <c r="D80">
        <f>'对齐'!B80/MAX('对齐'!B$2:'对齐'!B80)-1</f>
        <v/>
      </c>
      <c r="E80">
        <f>IF(ROW()-2&gt;='参数'!$B$2,STDEV(OFFSET(B80,1-'参数'!$B$2,0,'参数'!$B$2,1))*SQRT('参数'!$B$3),"")</f>
        <v/>
      </c>
      <c r="F80">
        <f>'对齐'!C80/'对齐'!C79-1</f>
        <v/>
      </c>
      <c r="G80">
        <f>'对齐'!C80/'对齐'!C$2*100</f>
        <v/>
      </c>
      <c r="H80">
        <f>'对齐'!C80/MAX('对齐'!C$2:'对齐'!C80)-1</f>
        <v/>
      </c>
      <c r="I80">
        <f>IF(ROW()-2&gt;='参数'!$B$2,STDEV(OFFSET(F80,1-'参数'!$B$2,0,'参数'!$B$2,1))*SQRT('参数'!$B$3),"")</f>
        <v/>
      </c>
    </row>
    <row r="81">
      <c r="A81">
        <f>'对齐'!A81</f>
        <v/>
      </c>
      <c r="B81">
        <f>'对齐'!B81/'对齐'!B80-1</f>
        <v/>
      </c>
      <c r="C81">
        <f>'对齐'!B81/'对齐'!B$2*100</f>
        <v/>
      </c>
      <c r="D81">
        <f>'对齐'!B81/MAX('对齐'!B$2:'对齐'!B81)-1</f>
        <v/>
      </c>
      <c r="E81">
        <f>IF(ROW()-2&gt;='参数'!$B$2,STDEV(OFFSET(B81,1-'参数'!$B$2,0,'参数'!$B$2,1))*SQRT('参数'!$B$3),"")</f>
        <v/>
      </c>
      <c r="F81">
        <f>'对齐'!C81/'对齐'!C80-1</f>
        <v/>
      </c>
      <c r="G81">
        <f>'对齐'!C81/'对齐'!C$2*100</f>
        <v/>
      </c>
      <c r="H81">
        <f>'对齐'!C81/MAX('对齐'!C$2:'对齐'!C81)-1</f>
        <v/>
      </c>
      <c r="I81">
        <f>IF(ROW()-2&gt;='参数'!$B$2,STDEV(OFFSET(F81,1-'参数'!$B$2,0,'参数'!$B$2,1))*SQRT('参数'!$B$3),"")</f>
        <v/>
      </c>
    </row>
    <row r="82">
      <c r="A82">
        <f>'对齐'!A82</f>
        <v/>
      </c>
      <c r="B82">
        <f>'对齐'!B82/'对齐'!B81-1</f>
        <v/>
      </c>
      <c r="C82">
        <f>'对齐'!B82/'对齐'!B$2*100</f>
        <v/>
      </c>
      <c r="D82">
        <f>'对齐'!B82/MAX('对齐'!B$2:'对齐'!B82)-1</f>
        <v/>
      </c>
      <c r="E82">
        <f>IF(ROW()-2&gt;='参数'!$B$2,STDEV(OFFSET(B82,1-'参数'!$B$2,0,'参数'!$B$2,1))*SQRT('参数'!$B$3),"")</f>
        <v/>
      </c>
      <c r="F82">
        <f>'对齐'!C82/'对齐'!C81-1</f>
        <v/>
      </c>
      <c r="G82">
        <f>'对齐'!C82/'对齐'!C$2*100</f>
        <v/>
      </c>
      <c r="H82">
        <f>'对齐'!C82/MAX('对齐'!C$2:'对齐'!C82)-1</f>
        <v/>
      </c>
      <c r="I82">
        <f>IF(ROW()-2&gt;='参数'!$B$2,STDEV(OFFSET(F82,1-'参数'!$B$2,0,'参数'!$B$2,1))*SQRT('参数'!$B$3),"")</f>
        <v/>
      </c>
    </row>
    <row r="83">
      <c r="A83">
        <f>'对齐'!A83</f>
        <v/>
      </c>
      <c r="B83">
        <f>'对齐'!B83/'对齐'!B82-1</f>
        <v/>
      </c>
      <c r="C83">
        <f>'对齐'!B83/'对齐'!B$2*100</f>
        <v/>
      </c>
      <c r="D83">
        <f>'对齐'!B83/MAX('对齐'!B$2:'对齐'!B83)-1</f>
        <v/>
      </c>
      <c r="E83">
        <f>IF(ROW()-2&gt;='参数'!$B$2,STDEV(OFFSET(B83,1-'参数'!$B$2,0,'参数'!$B$2,1))*SQRT('参数'!$B$3),"")</f>
        <v/>
      </c>
      <c r="F83">
        <f>'对齐'!C83/'对齐'!C82-1</f>
        <v/>
      </c>
      <c r="G83">
        <f>'对齐'!C83/'对齐'!C$2*100</f>
        <v/>
      </c>
      <c r="H83">
        <f>'对齐'!C83/MAX('对齐'!C$2:'对齐'!C83)-1</f>
        <v/>
      </c>
      <c r="I83">
        <f>IF(ROW()-2&gt;='参数'!$B$2,STDEV(OFFSET(F83,1-'参数'!$B$2,0,'参数'!$B$2,1))*SQRT('参数'!$B$3),"")</f>
        <v/>
      </c>
    </row>
    <row r="84">
      <c r="A84">
        <f>'对齐'!A84</f>
        <v/>
      </c>
      <c r="B84">
        <f>'对齐'!B84/'对齐'!B83-1</f>
        <v/>
      </c>
      <c r="C84">
        <f>'对齐'!B84/'对齐'!B$2*100</f>
        <v/>
      </c>
      <c r="D84">
        <f>'对齐'!B84/MAX('对齐'!B$2:'对齐'!B84)-1</f>
        <v/>
      </c>
      <c r="E84">
        <f>IF(ROW()-2&gt;='参数'!$B$2,STDEV(OFFSET(B84,1-'参数'!$B$2,0,'参数'!$B$2,1))*SQRT('参数'!$B$3),"")</f>
        <v/>
      </c>
      <c r="F84">
        <f>'对齐'!C84/'对齐'!C83-1</f>
        <v/>
      </c>
      <c r="G84">
        <f>'对齐'!C84/'对齐'!C$2*100</f>
        <v/>
      </c>
      <c r="H84">
        <f>'对齐'!C84/MAX('对齐'!C$2:'对齐'!C84)-1</f>
        <v/>
      </c>
      <c r="I84">
        <f>IF(ROW()-2&gt;='参数'!$B$2,STDEV(OFFSET(F84,1-'参数'!$B$2,0,'参数'!$B$2,1))*SQRT('参数'!$B$3),"")</f>
        <v/>
      </c>
    </row>
    <row r="85">
      <c r="A85">
        <f>'对齐'!A85</f>
        <v/>
      </c>
      <c r="B85">
        <f>'对齐'!B85/'对齐'!B84-1</f>
        <v/>
      </c>
      <c r="C85">
        <f>'对齐'!B85/'对齐'!B$2*100</f>
        <v/>
      </c>
      <c r="D85">
        <f>'对齐'!B85/MAX('对齐'!B$2:'对齐'!B85)-1</f>
        <v/>
      </c>
      <c r="E85">
        <f>IF(ROW()-2&gt;='参数'!$B$2,STDEV(OFFSET(B85,1-'参数'!$B$2,0,'参数'!$B$2,1))*SQRT('参数'!$B$3),"")</f>
        <v/>
      </c>
      <c r="F85">
        <f>'对齐'!C85/'对齐'!C84-1</f>
        <v/>
      </c>
      <c r="G85">
        <f>'对齐'!C85/'对齐'!C$2*100</f>
        <v/>
      </c>
      <c r="H85">
        <f>'对齐'!C85/MAX('对齐'!C$2:'对齐'!C85)-1</f>
        <v/>
      </c>
      <c r="I85">
        <f>IF(ROW()-2&gt;='参数'!$B$2,STDEV(OFFSET(F85,1-'参数'!$B$2,0,'参数'!$B$2,1))*SQRT('参数'!$B$3),"")</f>
        <v/>
      </c>
    </row>
    <row r="86">
      <c r="A86">
        <f>'对齐'!A86</f>
        <v/>
      </c>
      <c r="B86">
        <f>'对齐'!B86/'对齐'!B85-1</f>
        <v/>
      </c>
      <c r="C86">
        <f>'对齐'!B86/'对齐'!B$2*100</f>
        <v/>
      </c>
      <c r="D86">
        <f>'对齐'!B86/MAX('对齐'!B$2:'对齐'!B86)-1</f>
        <v/>
      </c>
      <c r="E86">
        <f>IF(ROW()-2&gt;='参数'!$B$2,STDEV(OFFSET(B86,1-'参数'!$B$2,0,'参数'!$B$2,1))*SQRT('参数'!$B$3),"")</f>
        <v/>
      </c>
      <c r="F86">
        <f>'对齐'!C86/'对齐'!C85-1</f>
        <v/>
      </c>
      <c r="G86">
        <f>'对齐'!C86/'对齐'!C$2*100</f>
        <v/>
      </c>
      <c r="H86">
        <f>'对齐'!C86/MAX('对齐'!C$2:'对齐'!C86)-1</f>
        <v/>
      </c>
      <c r="I86">
        <f>IF(ROW()-2&gt;='参数'!$B$2,STDEV(OFFSET(F86,1-'参数'!$B$2,0,'参数'!$B$2,1))*SQRT('参数'!$B$3),"")</f>
        <v/>
      </c>
    </row>
    <row r="87">
      <c r="A87">
        <f>'对齐'!A87</f>
        <v/>
      </c>
      <c r="B87">
        <f>'对齐'!B87/'对齐'!B86-1</f>
        <v/>
      </c>
      <c r="C87">
        <f>'对齐'!B87/'对齐'!B$2*100</f>
        <v/>
      </c>
      <c r="D87">
        <f>'对齐'!B87/MAX('对齐'!B$2:'对齐'!B87)-1</f>
        <v/>
      </c>
      <c r="E87">
        <f>IF(ROW()-2&gt;='参数'!$B$2,STDEV(OFFSET(B87,1-'参数'!$B$2,0,'参数'!$B$2,1))*SQRT('参数'!$B$3),"")</f>
        <v/>
      </c>
      <c r="F87">
        <f>'对齐'!C87/'对齐'!C86-1</f>
        <v/>
      </c>
      <c r="G87">
        <f>'对齐'!C87/'对齐'!C$2*100</f>
        <v/>
      </c>
      <c r="H87">
        <f>'对齐'!C87/MAX('对齐'!C$2:'对齐'!C87)-1</f>
        <v/>
      </c>
      <c r="I87">
        <f>IF(ROW()-2&gt;='参数'!$B$2,STDEV(OFFSET(F87,1-'参数'!$B$2,0,'参数'!$B$2,1))*SQRT('参数'!$B$3),"")</f>
        <v/>
      </c>
    </row>
    <row r="88">
      <c r="A88">
        <f>'对齐'!A88</f>
        <v/>
      </c>
      <c r="B88">
        <f>'对齐'!B88/'对齐'!B87-1</f>
        <v/>
      </c>
      <c r="C88">
        <f>'对齐'!B88/'对齐'!B$2*100</f>
        <v/>
      </c>
      <c r="D88">
        <f>'对齐'!B88/MAX('对齐'!B$2:'对齐'!B88)-1</f>
        <v/>
      </c>
      <c r="E88">
        <f>IF(ROW()-2&gt;='参数'!$B$2,STDEV(OFFSET(B88,1-'参数'!$B$2,0,'参数'!$B$2,1))*SQRT('参数'!$B$3),"")</f>
        <v/>
      </c>
      <c r="F88">
        <f>'对齐'!C88/'对齐'!C87-1</f>
        <v/>
      </c>
      <c r="G88">
        <f>'对齐'!C88/'对齐'!C$2*100</f>
        <v/>
      </c>
      <c r="H88">
        <f>'对齐'!C88/MAX('对齐'!C$2:'对齐'!C88)-1</f>
        <v/>
      </c>
      <c r="I88">
        <f>IF(ROW()-2&gt;='参数'!$B$2,STDEV(OFFSET(F88,1-'参数'!$B$2,0,'参数'!$B$2,1))*SQRT('参数'!$B$3),"")</f>
        <v/>
      </c>
    </row>
    <row r="89">
      <c r="A89">
        <f>'对齐'!A89</f>
        <v/>
      </c>
      <c r="B89">
        <f>'对齐'!B89/'对齐'!B88-1</f>
        <v/>
      </c>
      <c r="C89">
        <f>'对齐'!B89/'对齐'!B$2*100</f>
        <v/>
      </c>
      <c r="D89">
        <f>'对齐'!B89/MAX('对齐'!B$2:'对齐'!B89)-1</f>
        <v/>
      </c>
      <c r="E89">
        <f>IF(ROW()-2&gt;='参数'!$B$2,STDEV(OFFSET(B89,1-'参数'!$B$2,0,'参数'!$B$2,1))*SQRT('参数'!$B$3),"")</f>
        <v/>
      </c>
      <c r="F89">
        <f>'对齐'!C89/'对齐'!C88-1</f>
        <v/>
      </c>
      <c r="G89">
        <f>'对齐'!C89/'对齐'!C$2*100</f>
        <v/>
      </c>
      <c r="H89">
        <f>'对齐'!C89/MAX('对齐'!C$2:'对齐'!C89)-1</f>
        <v/>
      </c>
      <c r="I89">
        <f>IF(ROW()-2&gt;='参数'!$B$2,STDEV(OFFSET(F89,1-'参数'!$B$2,0,'参数'!$B$2,1))*SQRT('参数'!$B$3),"")</f>
        <v/>
      </c>
    </row>
    <row r="90">
      <c r="A90">
        <f>'对齐'!A90</f>
        <v/>
      </c>
      <c r="B90">
        <f>'对齐'!B90/'对齐'!B89-1</f>
        <v/>
      </c>
      <c r="C90">
        <f>'对齐'!B90/'对齐'!B$2*100</f>
        <v/>
      </c>
      <c r="D90">
        <f>'对齐'!B90/MAX('对齐'!B$2:'对齐'!B90)-1</f>
        <v/>
      </c>
      <c r="E90">
        <f>IF(ROW()-2&gt;='参数'!$B$2,STDEV(OFFSET(B90,1-'参数'!$B$2,0,'参数'!$B$2,1))*SQRT('参数'!$B$3),"")</f>
        <v/>
      </c>
      <c r="F90">
        <f>'对齐'!C90/'对齐'!C89-1</f>
        <v/>
      </c>
      <c r="G90">
        <f>'对齐'!C90/'对齐'!C$2*100</f>
        <v/>
      </c>
      <c r="H90">
        <f>'对齐'!C90/MAX('对齐'!C$2:'对齐'!C90)-1</f>
        <v/>
      </c>
      <c r="I90">
        <f>IF(ROW()-2&gt;='参数'!$B$2,STDEV(OFFSET(F90,1-'参数'!$B$2,0,'参数'!$B$2,1))*SQRT('参数'!$B$3),"")</f>
        <v/>
      </c>
    </row>
    <row r="91">
      <c r="A91">
        <f>'对齐'!A91</f>
        <v/>
      </c>
      <c r="B91">
        <f>'对齐'!B91/'对齐'!B90-1</f>
        <v/>
      </c>
      <c r="C91">
        <f>'对齐'!B91/'对齐'!B$2*100</f>
        <v/>
      </c>
      <c r="D91">
        <f>'对齐'!B91/MAX('对齐'!B$2:'对齐'!B91)-1</f>
        <v/>
      </c>
      <c r="E91">
        <f>IF(ROW()-2&gt;='参数'!$B$2,STDEV(OFFSET(B91,1-'参数'!$B$2,0,'参数'!$B$2,1))*SQRT('参数'!$B$3),"")</f>
        <v/>
      </c>
      <c r="F91">
        <f>'对齐'!C91/'对齐'!C90-1</f>
        <v/>
      </c>
      <c r="G91">
        <f>'对齐'!C91/'对齐'!C$2*100</f>
        <v/>
      </c>
      <c r="H91">
        <f>'对齐'!C91/MAX('对齐'!C$2:'对齐'!C91)-1</f>
        <v/>
      </c>
      <c r="I91">
        <f>IF(ROW()-2&gt;='参数'!$B$2,STDEV(OFFSET(F91,1-'参数'!$B$2,0,'参数'!$B$2,1))*SQRT('参数'!$B$3),"")</f>
        <v/>
      </c>
    </row>
    <row r="92">
      <c r="A92">
        <f>'对齐'!A92</f>
        <v/>
      </c>
      <c r="B92">
        <f>'对齐'!B92/'对齐'!B91-1</f>
        <v/>
      </c>
      <c r="C92">
        <f>'对齐'!B92/'对齐'!B$2*100</f>
        <v/>
      </c>
      <c r="D92">
        <f>'对齐'!B92/MAX('对齐'!B$2:'对齐'!B92)-1</f>
        <v/>
      </c>
      <c r="E92">
        <f>IF(ROW()-2&gt;='参数'!$B$2,STDEV(OFFSET(B92,1-'参数'!$B$2,0,'参数'!$B$2,1))*SQRT('参数'!$B$3),"")</f>
        <v/>
      </c>
      <c r="F92">
        <f>'对齐'!C92/'对齐'!C91-1</f>
        <v/>
      </c>
      <c r="G92">
        <f>'对齐'!C92/'对齐'!C$2*100</f>
        <v/>
      </c>
      <c r="H92">
        <f>'对齐'!C92/MAX('对齐'!C$2:'对齐'!C92)-1</f>
        <v/>
      </c>
      <c r="I92">
        <f>IF(ROW()-2&gt;='参数'!$B$2,STDEV(OFFSET(F92,1-'参数'!$B$2,0,'参数'!$B$2,1))*SQRT('参数'!$B$3),"")</f>
        <v/>
      </c>
    </row>
    <row r="93">
      <c r="A93">
        <f>'对齐'!A93</f>
        <v/>
      </c>
      <c r="B93">
        <f>'对齐'!B93/'对齐'!B92-1</f>
        <v/>
      </c>
      <c r="C93">
        <f>'对齐'!B93/'对齐'!B$2*100</f>
        <v/>
      </c>
      <c r="D93">
        <f>'对齐'!B93/MAX('对齐'!B$2:'对齐'!B93)-1</f>
        <v/>
      </c>
      <c r="E93">
        <f>IF(ROW()-2&gt;='参数'!$B$2,STDEV(OFFSET(B93,1-'参数'!$B$2,0,'参数'!$B$2,1))*SQRT('参数'!$B$3),"")</f>
        <v/>
      </c>
      <c r="F93">
        <f>'对齐'!C93/'对齐'!C92-1</f>
        <v/>
      </c>
      <c r="G93">
        <f>'对齐'!C93/'对齐'!C$2*100</f>
        <v/>
      </c>
      <c r="H93">
        <f>'对齐'!C93/MAX('对齐'!C$2:'对齐'!C93)-1</f>
        <v/>
      </c>
      <c r="I93">
        <f>IF(ROW()-2&gt;='参数'!$B$2,STDEV(OFFSET(F93,1-'参数'!$B$2,0,'参数'!$B$2,1))*SQRT('参数'!$B$3),"")</f>
        <v/>
      </c>
    </row>
    <row r="94">
      <c r="A94">
        <f>'对齐'!A94</f>
        <v/>
      </c>
      <c r="B94">
        <f>'对齐'!B94/'对齐'!B93-1</f>
        <v/>
      </c>
      <c r="C94">
        <f>'对齐'!B94/'对齐'!B$2*100</f>
        <v/>
      </c>
      <c r="D94">
        <f>'对齐'!B94/MAX('对齐'!B$2:'对齐'!B94)-1</f>
        <v/>
      </c>
      <c r="E94">
        <f>IF(ROW()-2&gt;='参数'!$B$2,STDEV(OFFSET(B94,1-'参数'!$B$2,0,'参数'!$B$2,1))*SQRT('参数'!$B$3),"")</f>
        <v/>
      </c>
      <c r="F94">
        <f>'对齐'!C94/'对齐'!C93-1</f>
        <v/>
      </c>
      <c r="G94">
        <f>'对齐'!C94/'对齐'!C$2*100</f>
        <v/>
      </c>
      <c r="H94">
        <f>'对齐'!C94/MAX('对齐'!C$2:'对齐'!C94)-1</f>
        <v/>
      </c>
      <c r="I94">
        <f>IF(ROW()-2&gt;='参数'!$B$2,STDEV(OFFSET(F94,1-'参数'!$B$2,0,'参数'!$B$2,1))*SQRT('参数'!$B$3),"")</f>
        <v/>
      </c>
    </row>
    <row r="95">
      <c r="A95">
        <f>'对齐'!A95</f>
        <v/>
      </c>
      <c r="B95">
        <f>'对齐'!B95/'对齐'!B94-1</f>
        <v/>
      </c>
      <c r="C95">
        <f>'对齐'!B95/'对齐'!B$2*100</f>
        <v/>
      </c>
      <c r="D95">
        <f>'对齐'!B95/MAX('对齐'!B$2:'对齐'!B95)-1</f>
        <v/>
      </c>
      <c r="E95">
        <f>IF(ROW()-2&gt;='参数'!$B$2,STDEV(OFFSET(B95,1-'参数'!$B$2,0,'参数'!$B$2,1))*SQRT('参数'!$B$3),"")</f>
        <v/>
      </c>
      <c r="F95">
        <f>'对齐'!C95/'对齐'!C94-1</f>
        <v/>
      </c>
      <c r="G95">
        <f>'对齐'!C95/'对齐'!C$2*100</f>
        <v/>
      </c>
      <c r="H95">
        <f>'对齐'!C95/MAX('对齐'!C$2:'对齐'!C95)-1</f>
        <v/>
      </c>
      <c r="I95">
        <f>IF(ROW()-2&gt;='参数'!$B$2,STDEV(OFFSET(F95,1-'参数'!$B$2,0,'参数'!$B$2,1))*SQRT('参数'!$B$3),"")</f>
        <v/>
      </c>
    </row>
    <row r="96">
      <c r="A96">
        <f>'对齐'!A96</f>
        <v/>
      </c>
      <c r="B96">
        <f>'对齐'!B96/'对齐'!B95-1</f>
        <v/>
      </c>
      <c r="C96">
        <f>'对齐'!B96/'对齐'!B$2*100</f>
        <v/>
      </c>
      <c r="D96">
        <f>'对齐'!B96/MAX('对齐'!B$2:'对齐'!B96)-1</f>
        <v/>
      </c>
      <c r="E96">
        <f>IF(ROW()-2&gt;='参数'!$B$2,STDEV(OFFSET(B96,1-'参数'!$B$2,0,'参数'!$B$2,1))*SQRT('参数'!$B$3),"")</f>
        <v/>
      </c>
      <c r="F96">
        <f>'对齐'!C96/'对齐'!C95-1</f>
        <v/>
      </c>
      <c r="G96">
        <f>'对齐'!C96/'对齐'!C$2*100</f>
        <v/>
      </c>
      <c r="H96">
        <f>'对齐'!C96/MAX('对齐'!C$2:'对齐'!C96)-1</f>
        <v/>
      </c>
      <c r="I96">
        <f>IF(ROW()-2&gt;='参数'!$B$2,STDEV(OFFSET(F96,1-'参数'!$B$2,0,'参数'!$B$2,1))*SQRT('参数'!$B$3),"")</f>
        <v/>
      </c>
    </row>
    <row r="97">
      <c r="A97">
        <f>'对齐'!A97</f>
        <v/>
      </c>
      <c r="B97">
        <f>'对齐'!B97/'对齐'!B96-1</f>
        <v/>
      </c>
      <c r="C97">
        <f>'对齐'!B97/'对齐'!B$2*100</f>
        <v/>
      </c>
      <c r="D97">
        <f>'对齐'!B97/MAX('对齐'!B$2:'对齐'!B97)-1</f>
        <v/>
      </c>
      <c r="E97">
        <f>IF(ROW()-2&gt;='参数'!$B$2,STDEV(OFFSET(B97,1-'参数'!$B$2,0,'参数'!$B$2,1))*SQRT('参数'!$B$3),"")</f>
        <v/>
      </c>
      <c r="F97">
        <f>'对齐'!C97/'对齐'!C96-1</f>
        <v/>
      </c>
      <c r="G97">
        <f>'对齐'!C97/'对齐'!C$2*100</f>
        <v/>
      </c>
      <c r="H97">
        <f>'对齐'!C97/MAX('对齐'!C$2:'对齐'!C97)-1</f>
        <v/>
      </c>
      <c r="I97">
        <f>IF(ROW()-2&gt;='参数'!$B$2,STDEV(OFFSET(F97,1-'参数'!$B$2,0,'参数'!$B$2,1))*SQRT('参数'!$B$3),"")</f>
        <v/>
      </c>
    </row>
    <row r="98">
      <c r="A98">
        <f>'对齐'!A98</f>
        <v/>
      </c>
      <c r="B98">
        <f>'对齐'!B98/'对齐'!B97-1</f>
        <v/>
      </c>
      <c r="C98">
        <f>'对齐'!B98/'对齐'!B$2*100</f>
        <v/>
      </c>
      <c r="D98">
        <f>'对齐'!B98/MAX('对齐'!B$2:'对齐'!B98)-1</f>
        <v/>
      </c>
      <c r="E98">
        <f>IF(ROW()-2&gt;='参数'!$B$2,STDEV(OFFSET(B98,1-'参数'!$B$2,0,'参数'!$B$2,1))*SQRT('参数'!$B$3),"")</f>
        <v/>
      </c>
      <c r="F98">
        <f>'对齐'!C98/'对齐'!C97-1</f>
        <v/>
      </c>
      <c r="G98">
        <f>'对齐'!C98/'对齐'!C$2*100</f>
        <v/>
      </c>
      <c r="H98">
        <f>'对齐'!C98/MAX('对齐'!C$2:'对齐'!C98)-1</f>
        <v/>
      </c>
      <c r="I98">
        <f>IF(ROW()-2&gt;='参数'!$B$2,STDEV(OFFSET(F98,1-'参数'!$B$2,0,'参数'!$B$2,1))*SQRT('参数'!$B$3),"")</f>
        <v/>
      </c>
    </row>
    <row r="99">
      <c r="A99">
        <f>'对齐'!A99</f>
        <v/>
      </c>
      <c r="B99">
        <f>'对齐'!B99/'对齐'!B98-1</f>
        <v/>
      </c>
      <c r="C99">
        <f>'对齐'!B99/'对齐'!B$2*100</f>
        <v/>
      </c>
      <c r="D99">
        <f>'对齐'!B99/MAX('对齐'!B$2:'对齐'!B99)-1</f>
        <v/>
      </c>
      <c r="E99">
        <f>IF(ROW()-2&gt;='参数'!$B$2,STDEV(OFFSET(B99,1-'参数'!$B$2,0,'参数'!$B$2,1))*SQRT('参数'!$B$3),"")</f>
        <v/>
      </c>
      <c r="F99">
        <f>'对齐'!C99/'对齐'!C98-1</f>
        <v/>
      </c>
      <c r="G99">
        <f>'对齐'!C99/'对齐'!C$2*100</f>
        <v/>
      </c>
      <c r="H99">
        <f>'对齐'!C99/MAX('对齐'!C$2:'对齐'!C99)-1</f>
        <v/>
      </c>
      <c r="I99">
        <f>IF(ROW()-2&gt;='参数'!$B$2,STDEV(OFFSET(F99,1-'参数'!$B$2,0,'参数'!$B$2,1))*SQRT('参数'!$B$3),"")</f>
        <v/>
      </c>
    </row>
    <row r="100">
      <c r="A100">
        <f>'对齐'!A100</f>
        <v/>
      </c>
      <c r="B100">
        <f>'对齐'!B100/'对齐'!B99-1</f>
        <v/>
      </c>
      <c r="C100">
        <f>'对齐'!B100/'对齐'!B$2*100</f>
        <v/>
      </c>
      <c r="D100">
        <f>'对齐'!B100/MAX('对齐'!B$2:'对齐'!B100)-1</f>
        <v/>
      </c>
      <c r="E100">
        <f>IF(ROW()-2&gt;='参数'!$B$2,STDEV(OFFSET(B100,1-'参数'!$B$2,0,'参数'!$B$2,1))*SQRT('参数'!$B$3),"")</f>
        <v/>
      </c>
      <c r="F100">
        <f>'对齐'!C100/'对齐'!C99-1</f>
        <v/>
      </c>
      <c r="G100">
        <f>'对齐'!C100/'对齐'!C$2*100</f>
        <v/>
      </c>
      <c r="H100">
        <f>'对齐'!C100/MAX('对齐'!C$2:'对齐'!C100)-1</f>
        <v/>
      </c>
      <c r="I100">
        <f>IF(ROW()-2&gt;='参数'!$B$2,STDEV(OFFSET(F100,1-'参数'!$B$2,0,'参数'!$B$2,1))*SQRT('参数'!$B$3),"")</f>
        <v/>
      </c>
    </row>
    <row r="101">
      <c r="A101">
        <f>'对齐'!A101</f>
        <v/>
      </c>
      <c r="B101">
        <f>'对齐'!B101/'对齐'!B100-1</f>
        <v/>
      </c>
      <c r="C101">
        <f>'对齐'!B101/'对齐'!B$2*100</f>
        <v/>
      </c>
      <c r="D101">
        <f>'对齐'!B101/MAX('对齐'!B$2:'对齐'!B101)-1</f>
        <v/>
      </c>
      <c r="E101">
        <f>IF(ROW()-2&gt;='参数'!$B$2,STDEV(OFFSET(B101,1-'参数'!$B$2,0,'参数'!$B$2,1))*SQRT('参数'!$B$3),"")</f>
        <v/>
      </c>
      <c r="F101">
        <f>'对齐'!C101/'对齐'!C100-1</f>
        <v/>
      </c>
      <c r="G101">
        <f>'对齐'!C101/'对齐'!C$2*100</f>
        <v/>
      </c>
      <c r="H101">
        <f>'对齐'!C101/MAX('对齐'!C$2:'对齐'!C101)-1</f>
        <v/>
      </c>
      <c r="I101">
        <f>IF(ROW()-2&gt;='参数'!$B$2,STDEV(OFFSET(F101,1-'参数'!$B$2,0,'参数'!$B$2,1))*SQRT('参数'!$B$3),"")</f>
        <v/>
      </c>
    </row>
    <row r="102">
      <c r="A102">
        <f>'对齐'!A102</f>
        <v/>
      </c>
      <c r="B102">
        <f>'对齐'!B102/'对齐'!B101-1</f>
        <v/>
      </c>
      <c r="C102">
        <f>'对齐'!B102/'对齐'!B$2*100</f>
        <v/>
      </c>
      <c r="D102">
        <f>'对齐'!B102/MAX('对齐'!B$2:'对齐'!B102)-1</f>
        <v/>
      </c>
      <c r="E102">
        <f>IF(ROW()-2&gt;='参数'!$B$2,STDEV(OFFSET(B102,1-'参数'!$B$2,0,'参数'!$B$2,1))*SQRT('参数'!$B$3),"")</f>
        <v/>
      </c>
      <c r="F102">
        <f>'对齐'!C102/'对齐'!C101-1</f>
        <v/>
      </c>
      <c r="G102">
        <f>'对齐'!C102/'对齐'!C$2*100</f>
        <v/>
      </c>
      <c r="H102">
        <f>'对齐'!C102/MAX('对齐'!C$2:'对齐'!C102)-1</f>
        <v/>
      </c>
      <c r="I102">
        <f>IF(ROW()-2&gt;='参数'!$B$2,STDEV(OFFSET(F102,1-'参数'!$B$2,0,'参数'!$B$2,1))*SQRT('参数'!$B$3),"")</f>
        <v/>
      </c>
    </row>
    <row r="103">
      <c r="A103">
        <f>'对齐'!A103</f>
        <v/>
      </c>
      <c r="B103">
        <f>'对齐'!B103/'对齐'!B102-1</f>
        <v/>
      </c>
      <c r="C103">
        <f>'对齐'!B103/'对齐'!B$2*100</f>
        <v/>
      </c>
      <c r="D103">
        <f>'对齐'!B103/MAX('对齐'!B$2:'对齐'!B103)-1</f>
        <v/>
      </c>
      <c r="E103">
        <f>IF(ROW()-2&gt;='参数'!$B$2,STDEV(OFFSET(B103,1-'参数'!$B$2,0,'参数'!$B$2,1))*SQRT('参数'!$B$3),"")</f>
        <v/>
      </c>
      <c r="F103">
        <f>'对齐'!C103/'对齐'!C102-1</f>
        <v/>
      </c>
      <c r="G103">
        <f>'对齐'!C103/'对齐'!C$2*100</f>
        <v/>
      </c>
      <c r="H103">
        <f>'对齐'!C103/MAX('对齐'!C$2:'对齐'!C103)-1</f>
        <v/>
      </c>
      <c r="I103">
        <f>IF(ROW()-2&gt;='参数'!$B$2,STDEV(OFFSET(F103,1-'参数'!$B$2,0,'参数'!$B$2,1))*SQRT('参数'!$B$3),"")</f>
        <v/>
      </c>
    </row>
    <row r="104">
      <c r="A104">
        <f>'对齐'!A104</f>
        <v/>
      </c>
      <c r="B104">
        <f>'对齐'!B104/'对齐'!B103-1</f>
        <v/>
      </c>
      <c r="C104">
        <f>'对齐'!B104/'对齐'!B$2*100</f>
        <v/>
      </c>
      <c r="D104">
        <f>'对齐'!B104/MAX('对齐'!B$2:'对齐'!B104)-1</f>
        <v/>
      </c>
      <c r="E104">
        <f>IF(ROW()-2&gt;='参数'!$B$2,STDEV(OFFSET(B104,1-'参数'!$B$2,0,'参数'!$B$2,1))*SQRT('参数'!$B$3),"")</f>
        <v/>
      </c>
      <c r="F104">
        <f>'对齐'!C104/'对齐'!C103-1</f>
        <v/>
      </c>
      <c r="G104">
        <f>'对齐'!C104/'对齐'!C$2*100</f>
        <v/>
      </c>
      <c r="H104">
        <f>'对齐'!C104/MAX('对齐'!C$2:'对齐'!C104)-1</f>
        <v/>
      </c>
      <c r="I104">
        <f>IF(ROW()-2&gt;='参数'!$B$2,STDEV(OFFSET(F104,1-'参数'!$B$2,0,'参数'!$B$2,1))*SQRT('参数'!$B$3),"")</f>
        <v/>
      </c>
    </row>
    <row r="105">
      <c r="A105">
        <f>'对齐'!A105</f>
        <v/>
      </c>
      <c r="B105">
        <f>'对齐'!B105/'对齐'!B104-1</f>
        <v/>
      </c>
      <c r="C105">
        <f>'对齐'!B105/'对齐'!B$2*100</f>
        <v/>
      </c>
      <c r="D105">
        <f>'对齐'!B105/MAX('对齐'!B$2:'对齐'!B105)-1</f>
        <v/>
      </c>
      <c r="E105">
        <f>IF(ROW()-2&gt;='参数'!$B$2,STDEV(OFFSET(B105,1-'参数'!$B$2,0,'参数'!$B$2,1))*SQRT('参数'!$B$3),"")</f>
        <v/>
      </c>
      <c r="F105">
        <f>'对齐'!C105/'对齐'!C104-1</f>
        <v/>
      </c>
      <c r="G105">
        <f>'对齐'!C105/'对齐'!C$2*100</f>
        <v/>
      </c>
      <c r="H105">
        <f>'对齐'!C105/MAX('对齐'!C$2:'对齐'!C105)-1</f>
        <v/>
      </c>
      <c r="I105">
        <f>IF(ROW()-2&gt;='参数'!$B$2,STDEV(OFFSET(F105,1-'参数'!$B$2,0,'参数'!$B$2,1))*SQRT('参数'!$B$3),"")</f>
        <v/>
      </c>
    </row>
    <row r="106">
      <c r="A106">
        <f>'对齐'!A106</f>
        <v/>
      </c>
      <c r="B106">
        <f>'对齐'!B106/'对齐'!B105-1</f>
        <v/>
      </c>
      <c r="C106">
        <f>'对齐'!B106/'对齐'!B$2*100</f>
        <v/>
      </c>
      <c r="D106">
        <f>'对齐'!B106/MAX('对齐'!B$2:'对齐'!B106)-1</f>
        <v/>
      </c>
      <c r="E106">
        <f>IF(ROW()-2&gt;='参数'!$B$2,STDEV(OFFSET(B106,1-'参数'!$B$2,0,'参数'!$B$2,1))*SQRT('参数'!$B$3),"")</f>
        <v/>
      </c>
      <c r="F106">
        <f>'对齐'!C106/'对齐'!C105-1</f>
        <v/>
      </c>
      <c r="G106">
        <f>'对齐'!C106/'对齐'!C$2*100</f>
        <v/>
      </c>
      <c r="H106">
        <f>'对齐'!C106/MAX('对齐'!C$2:'对齐'!C106)-1</f>
        <v/>
      </c>
      <c r="I106">
        <f>IF(ROW()-2&gt;='参数'!$B$2,STDEV(OFFSET(F106,1-'参数'!$B$2,0,'参数'!$B$2,1))*SQRT('参数'!$B$3),"")</f>
        <v/>
      </c>
    </row>
    <row r="107">
      <c r="A107">
        <f>'对齐'!A107</f>
        <v/>
      </c>
      <c r="B107">
        <f>'对齐'!B107/'对齐'!B106-1</f>
        <v/>
      </c>
      <c r="C107">
        <f>'对齐'!B107/'对齐'!B$2*100</f>
        <v/>
      </c>
      <c r="D107">
        <f>'对齐'!B107/MAX('对齐'!B$2:'对齐'!B107)-1</f>
        <v/>
      </c>
      <c r="E107">
        <f>IF(ROW()-2&gt;='参数'!$B$2,STDEV(OFFSET(B107,1-'参数'!$B$2,0,'参数'!$B$2,1))*SQRT('参数'!$B$3),"")</f>
        <v/>
      </c>
      <c r="F107">
        <f>'对齐'!C107/'对齐'!C106-1</f>
        <v/>
      </c>
      <c r="G107">
        <f>'对齐'!C107/'对齐'!C$2*100</f>
        <v/>
      </c>
      <c r="H107">
        <f>'对齐'!C107/MAX('对齐'!C$2:'对齐'!C107)-1</f>
        <v/>
      </c>
      <c r="I107">
        <f>IF(ROW()-2&gt;='参数'!$B$2,STDEV(OFFSET(F107,1-'参数'!$B$2,0,'参数'!$B$2,1))*SQRT('参数'!$B$3),"")</f>
        <v/>
      </c>
    </row>
    <row r="108">
      <c r="A108">
        <f>'对齐'!A108</f>
        <v/>
      </c>
      <c r="B108">
        <f>'对齐'!B108/'对齐'!B107-1</f>
        <v/>
      </c>
      <c r="C108">
        <f>'对齐'!B108/'对齐'!B$2*100</f>
        <v/>
      </c>
      <c r="D108">
        <f>'对齐'!B108/MAX('对齐'!B$2:'对齐'!B108)-1</f>
        <v/>
      </c>
      <c r="E108">
        <f>IF(ROW()-2&gt;='参数'!$B$2,STDEV(OFFSET(B108,1-'参数'!$B$2,0,'参数'!$B$2,1))*SQRT('参数'!$B$3),"")</f>
        <v/>
      </c>
      <c r="F108">
        <f>'对齐'!C108/'对齐'!C107-1</f>
        <v/>
      </c>
      <c r="G108">
        <f>'对齐'!C108/'对齐'!C$2*100</f>
        <v/>
      </c>
      <c r="H108">
        <f>'对齐'!C108/MAX('对齐'!C$2:'对齐'!C108)-1</f>
        <v/>
      </c>
      <c r="I108">
        <f>IF(ROW()-2&gt;='参数'!$B$2,STDEV(OFFSET(F108,1-'参数'!$B$2,0,'参数'!$B$2,1))*SQRT('参数'!$B$3),"")</f>
        <v/>
      </c>
    </row>
    <row r="109">
      <c r="A109">
        <f>'对齐'!A109</f>
        <v/>
      </c>
      <c r="B109">
        <f>'对齐'!B109/'对齐'!B108-1</f>
        <v/>
      </c>
      <c r="C109">
        <f>'对齐'!B109/'对齐'!B$2*100</f>
        <v/>
      </c>
      <c r="D109">
        <f>'对齐'!B109/MAX('对齐'!B$2:'对齐'!B109)-1</f>
        <v/>
      </c>
      <c r="E109">
        <f>IF(ROW()-2&gt;='参数'!$B$2,STDEV(OFFSET(B109,1-'参数'!$B$2,0,'参数'!$B$2,1))*SQRT('参数'!$B$3),"")</f>
        <v/>
      </c>
      <c r="F109">
        <f>'对齐'!C109/'对齐'!C108-1</f>
        <v/>
      </c>
      <c r="G109">
        <f>'对齐'!C109/'对齐'!C$2*100</f>
        <v/>
      </c>
      <c r="H109">
        <f>'对齐'!C109/MAX('对齐'!C$2:'对齐'!C109)-1</f>
        <v/>
      </c>
      <c r="I109">
        <f>IF(ROW()-2&gt;='参数'!$B$2,STDEV(OFFSET(F109,1-'参数'!$B$2,0,'参数'!$B$2,1))*SQRT('参数'!$B$3),"")</f>
        <v/>
      </c>
    </row>
    <row r="110">
      <c r="A110">
        <f>'对齐'!A110</f>
        <v/>
      </c>
      <c r="B110">
        <f>'对齐'!B110/'对齐'!B109-1</f>
        <v/>
      </c>
      <c r="C110">
        <f>'对齐'!B110/'对齐'!B$2*100</f>
        <v/>
      </c>
      <c r="D110">
        <f>'对齐'!B110/MAX('对齐'!B$2:'对齐'!B110)-1</f>
        <v/>
      </c>
      <c r="E110">
        <f>IF(ROW()-2&gt;='参数'!$B$2,STDEV(OFFSET(B110,1-'参数'!$B$2,0,'参数'!$B$2,1))*SQRT('参数'!$B$3),"")</f>
        <v/>
      </c>
      <c r="F110">
        <f>'对齐'!C110/'对齐'!C109-1</f>
        <v/>
      </c>
      <c r="G110">
        <f>'对齐'!C110/'对齐'!C$2*100</f>
        <v/>
      </c>
      <c r="H110">
        <f>'对齐'!C110/MAX('对齐'!C$2:'对齐'!C110)-1</f>
        <v/>
      </c>
      <c r="I110">
        <f>IF(ROW()-2&gt;='参数'!$B$2,STDEV(OFFSET(F110,1-'参数'!$B$2,0,'参数'!$B$2,1))*SQRT('参数'!$B$3),"")</f>
        <v/>
      </c>
    </row>
    <row r="111">
      <c r="A111">
        <f>'对齐'!A111</f>
        <v/>
      </c>
      <c r="B111">
        <f>'对齐'!B111/'对齐'!B110-1</f>
        <v/>
      </c>
      <c r="C111">
        <f>'对齐'!B111/'对齐'!B$2*100</f>
        <v/>
      </c>
      <c r="D111">
        <f>'对齐'!B111/MAX('对齐'!B$2:'对齐'!B111)-1</f>
        <v/>
      </c>
      <c r="E111">
        <f>IF(ROW()-2&gt;='参数'!$B$2,STDEV(OFFSET(B111,1-'参数'!$B$2,0,'参数'!$B$2,1))*SQRT('参数'!$B$3),"")</f>
        <v/>
      </c>
      <c r="F111">
        <f>'对齐'!C111/'对齐'!C110-1</f>
        <v/>
      </c>
      <c r="G111">
        <f>'对齐'!C111/'对齐'!C$2*100</f>
        <v/>
      </c>
      <c r="H111">
        <f>'对齐'!C111/MAX('对齐'!C$2:'对齐'!C111)-1</f>
        <v/>
      </c>
      <c r="I111">
        <f>IF(ROW()-2&gt;='参数'!$B$2,STDEV(OFFSET(F111,1-'参数'!$B$2,0,'参数'!$B$2,1))*SQRT('参数'!$B$3),"")</f>
        <v/>
      </c>
    </row>
    <row r="112">
      <c r="A112">
        <f>'对齐'!A112</f>
        <v/>
      </c>
      <c r="B112">
        <f>'对齐'!B112/'对齐'!B111-1</f>
        <v/>
      </c>
      <c r="C112">
        <f>'对齐'!B112/'对齐'!B$2*100</f>
        <v/>
      </c>
      <c r="D112">
        <f>'对齐'!B112/MAX('对齐'!B$2:'对齐'!B112)-1</f>
        <v/>
      </c>
      <c r="E112">
        <f>IF(ROW()-2&gt;='参数'!$B$2,STDEV(OFFSET(B112,1-'参数'!$B$2,0,'参数'!$B$2,1))*SQRT('参数'!$B$3),"")</f>
        <v/>
      </c>
      <c r="F112">
        <f>'对齐'!C112/'对齐'!C111-1</f>
        <v/>
      </c>
      <c r="G112">
        <f>'对齐'!C112/'对齐'!C$2*100</f>
        <v/>
      </c>
      <c r="H112">
        <f>'对齐'!C112/MAX('对齐'!C$2:'对齐'!C112)-1</f>
        <v/>
      </c>
      <c r="I112">
        <f>IF(ROW()-2&gt;='参数'!$B$2,STDEV(OFFSET(F112,1-'参数'!$B$2,0,'参数'!$B$2,1))*SQRT('参数'!$B$3),"")</f>
        <v/>
      </c>
    </row>
    <row r="113">
      <c r="A113">
        <f>'对齐'!A113</f>
        <v/>
      </c>
      <c r="B113">
        <f>'对齐'!B113/'对齐'!B112-1</f>
        <v/>
      </c>
      <c r="C113">
        <f>'对齐'!B113/'对齐'!B$2*100</f>
        <v/>
      </c>
      <c r="D113">
        <f>'对齐'!B113/MAX('对齐'!B$2:'对齐'!B113)-1</f>
        <v/>
      </c>
      <c r="E113">
        <f>IF(ROW()-2&gt;='参数'!$B$2,STDEV(OFFSET(B113,1-'参数'!$B$2,0,'参数'!$B$2,1))*SQRT('参数'!$B$3),"")</f>
        <v/>
      </c>
      <c r="F113">
        <f>'对齐'!C113/'对齐'!C112-1</f>
        <v/>
      </c>
      <c r="G113">
        <f>'对齐'!C113/'对齐'!C$2*100</f>
        <v/>
      </c>
      <c r="H113">
        <f>'对齐'!C113/MAX('对齐'!C$2:'对齐'!C113)-1</f>
        <v/>
      </c>
      <c r="I113">
        <f>IF(ROW()-2&gt;='参数'!$B$2,STDEV(OFFSET(F113,1-'参数'!$B$2,0,'参数'!$B$2,1))*SQRT('参数'!$B$3),"")</f>
        <v/>
      </c>
    </row>
    <row r="114">
      <c r="A114">
        <f>'对齐'!A114</f>
        <v/>
      </c>
      <c r="B114">
        <f>'对齐'!B114/'对齐'!B113-1</f>
        <v/>
      </c>
      <c r="C114">
        <f>'对齐'!B114/'对齐'!B$2*100</f>
        <v/>
      </c>
      <c r="D114">
        <f>'对齐'!B114/MAX('对齐'!B$2:'对齐'!B114)-1</f>
        <v/>
      </c>
      <c r="E114">
        <f>IF(ROW()-2&gt;='参数'!$B$2,STDEV(OFFSET(B114,1-'参数'!$B$2,0,'参数'!$B$2,1))*SQRT('参数'!$B$3),"")</f>
        <v/>
      </c>
      <c r="F114">
        <f>'对齐'!C114/'对齐'!C113-1</f>
        <v/>
      </c>
      <c r="G114">
        <f>'对齐'!C114/'对齐'!C$2*100</f>
        <v/>
      </c>
      <c r="H114">
        <f>'对齐'!C114/MAX('对齐'!C$2:'对齐'!C114)-1</f>
        <v/>
      </c>
      <c r="I114">
        <f>IF(ROW()-2&gt;='参数'!$B$2,STDEV(OFFSET(F114,1-'参数'!$B$2,0,'参数'!$B$2,1))*SQRT('参数'!$B$3),"")</f>
        <v/>
      </c>
    </row>
    <row r="115">
      <c r="A115">
        <f>'对齐'!A115</f>
        <v/>
      </c>
      <c r="B115">
        <f>'对齐'!B115/'对齐'!B114-1</f>
        <v/>
      </c>
      <c r="C115">
        <f>'对齐'!B115/'对齐'!B$2*100</f>
        <v/>
      </c>
      <c r="D115">
        <f>'对齐'!B115/MAX('对齐'!B$2:'对齐'!B115)-1</f>
        <v/>
      </c>
      <c r="E115">
        <f>IF(ROW()-2&gt;='参数'!$B$2,STDEV(OFFSET(B115,1-'参数'!$B$2,0,'参数'!$B$2,1))*SQRT('参数'!$B$3),"")</f>
        <v/>
      </c>
      <c r="F115">
        <f>'对齐'!C115/'对齐'!C114-1</f>
        <v/>
      </c>
      <c r="G115">
        <f>'对齐'!C115/'对齐'!C$2*100</f>
        <v/>
      </c>
      <c r="H115">
        <f>'对齐'!C115/MAX('对齐'!C$2:'对齐'!C115)-1</f>
        <v/>
      </c>
      <c r="I115">
        <f>IF(ROW()-2&gt;='参数'!$B$2,STDEV(OFFSET(F115,1-'参数'!$B$2,0,'参数'!$B$2,1))*SQRT('参数'!$B$3),"")</f>
        <v/>
      </c>
    </row>
    <row r="116">
      <c r="A116">
        <f>'对齐'!A116</f>
        <v/>
      </c>
      <c r="B116">
        <f>'对齐'!B116/'对齐'!B115-1</f>
        <v/>
      </c>
      <c r="C116">
        <f>'对齐'!B116/'对齐'!B$2*100</f>
        <v/>
      </c>
      <c r="D116">
        <f>'对齐'!B116/MAX('对齐'!B$2:'对齐'!B116)-1</f>
        <v/>
      </c>
      <c r="E116">
        <f>IF(ROW()-2&gt;='参数'!$B$2,STDEV(OFFSET(B116,1-'参数'!$B$2,0,'参数'!$B$2,1))*SQRT('参数'!$B$3),"")</f>
        <v/>
      </c>
      <c r="F116">
        <f>'对齐'!C116/'对齐'!C115-1</f>
        <v/>
      </c>
      <c r="G116">
        <f>'对齐'!C116/'对齐'!C$2*100</f>
        <v/>
      </c>
      <c r="H116">
        <f>'对齐'!C116/MAX('对齐'!C$2:'对齐'!C116)-1</f>
        <v/>
      </c>
      <c r="I116">
        <f>IF(ROW()-2&gt;='参数'!$B$2,STDEV(OFFSET(F116,1-'参数'!$B$2,0,'参数'!$B$2,1))*SQRT('参数'!$B$3),"")</f>
        <v/>
      </c>
    </row>
    <row r="117">
      <c r="A117">
        <f>'对齐'!A117</f>
        <v/>
      </c>
      <c r="B117">
        <f>'对齐'!B117/'对齐'!B116-1</f>
        <v/>
      </c>
      <c r="C117">
        <f>'对齐'!B117/'对齐'!B$2*100</f>
        <v/>
      </c>
      <c r="D117">
        <f>'对齐'!B117/MAX('对齐'!B$2:'对齐'!B117)-1</f>
        <v/>
      </c>
      <c r="E117">
        <f>IF(ROW()-2&gt;='参数'!$B$2,STDEV(OFFSET(B117,1-'参数'!$B$2,0,'参数'!$B$2,1))*SQRT('参数'!$B$3),"")</f>
        <v/>
      </c>
      <c r="F117">
        <f>'对齐'!C117/'对齐'!C116-1</f>
        <v/>
      </c>
      <c r="G117">
        <f>'对齐'!C117/'对齐'!C$2*100</f>
        <v/>
      </c>
      <c r="H117">
        <f>'对齐'!C117/MAX('对齐'!C$2:'对齐'!C117)-1</f>
        <v/>
      </c>
      <c r="I117">
        <f>IF(ROW()-2&gt;='参数'!$B$2,STDEV(OFFSET(F117,1-'参数'!$B$2,0,'参数'!$B$2,1))*SQRT('参数'!$B$3),"")</f>
        <v/>
      </c>
    </row>
    <row r="118">
      <c r="A118">
        <f>'对齐'!A118</f>
        <v/>
      </c>
      <c r="B118">
        <f>'对齐'!B118/'对齐'!B117-1</f>
        <v/>
      </c>
      <c r="C118">
        <f>'对齐'!B118/'对齐'!B$2*100</f>
        <v/>
      </c>
      <c r="D118">
        <f>'对齐'!B118/MAX('对齐'!B$2:'对齐'!B118)-1</f>
        <v/>
      </c>
      <c r="E118">
        <f>IF(ROW()-2&gt;='参数'!$B$2,STDEV(OFFSET(B118,1-'参数'!$B$2,0,'参数'!$B$2,1))*SQRT('参数'!$B$3),"")</f>
        <v/>
      </c>
      <c r="F118">
        <f>'对齐'!C118/'对齐'!C117-1</f>
        <v/>
      </c>
      <c r="G118">
        <f>'对齐'!C118/'对齐'!C$2*100</f>
        <v/>
      </c>
      <c r="H118">
        <f>'对齐'!C118/MAX('对齐'!C$2:'对齐'!C118)-1</f>
        <v/>
      </c>
      <c r="I118">
        <f>IF(ROW()-2&gt;='参数'!$B$2,STDEV(OFFSET(F118,1-'参数'!$B$2,0,'参数'!$B$2,1))*SQRT('参数'!$B$3),"")</f>
        <v/>
      </c>
    </row>
    <row r="119">
      <c r="A119">
        <f>'对齐'!A119</f>
        <v/>
      </c>
      <c r="B119">
        <f>'对齐'!B119/'对齐'!B118-1</f>
        <v/>
      </c>
      <c r="C119">
        <f>'对齐'!B119/'对齐'!B$2*100</f>
        <v/>
      </c>
      <c r="D119">
        <f>'对齐'!B119/MAX('对齐'!B$2:'对齐'!B119)-1</f>
        <v/>
      </c>
      <c r="E119">
        <f>IF(ROW()-2&gt;='参数'!$B$2,STDEV(OFFSET(B119,1-'参数'!$B$2,0,'参数'!$B$2,1))*SQRT('参数'!$B$3),"")</f>
        <v/>
      </c>
      <c r="F119">
        <f>'对齐'!C119/'对齐'!C118-1</f>
        <v/>
      </c>
      <c r="G119">
        <f>'对齐'!C119/'对齐'!C$2*100</f>
        <v/>
      </c>
      <c r="H119">
        <f>'对齐'!C119/MAX('对齐'!C$2:'对齐'!C119)-1</f>
        <v/>
      </c>
      <c r="I119">
        <f>IF(ROW()-2&gt;='参数'!$B$2,STDEV(OFFSET(F119,1-'参数'!$B$2,0,'参数'!$B$2,1))*SQRT('参数'!$B$3),"")</f>
        <v/>
      </c>
    </row>
    <row r="120">
      <c r="A120">
        <f>'对齐'!A120</f>
        <v/>
      </c>
      <c r="B120">
        <f>'对齐'!B120/'对齐'!B119-1</f>
        <v/>
      </c>
      <c r="C120">
        <f>'对齐'!B120/'对齐'!B$2*100</f>
        <v/>
      </c>
      <c r="D120">
        <f>'对齐'!B120/MAX('对齐'!B$2:'对齐'!B120)-1</f>
        <v/>
      </c>
      <c r="E120">
        <f>IF(ROW()-2&gt;='参数'!$B$2,STDEV(OFFSET(B120,1-'参数'!$B$2,0,'参数'!$B$2,1))*SQRT('参数'!$B$3),"")</f>
        <v/>
      </c>
      <c r="F120">
        <f>'对齐'!C120/'对齐'!C119-1</f>
        <v/>
      </c>
      <c r="G120">
        <f>'对齐'!C120/'对齐'!C$2*100</f>
        <v/>
      </c>
      <c r="H120">
        <f>'对齐'!C120/MAX('对齐'!C$2:'对齐'!C120)-1</f>
        <v/>
      </c>
      <c r="I120">
        <f>IF(ROW()-2&gt;='参数'!$B$2,STDEV(OFFSET(F120,1-'参数'!$B$2,0,'参数'!$B$2,1))*SQRT('参数'!$B$3),"")</f>
        <v/>
      </c>
    </row>
    <row r="121">
      <c r="A121">
        <f>'对齐'!A121</f>
        <v/>
      </c>
      <c r="B121">
        <f>'对齐'!B121/'对齐'!B120-1</f>
        <v/>
      </c>
      <c r="C121">
        <f>'对齐'!B121/'对齐'!B$2*100</f>
        <v/>
      </c>
      <c r="D121">
        <f>'对齐'!B121/MAX('对齐'!B$2:'对齐'!B121)-1</f>
        <v/>
      </c>
      <c r="E121">
        <f>IF(ROW()-2&gt;='参数'!$B$2,STDEV(OFFSET(B121,1-'参数'!$B$2,0,'参数'!$B$2,1))*SQRT('参数'!$B$3),"")</f>
        <v/>
      </c>
      <c r="F121">
        <f>'对齐'!C121/'对齐'!C120-1</f>
        <v/>
      </c>
      <c r="G121">
        <f>'对齐'!C121/'对齐'!C$2*100</f>
        <v/>
      </c>
      <c r="H121">
        <f>'对齐'!C121/MAX('对齐'!C$2:'对齐'!C121)-1</f>
        <v/>
      </c>
      <c r="I121">
        <f>IF(ROW()-2&gt;='参数'!$B$2,STDEV(OFFSET(F121,1-'参数'!$B$2,0,'参数'!$B$2,1))*SQRT('参数'!$B$3),"")</f>
        <v/>
      </c>
    </row>
    <row r="122">
      <c r="A122">
        <f>'对齐'!A122</f>
        <v/>
      </c>
      <c r="B122">
        <f>'对齐'!B122/'对齐'!B121-1</f>
        <v/>
      </c>
      <c r="C122">
        <f>'对齐'!B122/'对齐'!B$2*100</f>
        <v/>
      </c>
      <c r="D122">
        <f>'对齐'!B122/MAX('对齐'!B$2:'对齐'!B122)-1</f>
        <v/>
      </c>
      <c r="E122">
        <f>IF(ROW()-2&gt;='参数'!$B$2,STDEV(OFFSET(B122,1-'参数'!$B$2,0,'参数'!$B$2,1))*SQRT('参数'!$B$3),"")</f>
        <v/>
      </c>
      <c r="F122">
        <f>'对齐'!C122/'对齐'!C121-1</f>
        <v/>
      </c>
      <c r="G122">
        <f>'对齐'!C122/'对齐'!C$2*100</f>
        <v/>
      </c>
      <c r="H122">
        <f>'对齐'!C122/MAX('对齐'!C$2:'对齐'!C122)-1</f>
        <v/>
      </c>
      <c r="I122">
        <f>IF(ROW()-2&gt;='参数'!$B$2,STDEV(OFFSET(F122,1-'参数'!$B$2,0,'参数'!$B$2,1))*SQRT('参数'!$B$3),"")</f>
        <v/>
      </c>
    </row>
    <row r="123">
      <c r="A123">
        <f>'对齐'!A123</f>
        <v/>
      </c>
      <c r="B123">
        <f>'对齐'!B123/'对齐'!B122-1</f>
        <v/>
      </c>
      <c r="C123">
        <f>'对齐'!B123/'对齐'!B$2*100</f>
        <v/>
      </c>
      <c r="D123">
        <f>'对齐'!B123/MAX('对齐'!B$2:'对齐'!B123)-1</f>
        <v/>
      </c>
      <c r="E123">
        <f>IF(ROW()-2&gt;='参数'!$B$2,STDEV(OFFSET(B123,1-'参数'!$B$2,0,'参数'!$B$2,1))*SQRT('参数'!$B$3),"")</f>
        <v/>
      </c>
      <c r="F123">
        <f>'对齐'!C123/'对齐'!C122-1</f>
        <v/>
      </c>
      <c r="G123">
        <f>'对齐'!C123/'对齐'!C$2*100</f>
        <v/>
      </c>
      <c r="H123">
        <f>'对齐'!C123/MAX('对齐'!C$2:'对齐'!C123)-1</f>
        <v/>
      </c>
      <c r="I123">
        <f>IF(ROW()-2&gt;='参数'!$B$2,STDEV(OFFSET(F123,1-'参数'!$B$2,0,'参数'!$B$2,1))*SQRT('参数'!$B$3),"")</f>
        <v/>
      </c>
    </row>
    <row r="124">
      <c r="A124">
        <f>'对齐'!A124</f>
        <v/>
      </c>
      <c r="B124">
        <f>'对齐'!B124/'对齐'!B123-1</f>
        <v/>
      </c>
      <c r="C124">
        <f>'对齐'!B124/'对齐'!B$2*100</f>
        <v/>
      </c>
      <c r="D124">
        <f>'对齐'!B124/MAX('对齐'!B$2:'对齐'!B124)-1</f>
        <v/>
      </c>
      <c r="E124">
        <f>IF(ROW()-2&gt;='参数'!$B$2,STDEV(OFFSET(B124,1-'参数'!$B$2,0,'参数'!$B$2,1))*SQRT('参数'!$B$3),"")</f>
        <v/>
      </c>
      <c r="F124">
        <f>'对齐'!C124/'对齐'!C123-1</f>
        <v/>
      </c>
      <c r="G124">
        <f>'对齐'!C124/'对齐'!C$2*100</f>
        <v/>
      </c>
      <c r="H124">
        <f>'对齐'!C124/MAX('对齐'!C$2:'对齐'!C124)-1</f>
        <v/>
      </c>
      <c r="I124">
        <f>IF(ROW()-2&gt;='参数'!$B$2,STDEV(OFFSET(F124,1-'参数'!$B$2,0,'参数'!$B$2,1))*SQRT('参数'!$B$3),"")</f>
        <v/>
      </c>
    </row>
    <row r="125">
      <c r="A125">
        <f>'对齐'!A125</f>
        <v/>
      </c>
      <c r="B125">
        <f>'对齐'!B125/'对齐'!B124-1</f>
        <v/>
      </c>
      <c r="C125">
        <f>'对齐'!B125/'对齐'!B$2*100</f>
        <v/>
      </c>
      <c r="D125">
        <f>'对齐'!B125/MAX('对齐'!B$2:'对齐'!B125)-1</f>
        <v/>
      </c>
      <c r="E125">
        <f>IF(ROW()-2&gt;='参数'!$B$2,STDEV(OFFSET(B125,1-'参数'!$B$2,0,'参数'!$B$2,1))*SQRT('参数'!$B$3),"")</f>
        <v/>
      </c>
      <c r="F125">
        <f>'对齐'!C125/'对齐'!C124-1</f>
        <v/>
      </c>
      <c r="G125">
        <f>'对齐'!C125/'对齐'!C$2*100</f>
        <v/>
      </c>
      <c r="H125">
        <f>'对齐'!C125/MAX('对齐'!C$2:'对齐'!C125)-1</f>
        <v/>
      </c>
      <c r="I125">
        <f>IF(ROW()-2&gt;='参数'!$B$2,STDEV(OFFSET(F125,1-'参数'!$B$2,0,'参数'!$B$2,1))*SQRT('参数'!$B$3),"")</f>
        <v/>
      </c>
    </row>
    <row r="126">
      <c r="A126">
        <f>'对齐'!A126</f>
        <v/>
      </c>
      <c r="B126">
        <f>'对齐'!B126/'对齐'!B125-1</f>
        <v/>
      </c>
      <c r="C126">
        <f>'对齐'!B126/'对齐'!B$2*100</f>
        <v/>
      </c>
      <c r="D126">
        <f>'对齐'!B126/MAX('对齐'!B$2:'对齐'!B126)-1</f>
        <v/>
      </c>
      <c r="E126">
        <f>IF(ROW()-2&gt;='参数'!$B$2,STDEV(OFFSET(B126,1-'参数'!$B$2,0,'参数'!$B$2,1))*SQRT('参数'!$B$3),"")</f>
        <v/>
      </c>
      <c r="F126">
        <f>'对齐'!C126/'对齐'!C125-1</f>
        <v/>
      </c>
      <c r="G126">
        <f>'对齐'!C126/'对齐'!C$2*100</f>
        <v/>
      </c>
      <c r="H126">
        <f>'对齐'!C126/MAX('对齐'!C$2:'对齐'!C126)-1</f>
        <v/>
      </c>
      <c r="I126">
        <f>IF(ROW()-2&gt;='参数'!$B$2,STDEV(OFFSET(F126,1-'参数'!$B$2,0,'参数'!$B$2,1))*SQRT('参数'!$B$3),"")</f>
        <v/>
      </c>
    </row>
    <row r="127">
      <c r="A127">
        <f>'对齐'!A127</f>
        <v/>
      </c>
      <c r="B127">
        <f>'对齐'!B127/'对齐'!B126-1</f>
        <v/>
      </c>
      <c r="C127">
        <f>'对齐'!B127/'对齐'!B$2*100</f>
        <v/>
      </c>
      <c r="D127">
        <f>'对齐'!B127/MAX('对齐'!B$2:'对齐'!B127)-1</f>
        <v/>
      </c>
      <c r="E127">
        <f>IF(ROW()-2&gt;='参数'!$B$2,STDEV(OFFSET(B127,1-'参数'!$B$2,0,'参数'!$B$2,1))*SQRT('参数'!$B$3),"")</f>
        <v/>
      </c>
      <c r="F127">
        <f>'对齐'!C127/'对齐'!C126-1</f>
        <v/>
      </c>
      <c r="G127">
        <f>'对齐'!C127/'对齐'!C$2*100</f>
        <v/>
      </c>
      <c r="H127">
        <f>'对齐'!C127/MAX('对齐'!C$2:'对齐'!C127)-1</f>
        <v/>
      </c>
      <c r="I127">
        <f>IF(ROW()-2&gt;='参数'!$B$2,STDEV(OFFSET(F127,1-'参数'!$B$2,0,'参数'!$B$2,1))*SQRT('参数'!$B$3),"")</f>
        <v/>
      </c>
    </row>
    <row r="128">
      <c r="A128">
        <f>'对齐'!A128</f>
        <v/>
      </c>
      <c r="B128">
        <f>'对齐'!B128/'对齐'!B127-1</f>
        <v/>
      </c>
      <c r="C128">
        <f>'对齐'!B128/'对齐'!B$2*100</f>
        <v/>
      </c>
      <c r="D128">
        <f>'对齐'!B128/MAX('对齐'!B$2:'对齐'!B128)-1</f>
        <v/>
      </c>
      <c r="E128">
        <f>IF(ROW()-2&gt;='参数'!$B$2,STDEV(OFFSET(B128,1-'参数'!$B$2,0,'参数'!$B$2,1))*SQRT('参数'!$B$3),"")</f>
        <v/>
      </c>
      <c r="F128">
        <f>'对齐'!C128/'对齐'!C127-1</f>
        <v/>
      </c>
      <c r="G128">
        <f>'对齐'!C128/'对齐'!C$2*100</f>
        <v/>
      </c>
      <c r="H128">
        <f>'对齐'!C128/MAX('对齐'!C$2:'对齐'!C128)-1</f>
        <v/>
      </c>
      <c r="I128">
        <f>IF(ROW()-2&gt;='参数'!$B$2,STDEV(OFFSET(F128,1-'参数'!$B$2,0,'参数'!$B$2,1))*SQRT('参数'!$B$3),"")</f>
        <v/>
      </c>
    </row>
    <row r="129">
      <c r="A129">
        <f>'对齐'!A129</f>
        <v/>
      </c>
      <c r="B129">
        <f>'对齐'!B129/'对齐'!B128-1</f>
        <v/>
      </c>
      <c r="C129">
        <f>'对齐'!B129/'对齐'!B$2*100</f>
        <v/>
      </c>
      <c r="D129">
        <f>'对齐'!B129/MAX('对齐'!B$2:'对齐'!B129)-1</f>
        <v/>
      </c>
      <c r="E129">
        <f>IF(ROW()-2&gt;='参数'!$B$2,STDEV(OFFSET(B129,1-'参数'!$B$2,0,'参数'!$B$2,1))*SQRT('参数'!$B$3),"")</f>
        <v/>
      </c>
      <c r="F129">
        <f>'对齐'!C129/'对齐'!C128-1</f>
        <v/>
      </c>
      <c r="G129">
        <f>'对齐'!C129/'对齐'!C$2*100</f>
        <v/>
      </c>
      <c r="H129">
        <f>'对齐'!C129/MAX('对齐'!C$2:'对齐'!C129)-1</f>
        <v/>
      </c>
      <c r="I129">
        <f>IF(ROW()-2&gt;='参数'!$B$2,STDEV(OFFSET(F129,1-'参数'!$B$2,0,'参数'!$B$2,1))*SQRT('参数'!$B$3),"")</f>
        <v/>
      </c>
    </row>
    <row r="130">
      <c r="A130">
        <f>'对齐'!A130</f>
        <v/>
      </c>
      <c r="B130">
        <f>'对齐'!B130/'对齐'!B129-1</f>
        <v/>
      </c>
      <c r="C130">
        <f>'对齐'!B130/'对齐'!B$2*100</f>
        <v/>
      </c>
      <c r="D130">
        <f>'对齐'!B130/MAX('对齐'!B$2:'对齐'!B130)-1</f>
        <v/>
      </c>
      <c r="E130">
        <f>IF(ROW()-2&gt;='参数'!$B$2,STDEV(OFFSET(B130,1-'参数'!$B$2,0,'参数'!$B$2,1))*SQRT('参数'!$B$3),"")</f>
        <v/>
      </c>
      <c r="F130">
        <f>'对齐'!C130/'对齐'!C129-1</f>
        <v/>
      </c>
      <c r="G130">
        <f>'对齐'!C130/'对齐'!C$2*100</f>
        <v/>
      </c>
      <c r="H130">
        <f>'对齐'!C130/MAX('对齐'!C$2:'对齐'!C130)-1</f>
        <v/>
      </c>
      <c r="I130">
        <f>IF(ROW()-2&gt;='参数'!$B$2,STDEV(OFFSET(F130,1-'参数'!$B$2,0,'参数'!$B$2,1))*SQRT('参数'!$B$3),"")</f>
        <v/>
      </c>
    </row>
    <row r="131">
      <c r="A131">
        <f>'对齐'!A131</f>
        <v/>
      </c>
      <c r="B131">
        <f>'对齐'!B131/'对齐'!B130-1</f>
        <v/>
      </c>
      <c r="C131">
        <f>'对齐'!B131/'对齐'!B$2*100</f>
        <v/>
      </c>
      <c r="D131">
        <f>'对齐'!B131/MAX('对齐'!B$2:'对齐'!B131)-1</f>
        <v/>
      </c>
      <c r="E131">
        <f>IF(ROW()-2&gt;='参数'!$B$2,STDEV(OFFSET(B131,1-'参数'!$B$2,0,'参数'!$B$2,1))*SQRT('参数'!$B$3),"")</f>
        <v/>
      </c>
      <c r="F131">
        <f>'对齐'!C131/'对齐'!C130-1</f>
        <v/>
      </c>
      <c r="G131">
        <f>'对齐'!C131/'对齐'!C$2*100</f>
        <v/>
      </c>
      <c r="H131">
        <f>'对齐'!C131/MAX('对齐'!C$2:'对齐'!C131)-1</f>
        <v/>
      </c>
      <c r="I131">
        <f>IF(ROW()-2&gt;='参数'!$B$2,STDEV(OFFSET(F131,1-'参数'!$B$2,0,'参数'!$B$2,1))*SQRT('参数'!$B$3),"")</f>
        <v/>
      </c>
    </row>
    <row r="132">
      <c r="A132">
        <f>'对齐'!A132</f>
        <v/>
      </c>
      <c r="B132">
        <f>'对齐'!B132/'对齐'!B131-1</f>
        <v/>
      </c>
      <c r="C132">
        <f>'对齐'!B132/'对齐'!B$2*100</f>
        <v/>
      </c>
      <c r="D132">
        <f>'对齐'!B132/MAX('对齐'!B$2:'对齐'!B132)-1</f>
        <v/>
      </c>
      <c r="E132">
        <f>IF(ROW()-2&gt;='参数'!$B$2,STDEV(OFFSET(B132,1-'参数'!$B$2,0,'参数'!$B$2,1))*SQRT('参数'!$B$3),"")</f>
        <v/>
      </c>
      <c r="F132">
        <f>'对齐'!C132/'对齐'!C131-1</f>
        <v/>
      </c>
      <c r="G132">
        <f>'对齐'!C132/'对齐'!C$2*100</f>
        <v/>
      </c>
      <c r="H132">
        <f>'对齐'!C132/MAX('对齐'!C$2:'对齐'!C132)-1</f>
        <v/>
      </c>
      <c r="I132">
        <f>IF(ROW()-2&gt;='参数'!$B$2,STDEV(OFFSET(F132,1-'参数'!$B$2,0,'参数'!$B$2,1))*SQRT('参数'!$B$3),"")</f>
        <v/>
      </c>
    </row>
    <row r="133">
      <c r="A133">
        <f>'对齐'!A133</f>
        <v/>
      </c>
      <c r="B133">
        <f>'对齐'!B133/'对齐'!B132-1</f>
        <v/>
      </c>
      <c r="C133">
        <f>'对齐'!B133/'对齐'!B$2*100</f>
        <v/>
      </c>
      <c r="D133">
        <f>'对齐'!B133/MAX('对齐'!B$2:'对齐'!B133)-1</f>
        <v/>
      </c>
      <c r="E133">
        <f>IF(ROW()-2&gt;='参数'!$B$2,STDEV(OFFSET(B133,1-'参数'!$B$2,0,'参数'!$B$2,1))*SQRT('参数'!$B$3),"")</f>
        <v/>
      </c>
      <c r="F133">
        <f>'对齐'!C133/'对齐'!C132-1</f>
        <v/>
      </c>
      <c r="G133">
        <f>'对齐'!C133/'对齐'!C$2*100</f>
        <v/>
      </c>
      <c r="H133">
        <f>'对齐'!C133/MAX('对齐'!C$2:'对齐'!C133)-1</f>
        <v/>
      </c>
      <c r="I133">
        <f>IF(ROW()-2&gt;='参数'!$B$2,STDEV(OFFSET(F133,1-'参数'!$B$2,0,'参数'!$B$2,1))*SQRT('参数'!$B$3),"")</f>
        <v/>
      </c>
    </row>
    <row r="134">
      <c r="A134">
        <f>'对齐'!A134</f>
        <v/>
      </c>
      <c r="B134">
        <f>'对齐'!B134/'对齐'!B133-1</f>
        <v/>
      </c>
      <c r="C134">
        <f>'对齐'!B134/'对齐'!B$2*100</f>
        <v/>
      </c>
      <c r="D134">
        <f>'对齐'!B134/MAX('对齐'!B$2:'对齐'!B134)-1</f>
        <v/>
      </c>
      <c r="E134">
        <f>IF(ROW()-2&gt;='参数'!$B$2,STDEV(OFFSET(B134,1-'参数'!$B$2,0,'参数'!$B$2,1))*SQRT('参数'!$B$3),"")</f>
        <v/>
      </c>
      <c r="F134">
        <f>'对齐'!C134/'对齐'!C133-1</f>
        <v/>
      </c>
      <c r="G134">
        <f>'对齐'!C134/'对齐'!C$2*100</f>
        <v/>
      </c>
      <c r="H134">
        <f>'对齐'!C134/MAX('对齐'!C$2:'对齐'!C134)-1</f>
        <v/>
      </c>
      <c r="I134">
        <f>IF(ROW()-2&gt;='参数'!$B$2,STDEV(OFFSET(F134,1-'参数'!$B$2,0,'参数'!$B$2,1))*SQRT('参数'!$B$3),"")</f>
        <v/>
      </c>
    </row>
    <row r="135">
      <c r="A135">
        <f>'对齐'!A135</f>
        <v/>
      </c>
      <c r="B135">
        <f>'对齐'!B135/'对齐'!B134-1</f>
        <v/>
      </c>
      <c r="C135">
        <f>'对齐'!B135/'对齐'!B$2*100</f>
        <v/>
      </c>
      <c r="D135">
        <f>'对齐'!B135/MAX('对齐'!B$2:'对齐'!B135)-1</f>
        <v/>
      </c>
      <c r="E135">
        <f>IF(ROW()-2&gt;='参数'!$B$2,STDEV(OFFSET(B135,1-'参数'!$B$2,0,'参数'!$B$2,1))*SQRT('参数'!$B$3),"")</f>
        <v/>
      </c>
      <c r="F135">
        <f>'对齐'!C135/'对齐'!C134-1</f>
        <v/>
      </c>
      <c r="G135">
        <f>'对齐'!C135/'对齐'!C$2*100</f>
        <v/>
      </c>
      <c r="H135">
        <f>'对齐'!C135/MAX('对齐'!C$2:'对齐'!C135)-1</f>
        <v/>
      </c>
      <c r="I135">
        <f>IF(ROW()-2&gt;='参数'!$B$2,STDEV(OFFSET(F135,1-'参数'!$B$2,0,'参数'!$B$2,1))*SQRT('参数'!$B$3),"")</f>
        <v/>
      </c>
    </row>
    <row r="136">
      <c r="A136">
        <f>'对齐'!A136</f>
        <v/>
      </c>
      <c r="B136">
        <f>'对齐'!B136/'对齐'!B135-1</f>
        <v/>
      </c>
      <c r="C136">
        <f>'对齐'!B136/'对齐'!B$2*100</f>
        <v/>
      </c>
      <c r="D136">
        <f>'对齐'!B136/MAX('对齐'!B$2:'对齐'!B136)-1</f>
        <v/>
      </c>
      <c r="E136">
        <f>IF(ROW()-2&gt;='参数'!$B$2,STDEV(OFFSET(B136,1-'参数'!$B$2,0,'参数'!$B$2,1))*SQRT('参数'!$B$3),"")</f>
        <v/>
      </c>
      <c r="F136">
        <f>'对齐'!C136/'对齐'!C135-1</f>
        <v/>
      </c>
      <c r="G136">
        <f>'对齐'!C136/'对齐'!C$2*100</f>
        <v/>
      </c>
      <c r="H136">
        <f>'对齐'!C136/MAX('对齐'!C$2:'对齐'!C136)-1</f>
        <v/>
      </c>
      <c r="I136">
        <f>IF(ROW()-2&gt;='参数'!$B$2,STDEV(OFFSET(F136,1-'参数'!$B$2,0,'参数'!$B$2,1))*SQRT('参数'!$B$3),"")</f>
        <v/>
      </c>
    </row>
    <row r="137">
      <c r="A137">
        <f>'对齐'!A137</f>
        <v/>
      </c>
      <c r="B137">
        <f>'对齐'!B137/'对齐'!B136-1</f>
        <v/>
      </c>
      <c r="C137">
        <f>'对齐'!B137/'对齐'!B$2*100</f>
        <v/>
      </c>
      <c r="D137">
        <f>'对齐'!B137/MAX('对齐'!B$2:'对齐'!B137)-1</f>
        <v/>
      </c>
      <c r="E137">
        <f>IF(ROW()-2&gt;='参数'!$B$2,STDEV(OFFSET(B137,1-'参数'!$B$2,0,'参数'!$B$2,1))*SQRT('参数'!$B$3),"")</f>
        <v/>
      </c>
      <c r="F137">
        <f>'对齐'!C137/'对齐'!C136-1</f>
        <v/>
      </c>
      <c r="G137">
        <f>'对齐'!C137/'对齐'!C$2*100</f>
        <v/>
      </c>
      <c r="H137">
        <f>'对齐'!C137/MAX('对齐'!C$2:'对齐'!C137)-1</f>
        <v/>
      </c>
      <c r="I137">
        <f>IF(ROW()-2&gt;='参数'!$B$2,STDEV(OFFSET(F137,1-'参数'!$B$2,0,'参数'!$B$2,1))*SQRT('参数'!$B$3),"")</f>
        <v/>
      </c>
    </row>
    <row r="138">
      <c r="A138">
        <f>'对齐'!A138</f>
        <v/>
      </c>
      <c r="B138">
        <f>'对齐'!B138/'对齐'!B137-1</f>
        <v/>
      </c>
      <c r="C138">
        <f>'对齐'!B138/'对齐'!B$2*100</f>
        <v/>
      </c>
      <c r="D138">
        <f>'对齐'!B138/MAX('对齐'!B$2:'对齐'!B138)-1</f>
        <v/>
      </c>
      <c r="E138">
        <f>IF(ROW()-2&gt;='参数'!$B$2,STDEV(OFFSET(B138,1-'参数'!$B$2,0,'参数'!$B$2,1))*SQRT('参数'!$B$3),"")</f>
        <v/>
      </c>
      <c r="F138">
        <f>'对齐'!C138/'对齐'!C137-1</f>
        <v/>
      </c>
      <c r="G138">
        <f>'对齐'!C138/'对齐'!C$2*100</f>
        <v/>
      </c>
      <c r="H138">
        <f>'对齐'!C138/MAX('对齐'!C$2:'对齐'!C138)-1</f>
        <v/>
      </c>
      <c r="I138">
        <f>IF(ROW()-2&gt;='参数'!$B$2,STDEV(OFFSET(F138,1-'参数'!$B$2,0,'参数'!$B$2,1))*SQRT('参数'!$B$3),"")</f>
        <v/>
      </c>
    </row>
    <row r="139">
      <c r="A139">
        <f>'对齐'!A139</f>
        <v/>
      </c>
      <c r="B139">
        <f>'对齐'!B139/'对齐'!B138-1</f>
        <v/>
      </c>
      <c r="C139">
        <f>'对齐'!B139/'对齐'!B$2*100</f>
        <v/>
      </c>
      <c r="D139">
        <f>'对齐'!B139/MAX('对齐'!B$2:'对齐'!B139)-1</f>
        <v/>
      </c>
      <c r="E139">
        <f>IF(ROW()-2&gt;='参数'!$B$2,STDEV(OFFSET(B139,1-'参数'!$B$2,0,'参数'!$B$2,1))*SQRT('参数'!$B$3),"")</f>
        <v/>
      </c>
      <c r="F139">
        <f>'对齐'!C139/'对齐'!C138-1</f>
        <v/>
      </c>
      <c r="G139">
        <f>'对齐'!C139/'对齐'!C$2*100</f>
        <v/>
      </c>
      <c r="H139">
        <f>'对齐'!C139/MAX('对齐'!C$2:'对齐'!C139)-1</f>
        <v/>
      </c>
      <c r="I139">
        <f>IF(ROW()-2&gt;='参数'!$B$2,STDEV(OFFSET(F139,1-'参数'!$B$2,0,'参数'!$B$2,1))*SQRT('参数'!$B$3),"")</f>
        <v/>
      </c>
    </row>
    <row r="140">
      <c r="A140">
        <f>'对齐'!A140</f>
        <v/>
      </c>
      <c r="B140">
        <f>'对齐'!B140/'对齐'!B139-1</f>
        <v/>
      </c>
      <c r="C140">
        <f>'对齐'!B140/'对齐'!B$2*100</f>
        <v/>
      </c>
      <c r="D140">
        <f>'对齐'!B140/MAX('对齐'!B$2:'对齐'!B140)-1</f>
        <v/>
      </c>
      <c r="E140">
        <f>IF(ROW()-2&gt;='参数'!$B$2,STDEV(OFFSET(B140,1-'参数'!$B$2,0,'参数'!$B$2,1))*SQRT('参数'!$B$3),"")</f>
        <v/>
      </c>
      <c r="F140">
        <f>'对齐'!C140/'对齐'!C139-1</f>
        <v/>
      </c>
      <c r="G140">
        <f>'对齐'!C140/'对齐'!C$2*100</f>
        <v/>
      </c>
      <c r="H140">
        <f>'对齐'!C140/MAX('对齐'!C$2:'对齐'!C140)-1</f>
        <v/>
      </c>
      <c r="I140">
        <f>IF(ROW()-2&gt;='参数'!$B$2,STDEV(OFFSET(F140,1-'参数'!$B$2,0,'参数'!$B$2,1))*SQRT('参数'!$B$3),"")</f>
        <v/>
      </c>
    </row>
    <row r="141">
      <c r="A141">
        <f>'对齐'!A141</f>
        <v/>
      </c>
      <c r="B141">
        <f>'对齐'!B141/'对齐'!B140-1</f>
        <v/>
      </c>
      <c r="C141">
        <f>'对齐'!B141/'对齐'!B$2*100</f>
        <v/>
      </c>
      <c r="D141">
        <f>'对齐'!B141/MAX('对齐'!B$2:'对齐'!B141)-1</f>
        <v/>
      </c>
      <c r="E141">
        <f>IF(ROW()-2&gt;='参数'!$B$2,STDEV(OFFSET(B141,1-'参数'!$B$2,0,'参数'!$B$2,1))*SQRT('参数'!$B$3),"")</f>
        <v/>
      </c>
      <c r="F141">
        <f>'对齐'!C141/'对齐'!C140-1</f>
        <v/>
      </c>
      <c r="G141">
        <f>'对齐'!C141/'对齐'!C$2*100</f>
        <v/>
      </c>
      <c r="H141">
        <f>'对齐'!C141/MAX('对齐'!C$2:'对齐'!C141)-1</f>
        <v/>
      </c>
      <c r="I141">
        <f>IF(ROW()-2&gt;='参数'!$B$2,STDEV(OFFSET(F141,1-'参数'!$B$2,0,'参数'!$B$2,1))*SQRT('参数'!$B$3),"")</f>
        <v/>
      </c>
    </row>
    <row r="142">
      <c r="A142">
        <f>'对齐'!A142</f>
        <v/>
      </c>
      <c r="B142">
        <f>'对齐'!B142/'对齐'!B141-1</f>
        <v/>
      </c>
      <c r="C142">
        <f>'对齐'!B142/'对齐'!B$2*100</f>
        <v/>
      </c>
      <c r="D142">
        <f>'对齐'!B142/MAX('对齐'!B$2:'对齐'!B142)-1</f>
        <v/>
      </c>
      <c r="E142">
        <f>IF(ROW()-2&gt;='参数'!$B$2,STDEV(OFFSET(B142,1-'参数'!$B$2,0,'参数'!$B$2,1))*SQRT('参数'!$B$3),"")</f>
        <v/>
      </c>
      <c r="F142">
        <f>'对齐'!C142/'对齐'!C141-1</f>
        <v/>
      </c>
      <c r="G142">
        <f>'对齐'!C142/'对齐'!C$2*100</f>
        <v/>
      </c>
      <c r="H142">
        <f>'对齐'!C142/MAX('对齐'!C$2:'对齐'!C142)-1</f>
        <v/>
      </c>
      <c r="I142">
        <f>IF(ROW()-2&gt;='参数'!$B$2,STDEV(OFFSET(F142,1-'参数'!$B$2,0,'参数'!$B$2,1))*SQRT('参数'!$B$3),"")</f>
        <v/>
      </c>
    </row>
    <row r="143">
      <c r="A143">
        <f>'对齐'!A143</f>
        <v/>
      </c>
      <c r="B143">
        <f>'对齐'!B143/'对齐'!B142-1</f>
        <v/>
      </c>
      <c r="C143">
        <f>'对齐'!B143/'对齐'!B$2*100</f>
        <v/>
      </c>
      <c r="D143">
        <f>'对齐'!B143/MAX('对齐'!B$2:'对齐'!B143)-1</f>
        <v/>
      </c>
      <c r="E143">
        <f>IF(ROW()-2&gt;='参数'!$B$2,STDEV(OFFSET(B143,1-'参数'!$B$2,0,'参数'!$B$2,1))*SQRT('参数'!$B$3),"")</f>
        <v/>
      </c>
      <c r="F143">
        <f>'对齐'!C143/'对齐'!C142-1</f>
        <v/>
      </c>
      <c r="G143">
        <f>'对齐'!C143/'对齐'!C$2*100</f>
        <v/>
      </c>
      <c r="H143">
        <f>'对齐'!C143/MAX('对齐'!C$2:'对齐'!C143)-1</f>
        <v/>
      </c>
      <c r="I143">
        <f>IF(ROW()-2&gt;='参数'!$B$2,STDEV(OFFSET(F143,1-'参数'!$B$2,0,'参数'!$B$2,1))*SQRT('参数'!$B$3),"")</f>
        <v/>
      </c>
    </row>
    <row r="144">
      <c r="A144">
        <f>'对齐'!A144</f>
        <v/>
      </c>
      <c r="B144">
        <f>'对齐'!B144/'对齐'!B143-1</f>
        <v/>
      </c>
      <c r="C144">
        <f>'对齐'!B144/'对齐'!B$2*100</f>
        <v/>
      </c>
      <c r="D144">
        <f>'对齐'!B144/MAX('对齐'!B$2:'对齐'!B144)-1</f>
        <v/>
      </c>
      <c r="E144">
        <f>IF(ROW()-2&gt;='参数'!$B$2,STDEV(OFFSET(B144,1-'参数'!$B$2,0,'参数'!$B$2,1))*SQRT('参数'!$B$3),"")</f>
        <v/>
      </c>
      <c r="F144">
        <f>'对齐'!C144/'对齐'!C143-1</f>
        <v/>
      </c>
      <c r="G144">
        <f>'对齐'!C144/'对齐'!C$2*100</f>
        <v/>
      </c>
      <c r="H144">
        <f>'对齐'!C144/MAX('对齐'!C$2:'对齐'!C144)-1</f>
        <v/>
      </c>
      <c r="I144">
        <f>IF(ROW()-2&gt;='参数'!$B$2,STDEV(OFFSET(F144,1-'参数'!$B$2,0,'参数'!$B$2,1))*SQRT('参数'!$B$3),"")</f>
        <v/>
      </c>
    </row>
    <row r="145">
      <c r="A145">
        <f>'对齐'!A145</f>
        <v/>
      </c>
      <c r="B145">
        <f>'对齐'!B145/'对齐'!B144-1</f>
        <v/>
      </c>
      <c r="C145">
        <f>'对齐'!B145/'对齐'!B$2*100</f>
        <v/>
      </c>
      <c r="D145">
        <f>'对齐'!B145/MAX('对齐'!B$2:'对齐'!B145)-1</f>
        <v/>
      </c>
      <c r="E145">
        <f>IF(ROW()-2&gt;='参数'!$B$2,STDEV(OFFSET(B145,1-'参数'!$B$2,0,'参数'!$B$2,1))*SQRT('参数'!$B$3),"")</f>
        <v/>
      </c>
      <c r="F145">
        <f>'对齐'!C145/'对齐'!C144-1</f>
        <v/>
      </c>
      <c r="G145">
        <f>'对齐'!C145/'对齐'!C$2*100</f>
        <v/>
      </c>
      <c r="H145">
        <f>'对齐'!C145/MAX('对齐'!C$2:'对齐'!C145)-1</f>
        <v/>
      </c>
      <c r="I145">
        <f>IF(ROW()-2&gt;='参数'!$B$2,STDEV(OFFSET(F145,1-'参数'!$B$2,0,'参数'!$B$2,1))*SQRT('参数'!$B$3),"")</f>
        <v/>
      </c>
    </row>
    <row r="146">
      <c r="A146">
        <f>'对齐'!A146</f>
        <v/>
      </c>
      <c r="B146">
        <f>'对齐'!B146/'对齐'!B145-1</f>
        <v/>
      </c>
      <c r="C146">
        <f>'对齐'!B146/'对齐'!B$2*100</f>
        <v/>
      </c>
      <c r="D146">
        <f>'对齐'!B146/MAX('对齐'!B$2:'对齐'!B146)-1</f>
        <v/>
      </c>
      <c r="E146">
        <f>IF(ROW()-2&gt;='参数'!$B$2,STDEV(OFFSET(B146,1-'参数'!$B$2,0,'参数'!$B$2,1))*SQRT('参数'!$B$3),"")</f>
        <v/>
      </c>
      <c r="F146">
        <f>'对齐'!C146/'对齐'!C145-1</f>
        <v/>
      </c>
      <c r="G146">
        <f>'对齐'!C146/'对齐'!C$2*100</f>
        <v/>
      </c>
      <c r="H146">
        <f>'对齐'!C146/MAX('对齐'!C$2:'对齐'!C146)-1</f>
        <v/>
      </c>
      <c r="I146">
        <f>IF(ROW()-2&gt;='参数'!$B$2,STDEV(OFFSET(F146,1-'参数'!$B$2,0,'参数'!$B$2,1))*SQRT('参数'!$B$3),"")</f>
        <v/>
      </c>
    </row>
    <row r="147">
      <c r="A147">
        <f>'对齐'!A147</f>
        <v/>
      </c>
      <c r="B147">
        <f>'对齐'!B147/'对齐'!B146-1</f>
        <v/>
      </c>
      <c r="C147">
        <f>'对齐'!B147/'对齐'!B$2*100</f>
        <v/>
      </c>
      <c r="D147">
        <f>'对齐'!B147/MAX('对齐'!B$2:'对齐'!B147)-1</f>
        <v/>
      </c>
      <c r="E147">
        <f>IF(ROW()-2&gt;='参数'!$B$2,STDEV(OFFSET(B147,1-'参数'!$B$2,0,'参数'!$B$2,1))*SQRT('参数'!$B$3),"")</f>
        <v/>
      </c>
      <c r="F147">
        <f>'对齐'!C147/'对齐'!C146-1</f>
        <v/>
      </c>
      <c r="G147">
        <f>'对齐'!C147/'对齐'!C$2*100</f>
        <v/>
      </c>
      <c r="H147">
        <f>'对齐'!C147/MAX('对齐'!C$2:'对齐'!C147)-1</f>
        <v/>
      </c>
      <c r="I147">
        <f>IF(ROW()-2&gt;='参数'!$B$2,STDEV(OFFSET(F147,1-'参数'!$B$2,0,'参数'!$B$2,1))*SQRT('参数'!$B$3),"")</f>
        <v/>
      </c>
    </row>
    <row r="148">
      <c r="A148">
        <f>'对齐'!A148</f>
        <v/>
      </c>
      <c r="B148">
        <f>'对齐'!B148/'对齐'!B147-1</f>
        <v/>
      </c>
      <c r="C148">
        <f>'对齐'!B148/'对齐'!B$2*100</f>
        <v/>
      </c>
      <c r="D148">
        <f>'对齐'!B148/MAX('对齐'!B$2:'对齐'!B148)-1</f>
        <v/>
      </c>
      <c r="E148">
        <f>IF(ROW()-2&gt;='参数'!$B$2,STDEV(OFFSET(B148,1-'参数'!$B$2,0,'参数'!$B$2,1))*SQRT('参数'!$B$3),"")</f>
        <v/>
      </c>
      <c r="F148">
        <f>'对齐'!C148/'对齐'!C147-1</f>
        <v/>
      </c>
      <c r="G148">
        <f>'对齐'!C148/'对齐'!C$2*100</f>
        <v/>
      </c>
      <c r="H148">
        <f>'对齐'!C148/MAX('对齐'!C$2:'对齐'!C148)-1</f>
        <v/>
      </c>
      <c r="I148">
        <f>IF(ROW()-2&gt;='参数'!$B$2,STDEV(OFFSET(F148,1-'参数'!$B$2,0,'参数'!$B$2,1))*SQRT('参数'!$B$3),"")</f>
        <v/>
      </c>
    </row>
    <row r="149">
      <c r="A149">
        <f>'对齐'!A149</f>
        <v/>
      </c>
      <c r="B149">
        <f>'对齐'!B149/'对齐'!B148-1</f>
        <v/>
      </c>
      <c r="C149">
        <f>'对齐'!B149/'对齐'!B$2*100</f>
        <v/>
      </c>
      <c r="D149">
        <f>'对齐'!B149/MAX('对齐'!B$2:'对齐'!B149)-1</f>
        <v/>
      </c>
      <c r="E149">
        <f>IF(ROW()-2&gt;='参数'!$B$2,STDEV(OFFSET(B149,1-'参数'!$B$2,0,'参数'!$B$2,1))*SQRT('参数'!$B$3),"")</f>
        <v/>
      </c>
      <c r="F149">
        <f>'对齐'!C149/'对齐'!C148-1</f>
        <v/>
      </c>
      <c r="G149">
        <f>'对齐'!C149/'对齐'!C$2*100</f>
        <v/>
      </c>
      <c r="H149">
        <f>'对齐'!C149/MAX('对齐'!C$2:'对齐'!C149)-1</f>
        <v/>
      </c>
      <c r="I149">
        <f>IF(ROW()-2&gt;='参数'!$B$2,STDEV(OFFSET(F149,1-'参数'!$B$2,0,'参数'!$B$2,1))*SQRT('参数'!$B$3),"")</f>
        <v/>
      </c>
    </row>
    <row r="150">
      <c r="A150">
        <f>'对齐'!A150</f>
        <v/>
      </c>
      <c r="B150">
        <f>'对齐'!B150/'对齐'!B149-1</f>
        <v/>
      </c>
      <c r="C150">
        <f>'对齐'!B150/'对齐'!B$2*100</f>
        <v/>
      </c>
      <c r="D150">
        <f>'对齐'!B150/MAX('对齐'!B$2:'对齐'!B150)-1</f>
        <v/>
      </c>
      <c r="E150">
        <f>IF(ROW()-2&gt;='参数'!$B$2,STDEV(OFFSET(B150,1-'参数'!$B$2,0,'参数'!$B$2,1))*SQRT('参数'!$B$3),"")</f>
        <v/>
      </c>
      <c r="F150">
        <f>'对齐'!C150/'对齐'!C149-1</f>
        <v/>
      </c>
      <c r="G150">
        <f>'对齐'!C150/'对齐'!C$2*100</f>
        <v/>
      </c>
      <c r="H150">
        <f>'对齐'!C150/MAX('对齐'!C$2:'对齐'!C150)-1</f>
        <v/>
      </c>
      <c r="I150">
        <f>IF(ROW()-2&gt;='参数'!$B$2,STDEV(OFFSET(F150,1-'参数'!$B$2,0,'参数'!$B$2,1))*SQRT('参数'!$B$3),"")</f>
        <v/>
      </c>
    </row>
    <row r="151">
      <c r="A151">
        <f>'对齐'!A151</f>
        <v/>
      </c>
      <c r="B151">
        <f>'对齐'!B151/'对齐'!B150-1</f>
        <v/>
      </c>
      <c r="C151">
        <f>'对齐'!B151/'对齐'!B$2*100</f>
        <v/>
      </c>
      <c r="D151">
        <f>'对齐'!B151/MAX('对齐'!B$2:'对齐'!B151)-1</f>
        <v/>
      </c>
      <c r="E151">
        <f>IF(ROW()-2&gt;='参数'!$B$2,STDEV(OFFSET(B151,1-'参数'!$B$2,0,'参数'!$B$2,1))*SQRT('参数'!$B$3),"")</f>
        <v/>
      </c>
      <c r="F151">
        <f>'对齐'!C151/'对齐'!C150-1</f>
        <v/>
      </c>
      <c r="G151">
        <f>'对齐'!C151/'对齐'!C$2*100</f>
        <v/>
      </c>
      <c r="H151">
        <f>'对齐'!C151/MAX('对齐'!C$2:'对齐'!C151)-1</f>
        <v/>
      </c>
      <c r="I151">
        <f>IF(ROW()-2&gt;='参数'!$B$2,STDEV(OFFSET(F151,1-'参数'!$B$2,0,'参数'!$B$2,1))*SQRT('参数'!$B$3),"")</f>
        <v/>
      </c>
    </row>
    <row r="152">
      <c r="A152">
        <f>'对齐'!A152</f>
        <v/>
      </c>
      <c r="B152">
        <f>'对齐'!B152/'对齐'!B151-1</f>
        <v/>
      </c>
      <c r="C152">
        <f>'对齐'!B152/'对齐'!B$2*100</f>
        <v/>
      </c>
      <c r="D152">
        <f>'对齐'!B152/MAX('对齐'!B$2:'对齐'!B152)-1</f>
        <v/>
      </c>
      <c r="E152">
        <f>IF(ROW()-2&gt;='参数'!$B$2,STDEV(OFFSET(B152,1-'参数'!$B$2,0,'参数'!$B$2,1))*SQRT('参数'!$B$3),"")</f>
        <v/>
      </c>
      <c r="F152">
        <f>'对齐'!C152/'对齐'!C151-1</f>
        <v/>
      </c>
      <c r="G152">
        <f>'对齐'!C152/'对齐'!C$2*100</f>
        <v/>
      </c>
      <c r="H152">
        <f>'对齐'!C152/MAX('对齐'!C$2:'对齐'!C152)-1</f>
        <v/>
      </c>
      <c r="I152">
        <f>IF(ROW()-2&gt;='参数'!$B$2,STDEV(OFFSET(F152,1-'参数'!$B$2,0,'参数'!$B$2,1))*SQRT('参数'!$B$3),"")</f>
        <v/>
      </c>
    </row>
    <row r="153">
      <c r="A153">
        <f>'对齐'!A153</f>
        <v/>
      </c>
      <c r="B153">
        <f>'对齐'!B153/'对齐'!B152-1</f>
        <v/>
      </c>
      <c r="C153">
        <f>'对齐'!B153/'对齐'!B$2*100</f>
        <v/>
      </c>
      <c r="D153">
        <f>'对齐'!B153/MAX('对齐'!B$2:'对齐'!B153)-1</f>
        <v/>
      </c>
      <c r="E153">
        <f>IF(ROW()-2&gt;='参数'!$B$2,STDEV(OFFSET(B153,1-'参数'!$B$2,0,'参数'!$B$2,1))*SQRT('参数'!$B$3),"")</f>
        <v/>
      </c>
      <c r="F153">
        <f>'对齐'!C153/'对齐'!C152-1</f>
        <v/>
      </c>
      <c r="G153">
        <f>'对齐'!C153/'对齐'!C$2*100</f>
        <v/>
      </c>
      <c r="H153">
        <f>'对齐'!C153/MAX('对齐'!C$2:'对齐'!C153)-1</f>
        <v/>
      </c>
      <c r="I153">
        <f>IF(ROW()-2&gt;='参数'!$B$2,STDEV(OFFSET(F153,1-'参数'!$B$2,0,'参数'!$B$2,1))*SQRT('参数'!$B$3),"")</f>
        <v/>
      </c>
    </row>
    <row r="154">
      <c r="A154">
        <f>'对齐'!A154</f>
        <v/>
      </c>
      <c r="B154">
        <f>'对齐'!B154/'对齐'!B153-1</f>
        <v/>
      </c>
      <c r="C154">
        <f>'对齐'!B154/'对齐'!B$2*100</f>
        <v/>
      </c>
      <c r="D154">
        <f>'对齐'!B154/MAX('对齐'!B$2:'对齐'!B154)-1</f>
        <v/>
      </c>
      <c r="E154">
        <f>IF(ROW()-2&gt;='参数'!$B$2,STDEV(OFFSET(B154,1-'参数'!$B$2,0,'参数'!$B$2,1))*SQRT('参数'!$B$3),"")</f>
        <v/>
      </c>
      <c r="F154">
        <f>'对齐'!C154/'对齐'!C153-1</f>
        <v/>
      </c>
      <c r="G154">
        <f>'对齐'!C154/'对齐'!C$2*100</f>
        <v/>
      </c>
      <c r="H154">
        <f>'对齐'!C154/MAX('对齐'!C$2:'对齐'!C154)-1</f>
        <v/>
      </c>
      <c r="I154">
        <f>IF(ROW()-2&gt;='参数'!$B$2,STDEV(OFFSET(F154,1-'参数'!$B$2,0,'参数'!$B$2,1))*SQRT('参数'!$B$3),"")</f>
        <v/>
      </c>
    </row>
    <row r="155">
      <c r="A155">
        <f>'对齐'!A155</f>
        <v/>
      </c>
      <c r="B155">
        <f>'对齐'!B155/'对齐'!B154-1</f>
        <v/>
      </c>
      <c r="C155">
        <f>'对齐'!B155/'对齐'!B$2*100</f>
        <v/>
      </c>
      <c r="D155">
        <f>'对齐'!B155/MAX('对齐'!B$2:'对齐'!B155)-1</f>
        <v/>
      </c>
      <c r="E155">
        <f>IF(ROW()-2&gt;='参数'!$B$2,STDEV(OFFSET(B155,1-'参数'!$B$2,0,'参数'!$B$2,1))*SQRT('参数'!$B$3),"")</f>
        <v/>
      </c>
      <c r="F155">
        <f>'对齐'!C155/'对齐'!C154-1</f>
        <v/>
      </c>
      <c r="G155">
        <f>'对齐'!C155/'对齐'!C$2*100</f>
        <v/>
      </c>
      <c r="H155">
        <f>'对齐'!C155/MAX('对齐'!C$2:'对齐'!C155)-1</f>
        <v/>
      </c>
      <c r="I155">
        <f>IF(ROW()-2&gt;='参数'!$B$2,STDEV(OFFSET(F155,1-'参数'!$B$2,0,'参数'!$B$2,1))*SQRT('参数'!$B$3),"")</f>
        <v/>
      </c>
    </row>
    <row r="156">
      <c r="A156">
        <f>'对齐'!A156</f>
        <v/>
      </c>
      <c r="B156">
        <f>'对齐'!B156/'对齐'!B155-1</f>
        <v/>
      </c>
      <c r="C156">
        <f>'对齐'!B156/'对齐'!B$2*100</f>
        <v/>
      </c>
      <c r="D156">
        <f>'对齐'!B156/MAX('对齐'!B$2:'对齐'!B156)-1</f>
        <v/>
      </c>
      <c r="E156">
        <f>IF(ROW()-2&gt;='参数'!$B$2,STDEV(OFFSET(B156,1-'参数'!$B$2,0,'参数'!$B$2,1))*SQRT('参数'!$B$3),"")</f>
        <v/>
      </c>
      <c r="F156">
        <f>'对齐'!C156/'对齐'!C155-1</f>
        <v/>
      </c>
      <c r="G156">
        <f>'对齐'!C156/'对齐'!C$2*100</f>
        <v/>
      </c>
      <c r="H156">
        <f>'对齐'!C156/MAX('对齐'!C$2:'对齐'!C156)-1</f>
        <v/>
      </c>
      <c r="I156">
        <f>IF(ROW()-2&gt;='参数'!$B$2,STDEV(OFFSET(F156,1-'参数'!$B$2,0,'参数'!$B$2,1))*SQRT('参数'!$B$3),"")</f>
        <v/>
      </c>
    </row>
    <row r="157">
      <c r="A157">
        <f>'对齐'!A157</f>
        <v/>
      </c>
      <c r="B157">
        <f>'对齐'!B157/'对齐'!B156-1</f>
        <v/>
      </c>
      <c r="C157">
        <f>'对齐'!B157/'对齐'!B$2*100</f>
        <v/>
      </c>
      <c r="D157">
        <f>'对齐'!B157/MAX('对齐'!B$2:'对齐'!B157)-1</f>
        <v/>
      </c>
      <c r="E157">
        <f>IF(ROW()-2&gt;='参数'!$B$2,STDEV(OFFSET(B157,1-'参数'!$B$2,0,'参数'!$B$2,1))*SQRT('参数'!$B$3),"")</f>
        <v/>
      </c>
      <c r="F157">
        <f>'对齐'!C157/'对齐'!C156-1</f>
        <v/>
      </c>
      <c r="G157">
        <f>'对齐'!C157/'对齐'!C$2*100</f>
        <v/>
      </c>
      <c r="H157">
        <f>'对齐'!C157/MAX('对齐'!C$2:'对齐'!C157)-1</f>
        <v/>
      </c>
      <c r="I157">
        <f>IF(ROW()-2&gt;='参数'!$B$2,STDEV(OFFSET(F157,1-'参数'!$B$2,0,'参数'!$B$2,1))*SQRT('参数'!$B$3),"")</f>
        <v/>
      </c>
    </row>
    <row r="158">
      <c r="A158">
        <f>'对齐'!A158</f>
        <v/>
      </c>
      <c r="B158">
        <f>'对齐'!B158/'对齐'!B157-1</f>
        <v/>
      </c>
      <c r="C158">
        <f>'对齐'!B158/'对齐'!B$2*100</f>
        <v/>
      </c>
      <c r="D158">
        <f>'对齐'!B158/MAX('对齐'!B$2:'对齐'!B158)-1</f>
        <v/>
      </c>
      <c r="E158">
        <f>IF(ROW()-2&gt;='参数'!$B$2,STDEV(OFFSET(B158,1-'参数'!$B$2,0,'参数'!$B$2,1))*SQRT('参数'!$B$3),"")</f>
        <v/>
      </c>
      <c r="F158">
        <f>'对齐'!C158/'对齐'!C157-1</f>
        <v/>
      </c>
      <c r="G158">
        <f>'对齐'!C158/'对齐'!C$2*100</f>
        <v/>
      </c>
      <c r="H158">
        <f>'对齐'!C158/MAX('对齐'!C$2:'对齐'!C158)-1</f>
        <v/>
      </c>
      <c r="I158">
        <f>IF(ROW()-2&gt;='参数'!$B$2,STDEV(OFFSET(F158,1-'参数'!$B$2,0,'参数'!$B$2,1))*SQRT('参数'!$B$3),"")</f>
        <v/>
      </c>
    </row>
    <row r="159">
      <c r="A159">
        <f>'对齐'!A159</f>
        <v/>
      </c>
      <c r="B159">
        <f>'对齐'!B159/'对齐'!B158-1</f>
        <v/>
      </c>
      <c r="C159">
        <f>'对齐'!B159/'对齐'!B$2*100</f>
        <v/>
      </c>
      <c r="D159">
        <f>'对齐'!B159/MAX('对齐'!B$2:'对齐'!B159)-1</f>
        <v/>
      </c>
      <c r="E159">
        <f>IF(ROW()-2&gt;='参数'!$B$2,STDEV(OFFSET(B159,1-'参数'!$B$2,0,'参数'!$B$2,1))*SQRT('参数'!$B$3),"")</f>
        <v/>
      </c>
      <c r="F159">
        <f>'对齐'!C159/'对齐'!C158-1</f>
        <v/>
      </c>
      <c r="G159">
        <f>'对齐'!C159/'对齐'!C$2*100</f>
        <v/>
      </c>
      <c r="H159">
        <f>'对齐'!C159/MAX('对齐'!C$2:'对齐'!C159)-1</f>
        <v/>
      </c>
      <c r="I159">
        <f>IF(ROW()-2&gt;='参数'!$B$2,STDEV(OFFSET(F159,1-'参数'!$B$2,0,'参数'!$B$2,1))*SQRT('参数'!$B$3),"")</f>
        <v/>
      </c>
    </row>
    <row r="160">
      <c r="A160">
        <f>'对齐'!A160</f>
        <v/>
      </c>
      <c r="B160">
        <f>'对齐'!B160/'对齐'!B159-1</f>
        <v/>
      </c>
      <c r="C160">
        <f>'对齐'!B160/'对齐'!B$2*100</f>
        <v/>
      </c>
      <c r="D160">
        <f>'对齐'!B160/MAX('对齐'!B$2:'对齐'!B160)-1</f>
        <v/>
      </c>
      <c r="E160">
        <f>IF(ROW()-2&gt;='参数'!$B$2,STDEV(OFFSET(B160,1-'参数'!$B$2,0,'参数'!$B$2,1))*SQRT('参数'!$B$3),"")</f>
        <v/>
      </c>
      <c r="F160">
        <f>'对齐'!C160/'对齐'!C159-1</f>
        <v/>
      </c>
      <c r="G160">
        <f>'对齐'!C160/'对齐'!C$2*100</f>
        <v/>
      </c>
      <c r="H160">
        <f>'对齐'!C160/MAX('对齐'!C$2:'对齐'!C160)-1</f>
        <v/>
      </c>
      <c r="I160">
        <f>IF(ROW()-2&gt;='参数'!$B$2,STDEV(OFFSET(F160,1-'参数'!$B$2,0,'参数'!$B$2,1))*SQRT('参数'!$B$3),"")</f>
        <v/>
      </c>
    </row>
    <row r="161">
      <c r="A161">
        <f>'对齐'!A161</f>
        <v/>
      </c>
      <c r="B161">
        <f>'对齐'!B161/'对齐'!B160-1</f>
        <v/>
      </c>
      <c r="C161">
        <f>'对齐'!B161/'对齐'!B$2*100</f>
        <v/>
      </c>
      <c r="D161">
        <f>'对齐'!B161/MAX('对齐'!B$2:'对齐'!B161)-1</f>
        <v/>
      </c>
      <c r="E161">
        <f>IF(ROW()-2&gt;='参数'!$B$2,STDEV(OFFSET(B161,1-'参数'!$B$2,0,'参数'!$B$2,1))*SQRT('参数'!$B$3),"")</f>
        <v/>
      </c>
      <c r="F161">
        <f>'对齐'!C161/'对齐'!C160-1</f>
        <v/>
      </c>
      <c r="G161">
        <f>'对齐'!C161/'对齐'!C$2*100</f>
        <v/>
      </c>
      <c r="H161">
        <f>'对齐'!C161/MAX('对齐'!C$2:'对齐'!C161)-1</f>
        <v/>
      </c>
      <c r="I161">
        <f>IF(ROW()-2&gt;='参数'!$B$2,STDEV(OFFSET(F161,1-'参数'!$B$2,0,'参数'!$B$2,1))*SQRT('参数'!$B$3),"")</f>
        <v/>
      </c>
    </row>
    <row r="162">
      <c r="A162">
        <f>'对齐'!A162</f>
        <v/>
      </c>
      <c r="B162">
        <f>'对齐'!B162/'对齐'!B161-1</f>
        <v/>
      </c>
      <c r="C162">
        <f>'对齐'!B162/'对齐'!B$2*100</f>
        <v/>
      </c>
      <c r="D162">
        <f>'对齐'!B162/MAX('对齐'!B$2:'对齐'!B162)-1</f>
        <v/>
      </c>
      <c r="E162">
        <f>IF(ROW()-2&gt;='参数'!$B$2,STDEV(OFFSET(B162,1-'参数'!$B$2,0,'参数'!$B$2,1))*SQRT('参数'!$B$3),"")</f>
        <v/>
      </c>
      <c r="F162">
        <f>'对齐'!C162/'对齐'!C161-1</f>
        <v/>
      </c>
      <c r="G162">
        <f>'对齐'!C162/'对齐'!C$2*100</f>
        <v/>
      </c>
      <c r="H162">
        <f>'对齐'!C162/MAX('对齐'!C$2:'对齐'!C162)-1</f>
        <v/>
      </c>
      <c r="I162">
        <f>IF(ROW()-2&gt;='参数'!$B$2,STDEV(OFFSET(F162,1-'参数'!$B$2,0,'参数'!$B$2,1))*SQRT('参数'!$B$3),"")</f>
        <v/>
      </c>
    </row>
    <row r="163">
      <c r="A163">
        <f>'对齐'!A163</f>
        <v/>
      </c>
      <c r="B163">
        <f>'对齐'!B163/'对齐'!B162-1</f>
        <v/>
      </c>
      <c r="C163">
        <f>'对齐'!B163/'对齐'!B$2*100</f>
        <v/>
      </c>
      <c r="D163">
        <f>'对齐'!B163/MAX('对齐'!B$2:'对齐'!B163)-1</f>
        <v/>
      </c>
      <c r="E163">
        <f>IF(ROW()-2&gt;='参数'!$B$2,STDEV(OFFSET(B163,1-'参数'!$B$2,0,'参数'!$B$2,1))*SQRT('参数'!$B$3),"")</f>
        <v/>
      </c>
      <c r="F163">
        <f>'对齐'!C163/'对齐'!C162-1</f>
        <v/>
      </c>
      <c r="G163">
        <f>'对齐'!C163/'对齐'!C$2*100</f>
        <v/>
      </c>
      <c r="H163">
        <f>'对齐'!C163/MAX('对齐'!C$2:'对齐'!C163)-1</f>
        <v/>
      </c>
      <c r="I163">
        <f>IF(ROW()-2&gt;='参数'!$B$2,STDEV(OFFSET(F163,1-'参数'!$B$2,0,'参数'!$B$2,1))*SQRT('参数'!$B$3),"")</f>
        <v/>
      </c>
    </row>
    <row r="164">
      <c r="A164">
        <f>'对齐'!A164</f>
        <v/>
      </c>
      <c r="B164">
        <f>'对齐'!B164/'对齐'!B163-1</f>
        <v/>
      </c>
      <c r="C164">
        <f>'对齐'!B164/'对齐'!B$2*100</f>
        <v/>
      </c>
      <c r="D164">
        <f>'对齐'!B164/MAX('对齐'!B$2:'对齐'!B164)-1</f>
        <v/>
      </c>
      <c r="E164">
        <f>IF(ROW()-2&gt;='参数'!$B$2,STDEV(OFFSET(B164,1-'参数'!$B$2,0,'参数'!$B$2,1))*SQRT('参数'!$B$3),"")</f>
        <v/>
      </c>
      <c r="F164">
        <f>'对齐'!C164/'对齐'!C163-1</f>
        <v/>
      </c>
      <c r="G164">
        <f>'对齐'!C164/'对齐'!C$2*100</f>
        <v/>
      </c>
      <c r="H164">
        <f>'对齐'!C164/MAX('对齐'!C$2:'对齐'!C164)-1</f>
        <v/>
      </c>
      <c r="I164">
        <f>IF(ROW()-2&gt;='参数'!$B$2,STDEV(OFFSET(F164,1-'参数'!$B$2,0,'参数'!$B$2,1))*SQRT('参数'!$B$3),"")</f>
        <v/>
      </c>
    </row>
    <row r="165">
      <c r="A165">
        <f>'对齐'!A165</f>
        <v/>
      </c>
      <c r="B165">
        <f>'对齐'!B165/'对齐'!B164-1</f>
        <v/>
      </c>
      <c r="C165">
        <f>'对齐'!B165/'对齐'!B$2*100</f>
        <v/>
      </c>
      <c r="D165">
        <f>'对齐'!B165/MAX('对齐'!B$2:'对齐'!B165)-1</f>
        <v/>
      </c>
      <c r="E165">
        <f>IF(ROW()-2&gt;='参数'!$B$2,STDEV(OFFSET(B165,1-'参数'!$B$2,0,'参数'!$B$2,1))*SQRT('参数'!$B$3),"")</f>
        <v/>
      </c>
      <c r="F165">
        <f>'对齐'!C165/'对齐'!C164-1</f>
        <v/>
      </c>
      <c r="G165">
        <f>'对齐'!C165/'对齐'!C$2*100</f>
        <v/>
      </c>
      <c r="H165">
        <f>'对齐'!C165/MAX('对齐'!C$2:'对齐'!C165)-1</f>
        <v/>
      </c>
      <c r="I165">
        <f>IF(ROW()-2&gt;='参数'!$B$2,STDEV(OFFSET(F165,1-'参数'!$B$2,0,'参数'!$B$2,1))*SQRT('参数'!$B$3),"")</f>
        <v/>
      </c>
    </row>
    <row r="166">
      <c r="A166">
        <f>'对齐'!A166</f>
        <v/>
      </c>
      <c r="B166">
        <f>'对齐'!B166/'对齐'!B165-1</f>
        <v/>
      </c>
      <c r="C166">
        <f>'对齐'!B166/'对齐'!B$2*100</f>
        <v/>
      </c>
      <c r="D166">
        <f>'对齐'!B166/MAX('对齐'!B$2:'对齐'!B166)-1</f>
        <v/>
      </c>
      <c r="E166">
        <f>IF(ROW()-2&gt;='参数'!$B$2,STDEV(OFFSET(B166,1-'参数'!$B$2,0,'参数'!$B$2,1))*SQRT('参数'!$B$3),"")</f>
        <v/>
      </c>
      <c r="F166">
        <f>'对齐'!C166/'对齐'!C165-1</f>
        <v/>
      </c>
      <c r="G166">
        <f>'对齐'!C166/'对齐'!C$2*100</f>
        <v/>
      </c>
      <c r="H166">
        <f>'对齐'!C166/MAX('对齐'!C$2:'对齐'!C166)-1</f>
        <v/>
      </c>
      <c r="I166">
        <f>IF(ROW()-2&gt;='参数'!$B$2,STDEV(OFFSET(F166,1-'参数'!$B$2,0,'参数'!$B$2,1))*SQRT('参数'!$B$3),"")</f>
        <v/>
      </c>
    </row>
    <row r="167">
      <c r="A167">
        <f>'对齐'!A167</f>
        <v/>
      </c>
      <c r="B167">
        <f>'对齐'!B167/'对齐'!B166-1</f>
        <v/>
      </c>
      <c r="C167">
        <f>'对齐'!B167/'对齐'!B$2*100</f>
        <v/>
      </c>
      <c r="D167">
        <f>'对齐'!B167/MAX('对齐'!B$2:'对齐'!B167)-1</f>
        <v/>
      </c>
      <c r="E167">
        <f>IF(ROW()-2&gt;='参数'!$B$2,STDEV(OFFSET(B167,1-'参数'!$B$2,0,'参数'!$B$2,1))*SQRT('参数'!$B$3),"")</f>
        <v/>
      </c>
      <c r="F167">
        <f>'对齐'!C167/'对齐'!C166-1</f>
        <v/>
      </c>
      <c r="G167">
        <f>'对齐'!C167/'对齐'!C$2*100</f>
        <v/>
      </c>
      <c r="H167">
        <f>'对齐'!C167/MAX('对齐'!C$2:'对齐'!C167)-1</f>
        <v/>
      </c>
      <c r="I167">
        <f>IF(ROW()-2&gt;='参数'!$B$2,STDEV(OFFSET(F167,1-'参数'!$B$2,0,'参数'!$B$2,1))*SQRT('参数'!$B$3),"")</f>
        <v/>
      </c>
    </row>
    <row r="168">
      <c r="A168">
        <f>'对齐'!A168</f>
        <v/>
      </c>
      <c r="B168">
        <f>'对齐'!B168/'对齐'!B167-1</f>
        <v/>
      </c>
      <c r="C168">
        <f>'对齐'!B168/'对齐'!B$2*100</f>
        <v/>
      </c>
      <c r="D168">
        <f>'对齐'!B168/MAX('对齐'!B$2:'对齐'!B168)-1</f>
        <v/>
      </c>
      <c r="E168">
        <f>IF(ROW()-2&gt;='参数'!$B$2,STDEV(OFFSET(B168,1-'参数'!$B$2,0,'参数'!$B$2,1))*SQRT('参数'!$B$3),"")</f>
        <v/>
      </c>
      <c r="F168">
        <f>'对齐'!C168/'对齐'!C167-1</f>
        <v/>
      </c>
      <c r="G168">
        <f>'对齐'!C168/'对齐'!C$2*100</f>
        <v/>
      </c>
      <c r="H168">
        <f>'对齐'!C168/MAX('对齐'!C$2:'对齐'!C168)-1</f>
        <v/>
      </c>
      <c r="I168">
        <f>IF(ROW()-2&gt;='参数'!$B$2,STDEV(OFFSET(F168,1-'参数'!$B$2,0,'参数'!$B$2,1))*SQRT('参数'!$B$3),"")</f>
        <v/>
      </c>
    </row>
    <row r="169">
      <c r="A169">
        <f>'对齐'!A169</f>
        <v/>
      </c>
      <c r="B169">
        <f>'对齐'!B169/'对齐'!B168-1</f>
        <v/>
      </c>
      <c r="C169">
        <f>'对齐'!B169/'对齐'!B$2*100</f>
        <v/>
      </c>
      <c r="D169">
        <f>'对齐'!B169/MAX('对齐'!B$2:'对齐'!B169)-1</f>
        <v/>
      </c>
      <c r="E169">
        <f>IF(ROW()-2&gt;='参数'!$B$2,STDEV(OFFSET(B169,1-'参数'!$B$2,0,'参数'!$B$2,1))*SQRT('参数'!$B$3),"")</f>
        <v/>
      </c>
      <c r="F169">
        <f>'对齐'!C169/'对齐'!C168-1</f>
        <v/>
      </c>
      <c r="G169">
        <f>'对齐'!C169/'对齐'!C$2*100</f>
        <v/>
      </c>
      <c r="H169">
        <f>'对齐'!C169/MAX('对齐'!C$2:'对齐'!C169)-1</f>
        <v/>
      </c>
      <c r="I169">
        <f>IF(ROW()-2&gt;='参数'!$B$2,STDEV(OFFSET(F169,1-'参数'!$B$2,0,'参数'!$B$2,1))*SQRT('参数'!$B$3),"")</f>
        <v/>
      </c>
    </row>
    <row r="170">
      <c r="A170">
        <f>'对齐'!A170</f>
        <v/>
      </c>
      <c r="B170">
        <f>'对齐'!B170/'对齐'!B169-1</f>
        <v/>
      </c>
      <c r="C170">
        <f>'对齐'!B170/'对齐'!B$2*100</f>
        <v/>
      </c>
      <c r="D170">
        <f>'对齐'!B170/MAX('对齐'!B$2:'对齐'!B170)-1</f>
        <v/>
      </c>
      <c r="E170">
        <f>IF(ROW()-2&gt;='参数'!$B$2,STDEV(OFFSET(B170,1-'参数'!$B$2,0,'参数'!$B$2,1))*SQRT('参数'!$B$3),"")</f>
        <v/>
      </c>
      <c r="F170">
        <f>'对齐'!C170/'对齐'!C169-1</f>
        <v/>
      </c>
      <c r="G170">
        <f>'对齐'!C170/'对齐'!C$2*100</f>
        <v/>
      </c>
      <c r="H170">
        <f>'对齐'!C170/MAX('对齐'!C$2:'对齐'!C170)-1</f>
        <v/>
      </c>
      <c r="I170">
        <f>IF(ROW()-2&gt;='参数'!$B$2,STDEV(OFFSET(F170,1-'参数'!$B$2,0,'参数'!$B$2,1))*SQRT('参数'!$B$3),"")</f>
        <v/>
      </c>
    </row>
    <row r="171">
      <c r="A171">
        <f>'对齐'!A171</f>
        <v/>
      </c>
      <c r="B171">
        <f>'对齐'!B171/'对齐'!B170-1</f>
        <v/>
      </c>
      <c r="C171">
        <f>'对齐'!B171/'对齐'!B$2*100</f>
        <v/>
      </c>
      <c r="D171">
        <f>'对齐'!B171/MAX('对齐'!B$2:'对齐'!B171)-1</f>
        <v/>
      </c>
      <c r="E171">
        <f>IF(ROW()-2&gt;='参数'!$B$2,STDEV(OFFSET(B171,1-'参数'!$B$2,0,'参数'!$B$2,1))*SQRT('参数'!$B$3),"")</f>
        <v/>
      </c>
      <c r="F171">
        <f>'对齐'!C171/'对齐'!C170-1</f>
        <v/>
      </c>
      <c r="G171">
        <f>'对齐'!C171/'对齐'!C$2*100</f>
        <v/>
      </c>
      <c r="H171">
        <f>'对齐'!C171/MAX('对齐'!C$2:'对齐'!C171)-1</f>
        <v/>
      </c>
      <c r="I171">
        <f>IF(ROW()-2&gt;='参数'!$B$2,STDEV(OFFSET(F171,1-'参数'!$B$2,0,'参数'!$B$2,1))*SQRT('参数'!$B$3),"")</f>
        <v/>
      </c>
    </row>
    <row r="172">
      <c r="A172">
        <f>'对齐'!A172</f>
        <v/>
      </c>
      <c r="B172">
        <f>'对齐'!B172/'对齐'!B171-1</f>
        <v/>
      </c>
      <c r="C172">
        <f>'对齐'!B172/'对齐'!B$2*100</f>
        <v/>
      </c>
      <c r="D172">
        <f>'对齐'!B172/MAX('对齐'!B$2:'对齐'!B172)-1</f>
        <v/>
      </c>
      <c r="E172">
        <f>IF(ROW()-2&gt;='参数'!$B$2,STDEV(OFFSET(B172,1-'参数'!$B$2,0,'参数'!$B$2,1))*SQRT('参数'!$B$3),"")</f>
        <v/>
      </c>
      <c r="F172">
        <f>'对齐'!C172/'对齐'!C171-1</f>
        <v/>
      </c>
      <c r="G172">
        <f>'对齐'!C172/'对齐'!C$2*100</f>
        <v/>
      </c>
      <c r="H172">
        <f>'对齐'!C172/MAX('对齐'!C$2:'对齐'!C172)-1</f>
        <v/>
      </c>
      <c r="I172">
        <f>IF(ROW()-2&gt;='参数'!$B$2,STDEV(OFFSET(F172,1-'参数'!$B$2,0,'参数'!$B$2,1))*SQRT('参数'!$B$3),"")</f>
        <v/>
      </c>
    </row>
    <row r="173">
      <c r="A173">
        <f>'对齐'!A173</f>
        <v/>
      </c>
      <c r="B173">
        <f>'对齐'!B173/'对齐'!B172-1</f>
        <v/>
      </c>
      <c r="C173">
        <f>'对齐'!B173/'对齐'!B$2*100</f>
        <v/>
      </c>
      <c r="D173">
        <f>'对齐'!B173/MAX('对齐'!B$2:'对齐'!B173)-1</f>
        <v/>
      </c>
      <c r="E173">
        <f>IF(ROW()-2&gt;='参数'!$B$2,STDEV(OFFSET(B173,1-'参数'!$B$2,0,'参数'!$B$2,1))*SQRT('参数'!$B$3),"")</f>
        <v/>
      </c>
      <c r="F173">
        <f>'对齐'!C173/'对齐'!C172-1</f>
        <v/>
      </c>
      <c r="G173">
        <f>'对齐'!C173/'对齐'!C$2*100</f>
        <v/>
      </c>
      <c r="H173">
        <f>'对齐'!C173/MAX('对齐'!C$2:'对齐'!C173)-1</f>
        <v/>
      </c>
      <c r="I173">
        <f>IF(ROW()-2&gt;='参数'!$B$2,STDEV(OFFSET(F173,1-'参数'!$B$2,0,'参数'!$B$2,1))*SQRT('参数'!$B$3),"")</f>
        <v/>
      </c>
    </row>
    <row r="174">
      <c r="A174">
        <f>'对齐'!A174</f>
        <v/>
      </c>
      <c r="B174">
        <f>'对齐'!B174/'对齐'!B173-1</f>
        <v/>
      </c>
      <c r="C174">
        <f>'对齐'!B174/'对齐'!B$2*100</f>
        <v/>
      </c>
      <c r="D174">
        <f>'对齐'!B174/MAX('对齐'!B$2:'对齐'!B174)-1</f>
        <v/>
      </c>
      <c r="E174">
        <f>IF(ROW()-2&gt;='参数'!$B$2,STDEV(OFFSET(B174,1-'参数'!$B$2,0,'参数'!$B$2,1))*SQRT('参数'!$B$3),"")</f>
        <v/>
      </c>
      <c r="F174">
        <f>'对齐'!C174/'对齐'!C173-1</f>
        <v/>
      </c>
      <c r="G174">
        <f>'对齐'!C174/'对齐'!C$2*100</f>
        <v/>
      </c>
      <c r="H174">
        <f>'对齐'!C174/MAX('对齐'!C$2:'对齐'!C174)-1</f>
        <v/>
      </c>
      <c r="I174">
        <f>IF(ROW()-2&gt;='参数'!$B$2,STDEV(OFFSET(F174,1-'参数'!$B$2,0,'参数'!$B$2,1))*SQRT('参数'!$B$3),"")</f>
        <v/>
      </c>
    </row>
    <row r="175">
      <c r="A175">
        <f>'对齐'!A175</f>
        <v/>
      </c>
      <c r="B175">
        <f>'对齐'!B175/'对齐'!B174-1</f>
        <v/>
      </c>
      <c r="C175">
        <f>'对齐'!B175/'对齐'!B$2*100</f>
        <v/>
      </c>
      <c r="D175">
        <f>'对齐'!B175/MAX('对齐'!B$2:'对齐'!B175)-1</f>
        <v/>
      </c>
      <c r="E175">
        <f>IF(ROW()-2&gt;='参数'!$B$2,STDEV(OFFSET(B175,1-'参数'!$B$2,0,'参数'!$B$2,1))*SQRT('参数'!$B$3),"")</f>
        <v/>
      </c>
      <c r="F175">
        <f>'对齐'!C175/'对齐'!C174-1</f>
        <v/>
      </c>
      <c r="G175">
        <f>'对齐'!C175/'对齐'!C$2*100</f>
        <v/>
      </c>
      <c r="H175">
        <f>'对齐'!C175/MAX('对齐'!C$2:'对齐'!C175)-1</f>
        <v/>
      </c>
      <c r="I175">
        <f>IF(ROW()-2&gt;='参数'!$B$2,STDEV(OFFSET(F175,1-'参数'!$B$2,0,'参数'!$B$2,1))*SQRT('参数'!$B$3),"")</f>
        <v/>
      </c>
    </row>
    <row r="176">
      <c r="A176">
        <f>'对齐'!A176</f>
        <v/>
      </c>
      <c r="B176">
        <f>'对齐'!B176/'对齐'!B175-1</f>
        <v/>
      </c>
      <c r="C176">
        <f>'对齐'!B176/'对齐'!B$2*100</f>
        <v/>
      </c>
      <c r="D176">
        <f>'对齐'!B176/MAX('对齐'!B$2:'对齐'!B176)-1</f>
        <v/>
      </c>
      <c r="E176">
        <f>IF(ROW()-2&gt;='参数'!$B$2,STDEV(OFFSET(B176,1-'参数'!$B$2,0,'参数'!$B$2,1))*SQRT('参数'!$B$3),"")</f>
        <v/>
      </c>
      <c r="F176">
        <f>'对齐'!C176/'对齐'!C175-1</f>
        <v/>
      </c>
      <c r="G176">
        <f>'对齐'!C176/'对齐'!C$2*100</f>
        <v/>
      </c>
      <c r="H176">
        <f>'对齐'!C176/MAX('对齐'!C$2:'对齐'!C176)-1</f>
        <v/>
      </c>
      <c r="I176">
        <f>IF(ROW()-2&gt;='参数'!$B$2,STDEV(OFFSET(F176,1-'参数'!$B$2,0,'参数'!$B$2,1))*SQRT('参数'!$B$3),"")</f>
        <v/>
      </c>
    </row>
    <row r="177">
      <c r="A177">
        <f>'对齐'!A177</f>
        <v/>
      </c>
      <c r="B177">
        <f>'对齐'!B177/'对齐'!B176-1</f>
        <v/>
      </c>
      <c r="C177">
        <f>'对齐'!B177/'对齐'!B$2*100</f>
        <v/>
      </c>
      <c r="D177">
        <f>'对齐'!B177/MAX('对齐'!B$2:'对齐'!B177)-1</f>
        <v/>
      </c>
      <c r="E177">
        <f>IF(ROW()-2&gt;='参数'!$B$2,STDEV(OFFSET(B177,1-'参数'!$B$2,0,'参数'!$B$2,1))*SQRT('参数'!$B$3),"")</f>
        <v/>
      </c>
      <c r="F177">
        <f>'对齐'!C177/'对齐'!C176-1</f>
        <v/>
      </c>
      <c r="G177">
        <f>'对齐'!C177/'对齐'!C$2*100</f>
        <v/>
      </c>
      <c r="H177">
        <f>'对齐'!C177/MAX('对齐'!C$2:'对齐'!C177)-1</f>
        <v/>
      </c>
      <c r="I177">
        <f>IF(ROW()-2&gt;='参数'!$B$2,STDEV(OFFSET(F177,1-'参数'!$B$2,0,'参数'!$B$2,1))*SQRT('参数'!$B$3),"")</f>
        <v/>
      </c>
    </row>
    <row r="178">
      <c r="A178">
        <f>'对齐'!A178</f>
        <v/>
      </c>
      <c r="B178">
        <f>'对齐'!B178/'对齐'!B177-1</f>
        <v/>
      </c>
      <c r="C178">
        <f>'对齐'!B178/'对齐'!B$2*100</f>
        <v/>
      </c>
      <c r="D178">
        <f>'对齐'!B178/MAX('对齐'!B$2:'对齐'!B178)-1</f>
        <v/>
      </c>
      <c r="E178">
        <f>IF(ROW()-2&gt;='参数'!$B$2,STDEV(OFFSET(B178,1-'参数'!$B$2,0,'参数'!$B$2,1))*SQRT('参数'!$B$3),"")</f>
        <v/>
      </c>
      <c r="F178">
        <f>'对齐'!C178/'对齐'!C177-1</f>
        <v/>
      </c>
      <c r="G178">
        <f>'对齐'!C178/'对齐'!C$2*100</f>
        <v/>
      </c>
      <c r="H178">
        <f>'对齐'!C178/MAX('对齐'!C$2:'对齐'!C178)-1</f>
        <v/>
      </c>
      <c r="I178">
        <f>IF(ROW()-2&gt;='参数'!$B$2,STDEV(OFFSET(F178,1-'参数'!$B$2,0,'参数'!$B$2,1))*SQRT('参数'!$B$3),"")</f>
        <v/>
      </c>
    </row>
    <row r="179">
      <c r="A179">
        <f>'对齐'!A179</f>
        <v/>
      </c>
      <c r="B179">
        <f>'对齐'!B179/'对齐'!B178-1</f>
        <v/>
      </c>
      <c r="C179">
        <f>'对齐'!B179/'对齐'!B$2*100</f>
        <v/>
      </c>
      <c r="D179">
        <f>'对齐'!B179/MAX('对齐'!B$2:'对齐'!B179)-1</f>
        <v/>
      </c>
      <c r="E179">
        <f>IF(ROW()-2&gt;='参数'!$B$2,STDEV(OFFSET(B179,1-'参数'!$B$2,0,'参数'!$B$2,1))*SQRT('参数'!$B$3),"")</f>
        <v/>
      </c>
      <c r="F179">
        <f>'对齐'!C179/'对齐'!C178-1</f>
        <v/>
      </c>
      <c r="G179">
        <f>'对齐'!C179/'对齐'!C$2*100</f>
        <v/>
      </c>
      <c r="H179">
        <f>'对齐'!C179/MAX('对齐'!C$2:'对齐'!C179)-1</f>
        <v/>
      </c>
      <c r="I179">
        <f>IF(ROW()-2&gt;='参数'!$B$2,STDEV(OFFSET(F179,1-'参数'!$B$2,0,'参数'!$B$2,1))*SQRT('参数'!$B$3),"")</f>
        <v/>
      </c>
    </row>
    <row r="180">
      <c r="A180">
        <f>'对齐'!A180</f>
        <v/>
      </c>
      <c r="B180">
        <f>'对齐'!B180/'对齐'!B179-1</f>
        <v/>
      </c>
      <c r="C180">
        <f>'对齐'!B180/'对齐'!B$2*100</f>
        <v/>
      </c>
      <c r="D180">
        <f>'对齐'!B180/MAX('对齐'!B$2:'对齐'!B180)-1</f>
        <v/>
      </c>
      <c r="E180">
        <f>IF(ROW()-2&gt;='参数'!$B$2,STDEV(OFFSET(B180,1-'参数'!$B$2,0,'参数'!$B$2,1))*SQRT('参数'!$B$3),"")</f>
        <v/>
      </c>
      <c r="F180">
        <f>'对齐'!C180/'对齐'!C179-1</f>
        <v/>
      </c>
      <c r="G180">
        <f>'对齐'!C180/'对齐'!C$2*100</f>
        <v/>
      </c>
      <c r="H180">
        <f>'对齐'!C180/MAX('对齐'!C$2:'对齐'!C180)-1</f>
        <v/>
      </c>
      <c r="I180">
        <f>IF(ROW()-2&gt;='参数'!$B$2,STDEV(OFFSET(F180,1-'参数'!$B$2,0,'参数'!$B$2,1))*SQRT('参数'!$B$3),"")</f>
        <v/>
      </c>
    </row>
    <row r="181">
      <c r="A181">
        <f>'对齐'!A181</f>
        <v/>
      </c>
      <c r="B181">
        <f>'对齐'!B181/'对齐'!B180-1</f>
        <v/>
      </c>
      <c r="C181">
        <f>'对齐'!B181/'对齐'!B$2*100</f>
        <v/>
      </c>
      <c r="D181">
        <f>'对齐'!B181/MAX('对齐'!B$2:'对齐'!B181)-1</f>
        <v/>
      </c>
      <c r="E181">
        <f>IF(ROW()-2&gt;='参数'!$B$2,STDEV(OFFSET(B181,1-'参数'!$B$2,0,'参数'!$B$2,1))*SQRT('参数'!$B$3),"")</f>
        <v/>
      </c>
      <c r="F181">
        <f>'对齐'!C181/'对齐'!C180-1</f>
        <v/>
      </c>
      <c r="G181">
        <f>'对齐'!C181/'对齐'!C$2*100</f>
        <v/>
      </c>
      <c r="H181">
        <f>'对齐'!C181/MAX('对齐'!C$2:'对齐'!C181)-1</f>
        <v/>
      </c>
      <c r="I181">
        <f>IF(ROW()-2&gt;='参数'!$B$2,STDEV(OFFSET(F181,1-'参数'!$B$2,0,'参数'!$B$2,1))*SQRT('参数'!$B$3),"")</f>
        <v/>
      </c>
    </row>
    <row r="182">
      <c r="A182">
        <f>'对齐'!A182</f>
        <v/>
      </c>
      <c r="B182">
        <f>'对齐'!B182/'对齐'!B181-1</f>
        <v/>
      </c>
      <c r="C182">
        <f>'对齐'!B182/'对齐'!B$2*100</f>
        <v/>
      </c>
      <c r="D182">
        <f>'对齐'!B182/MAX('对齐'!B$2:'对齐'!B182)-1</f>
        <v/>
      </c>
      <c r="E182">
        <f>IF(ROW()-2&gt;='参数'!$B$2,STDEV(OFFSET(B182,1-'参数'!$B$2,0,'参数'!$B$2,1))*SQRT('参数'!$B$3),"")</f>
        <v/>
      </c>
      <c r="F182">
        <f>'对齐'!C182/'对齐'!C181-1</f>
        <v/>
      </c>
      <c r="G182">
        <f>'对齐'!C182/'对齐'!C$2*100</f>
        <v/>
      </c>
      <c r="H182">
        <f>'对齐'!C182/MAX('对齐'!C$2:'对齐'!C182)-1</f>
        <v/>
      </c>
      <c r="I182">
        <f>IF(ROW()-2&gt;='参数'!$B$2,STDEV(OFFSET(F182,1-'参数'!$B$2,0,'参数'!$B$2,1))*SQRT('参数'!$B$3),"")</f>
        <v/>
      </c>
    </row>
    <row r="183">
      <c r="A183">
        <f>'对齐'!A183</f>
        <v/>
      </c>
      <c r="B183">
        <f>'对齐'!B183/'对齐'!B182-1</f>
        <v/>
      </c>
      <c r="C183">
        <f>'对齐'!B183/'对齐'!B$2*100</f>
        <v/>
      </c>
      <c r="D183">
        <f>'对齐'!B183/MAX('对齐'!B$2:'对齐'!B183)-1</f>
        <v/>
      </c>
      <c r="E183">
        <f>IF(ROW()-2&gt;='参数'!$B$2,STDEV(OFFSET(B183,1-'参数'!$B$2,0,'参数'!$B$2,1))*SQRT('参数'!$B$3),"")</f>
        <v/>
      </c>
      <c r="F183">
        <f>'对齐'!C183/'对齐'!C182-1</f>
        <v/>
      </c>
      <c r="G183">
        <f>'对齐'!C183/'对齐'!C$2*100</f>
        <v/>
      </c>
      <c r="H183">
        <f>'对齐'!C183/MAX('对齐'!C$2:'对齐'!C183)-1</f>
        <v/>
      </c>
      <c r="I183">
        <f>IF(ROW()-2&gt;='参数'!$B$2,STDEV(OFFSET(F183,1-'参数'!$B$2,0,'参数'!$B$2,1))*SQRT('参数'!$B$3),"")</f>
        <v/>
      </c>
    </row>
    <row r="184">
      <c r="A184">
        <f>'对齐'!A184</f>
        <v/>
      </c>
      <c r="B184">
        <f>'对齐'!B184/'对齐'!B183-1</f>
        <v/>
      </c>
      <c r="C184">
        <f>'对齐'!B184/'对齐'!B$2*100</f>
        <v/>
      </c>
      <c r="D184">
        <f>'对齐'!B184/MAX('对齐'!B$2:'对齐'!B184)-1</f>
        <v/>
      </c>
      <c r="E184">
        <f>IF(ROW()-2&gt;='参数'!$B$2,STDEV(OFFSET(B184,1-'参数'!$B$2,0,'参数'!$B$2,1))*SQRT('参数'!$B$3),"")</f>
        <v/>
      </c>
      <c r="F184">
        <f>'对齐'!C184/'对齐'!C183-1</f>
        <v/>
      </c>
      <c r="G184">
        <f>'对齐'!C184/'对齐'!C$2*100</f>
        <v/>
      </c>
      <c r="H184">
        <f>'对齐'!C184/MAX('对齐'!C$2:'对齐'!C184)-1</f>
        <v/>
      </c>
      <c r="I184">
        <f>IF(ROW()-2&gt;='参数'!$B$2,STDEV(OFFSET(F184,1-'参数'!$B$2,0,'参数'!$B$2,1))*SQRT('参数'!$B$3),"")</f>
        <v/>
      </c>
    </row>
    <row r="185">
      <c r="A185">
        <f>'对齐'!A185</f>
        <v/>
      </c>
      <c r="B185">
        <f>'对齐'!B185/'对齐'!B184-1</f>
        <v/>
      </c>
      <c r="C185">
        <f>'对齐'!B185/'对齐'!B$2*100</f>
        <v/>
      </c>
      <c r="D185">
        <f>'对齐'!B185/MAX('对齐'!B$2:'对齐'!B185)-1</f>
        <v/>
      </c>
      <c r="E185">
        <f>IF(ROW()-2&gt;='参数'!$B$2,STDEV(OFFSET(B185,1-'参数'!$B$2,0,'参数'!$B$2,1))*SQRT('参数'!$B$3),"")</f>
        <v/>
      </c>
      <c r="F185">
        <f>'对齐'!C185/'对齐'!C184-1</f>
        <v/>
      </c>
      <c r="G185">
        <f>'对齐'!C185/'对齐'!C$2*100</f>
        <v/>
      </c>
      <c r="H185">
        <f>'对齐'!C185/MAX('对齐'!C$2:'对齐'!C185)-1</f>
        <v/>
      </c>
      <c r="I185">
        <f>IF(ROW()-2&gt;='参数'!$B$2,STDEV(OFFSET(F185,1-'参数'!$B$2,0,'参数'!$B$2,1))*SQRT('参数'!$B$3),"")</f>
        <v/>
      </c>
    </row>
    <row r="186">
      <c r="A186">
        <f>'对齐'!A186</f>
        <v/>
      </c>
      <c r="B186">
        <f>'对齐'!B186/'对齐'!B185-1</f>
        <v/>
      </c>
      <c r="C186">
        <f>'对齐'!B186/'对齐'!B$2*100</f>
        <v/>
      </c>
      <c r="D186">
        <f>'对齐'!B186/MAX('对齐'!B$2:'对齐'!B186)-1</f>
        <v/>
      </c>
      <c r="E186">
        <f>IF(ROW()-2&gt;='参数'!$B$2,STDEV(OFFSET(B186,1-'参数'!$B$2,0,'参数'!$B$2,1))*SQRT('参数'!$B$3),"")</f>
        <v/>
      </c>
      <c r="F186">
        <f>'对齐'!C186/'对齐'!C185-1</f>
        <v/>
      </c>
      <c r="G186">
        <f>'对齐'!C186/'对齐'!C$2*100</f>
        <v/>
      </c>
      <c r="H186">
        <f>'对齐'!C186/MAX('对齐'!C$2:'对齐'!C186)-1</f>
        <v/>
      </c>
      <c r="I186">
        <f>IF(ROW()-2&gt;='参数'!$B$2,STDEV(OFFSET(F186,1-'参数'!$B$2,0,'参数'!$B$2,1))*SQRT('参数'!$B$3),"")</f>
        <v/>
      </c>
    </row>
    <row r="187">
      <c r="A187">
        <f>'对齐'!A187</f>
        <v/>
      </c>
      <c r="B187">
        <f>'对齐'!B187/'对齐'!B186-1</f>
        <v/>
      </c>
      <c r="C187">
        <f>'对齐'!B187/'对齐'!B$2*100</f>
        <v/>
      </c>
      <c r="D187">
        <f>'对齐'!B187/MAX('对齐'!B$2:'对齐'!B187)-1</f>
        <v/>
      </c>
      <c r="E187">
        <f>IF(ROW()-2&gt;='参数'!$B$2,STDEV(OFFSET(B187,1-'参数'!$B$2,0,'参数'!$B$2,1))*SQRT('参数'!$B$3),"")</f>
        <v/>
      </c>
      <c r="F187">
        <f>'对齐'!C187/'对齐'!C186-1</f>
        <v/>
      </c>
      <c r="G187">
        <f>'对齐'!C187/'对齐'!C$2*100</f>
        <v/>
      </c>
      <c r="H187">
        <f>'对齐'!C187/MAX('对齐'!C$2:'对齐'!C187)-1</f>
        <v/>
      </c>
      <c r="I187">
        <f>IF(ROW()-2&gt;='参数'!$B$2,STDEV(OFFSET(F187,1-'参数'!$B$2,0,'参数'!$B$2,1))*SQRT('参数'!$B$3),"")</f>
        <v/>
      </c>
    </row>
    <row r="188">
      <c r="A188">
        <f>'对齐'!A188</f>
        <v/>
      </c>
      <c r="B188">
        <f>'对齐'!B188/'对齐'!B187-1</f>
        <v/>
      </c>
      <c r="C188">
        <f>'对齐'!B188/'对齐'!B$2*100</f>
        <v/>
      </c>
      <c r="D188">
        <f>'对齐'!B188/MAX('对齐'!B$2:'对齐'!B188)-1</f>
        <v/>
      </c>
      <c r="E188">
        <f>IF(ROW()-2&gt;='参数'!$B$2,STDEV(OFFSET(B188,1-'参数'!$B$2,0,'参数'!$B$2,1))*SQRT('参数'!$B$3),"")</f>
        <v/>
      </c>
      <c r="F188">
        <f>'对齐'!C188/'对齐'!C187-1</f>
        <v/>
      </c>
      <c r="G188">
        <f>'对齐'!C188/'对齐'!C$2*100</f>
        <v/>
      </c>
      <c r="H188">
        <f>'对齐'!C188/MAX('对齐'!C$2:'对齐'!C188)-1</f>
        <v/>
      </c>
      <c r="I188">
        <f>IF(ROW()-2&gt;='参数'!$B$2,STDEV(OFFSET(F188,1-'参数'!$B$2,0,'参数'!$B$2,1))*SQRT('参数'!$B$3),"")</f>
        <v/>
      </c>
    </row>
    <row r="189">
      <c r="A189">
        <f>'对齐'!A189</f>
        <v/>
      </c>
      <c r="B189">
        <f>'对齐'!B189/'对齐'!B188-1</f>
        <v/>
      </c>
      <c r="C189">
        <f>'对齐'!B189/'对齐'!B$2*100</f>
        <v/>
      </c>
      <c r="D189">
        <f>'对齐'!B189/MAX('对齐'!B$2:'对齐'!B189)-1</f>
        <v/>
      </c>
      <c r="E189">
        <f>IF(ROW()-2&gt;='参数'!$B$2,STDEV(OFFSET(B189,1-'参数'!$B$2,0,'参数'!$B$2,1))*SQRT('参数'!$B$3),"")</f>
        <v/>
      </c>
      <c r="F189">
        <f>'对齐'!C189/'对齐'!C188-1</f>
        <v/>
      </c>
      <c r="G189">
        <f>'对齐'!C189/'对齐'!C$2*100</f>
        <v/>
      </c>
      <c r="H189">
        <f>'对齐'!C189/MAX('对齐'!C$2:'对齐'!C189)-1</f>
        <v/>
      </c>
      <c r="I189">
        <f>IF(ROW()-2&gt;='参数'!$B$2,STDEV(OFFSET(F189,1-'参数'!$B$2,0,'参数'!$B$2,1))*SQRT('参数'!$B$3),"")</f>
        <v/>
      </c>
    </row>
    <row r="190">
      <c r="A190">
        <f>'对齐'!A190</f>
        <v/>
      </c>
      <c r="B190">
        <f>'对齐'!B190/'对齐'!B189-1</f>
        <v/>
      </c>
      <c r="C190">
        <f>'对齐'!B190/'对齐'!B$2*100</f>
        <v/>
      </c>
      <c r="D190">
        <f>'对齐'!B190/MAX('对齐'!B$2:'对齐'!B190)-1</f>
        <v/>
      </c>
      <c r="E190">
        <f>IF(ROW()-2&gt;='参数'!$B$2,STDEV(OFFSET(B190,1-'参数'!$B$2,0,'参数'!$B$2,1))*SQRT('参数'!$B$3),"")</f>
        <v/>
      </c>
      <c r="F190">
        <f>'对齐'!C190/'对齐'!C189-1</f>
        <v/>
      </c>
      <c r="G190">
        <f>'对齐'!C190/'对齐'!C$2*100</f>
        <v/>
      </c>
      <c r="H190">
        <f>'对齐'!C190/MAX('对齐'!C$2:'对齐'!C190)-1</f>
        <v/>
      </c>
      <c r="I190">
        <f>IF(ROW()-2&gt;='参数'!$B$2,STDEV(OFFSET(F190,1-'参数'!$B$2,0,'参数'!$B$2,1))*SQRT('参数'!$B$3),"")</f>
        <v/>
      </c>
    </row>
    <row r="191">
      <c r="A191">
        <f>'对齐'!A191</f>
        <v/>
      </c>
      <c r="B191">
        <f>'对齐'!B191/'对齐'!B190-1</f>
        <v/>
      </c>
      <c r="C191">
        <f>'对齐'!B191/'对齐'!B$2*100</f>
        <v/>
      </c>
      <c r="D191">
        <f>'对齐'!B191/MAX('对齐'!B$2:'对齐'!B191)-1</f>
        <v/>
      </c>
      <c r="E191">
        <f>IF(ROW()-2&gt;='参数'!$B$2,STDEV(OFFSET(B191,1-'参数'!$B$2,0,'参数'!$B$2,1))*SQRT('参数'!$B$3),"")</f>
        <v/>
      </c>
      <c r="F191">
        <f>'对齐'!C191/'对齐'!C190-1</f>
        <v/>
      </c>
      <c r="G191">
        <f>'对齐'!C191/'对齐'!C$2*100</f>
        <v/>
      </c>
      <c r="H191">
        <f>'对齐'!C191/MAX('对齐'!C$2:'对齐'!C191)-1</f>
        <v/>
      </c>
      <c r="I191">
        <f>IF(ROW()-2&gt;='参数'!$B$2,STDEV(OFFSET(F191,1-'参数'!$B$2,0,'参数'!$B$2,1))*SQRT('参数'!$B$3),"")</f>
        <v/>
      </c>
    </row>
    <row r="192">
      <c r="A192">
        <f>'对齐'!A192</f>
        <v/>
      </c>
      <c r="B192">
        <f>'对齐'!B192/'对齐'!B191-1</f>
        <v/>
      </c>
      <c r="C192">
        <f>'对齐'!B192/'对齐'!B$2*100</f>
        <v/>
      </c>
      <c r="D192">
        <f>'对齐'!B192/MAX('对齐'!B$2:'对齐'!B192)-1</f>
        <v/>
      </c>
      <c r="E192">
        <f>IF(ROW()-2&gt;='参数'!$B$2,STDEV(OFFSET(B192,1-'参数'!$B$2,0,'参数'!$B$2,1))*SQRT('参数'!$B$3),"")</f>
        <v/>
      </c>
      <c r="F192">
        <f>'对齐'!C192/'对齐'!C191-1</f>
        <v/>
      </c>
      <c r="G192">
        <f>'对齐'!C192/'对齐'!C$2*100</f>
        <v/>
      </c>
      <c r="H192">
        <f>'对齐'!C192/MAX('对齐'!C$2:'对齐'!C192)-1</f>
        <v/>
      </c>
      <c r="I192">
        <f>IF(ROW()-2&gt;='参数'!$B$2,STDEV(OFFSET(F192,1-'参数'!$B$2,0,'参数'!$B$2,1))*SQRT('参数'!$B$3),"")</f>
        <v/>
      </c>
    </row>
    <row r="193">
      <c r="A193">
        <f>'对齐'!A193</f>
        <v/>
      </c>
      <c r="B193">
        <f>'对齐'!B193/'对齐'!B192-1</f>
        <v/>
      </c>
      <c r="C193">
        <f>'对齐'!B193/'对齐'!B$2*100</f>
        <v/>
      </c>
      <c r="D193">
        <f>'对齐'!B193/MAX('对齐'!B$2:'对齐'!B193)-1</f>
        <v/>
      </c>
      <c r="E193">
        <f>IF(ROW()-2&gt;='参数'!$B$2,STDEV(OFFSET(B193,1-'参数'!$B$2,0,'参数'!$B$2,1))*SQRT('参数'!$B$3),"")</f>
        <v/>
      </c>
      <c r="F193">
        <f>'对齐'!C193/'对齐'!C192-1</f>
        <v/>
      </c>
      <c r="G193">
        <f>'对齐'!C193/'对齐'!C$2*100</f>
        <v/>
      </c>
      <c r="H193">
        <f>'对齐'!C193/MAX('对齐'!C$2:'对齐'!C193)-1</f>
        <v/>
      </c>
      <c r="I193">
        <f>IF(ROW()-2&gt;='参数'!$B$2,STDEV(OFFSET(F193,1-'参数'!$B$2,0,'参数'!$B$2,1))*SQRT('参数'!$B$3),"")</f>
        <v/>
      </c>
    </row>
    <row r="194">
      <c r="A194">
        <f>'对齐'!A194</f>
        <v/>
      </c>
      <c r="B194">
        <f>'对齐'!B194/'对齐'!B193-1</f>
        <v/>
      </c>
      <c r="C194">
        <f>'对齐'!B194/'对齐'!B$2*100</f>
        <v/>
      </c>
      <c r="D194">
        <f>'对齐'!B194/MAX('对齐'!B$2:'对齐'!B194)-1</f>
        <v/>
      </c>
      <c r="E194">
        <f>IF(ROW()-2&gt;='参数'!$B$2,STDEV(OFFSET(B194,1-'参数'!$B$2,0,'参数'!$B$2,1))*SQRT('参数'!$B$3),"")</f>
        <v/>
      </c>
      <c r="F194">
        <f>'对齐'!C194/'对齐'!C193-1</f>
        <v/>
      </c>
      <c r="G194">
        <f>'对齐'!C194/'对齐'!C$2*100</f>
        <v/>
      </c>
      <c r="H194">
        <f>'对齐'!C194/MAX('对齐'!C$2:'对齐'!C194)-1</f>
        <v/>
      </c>
      <c r="I194">
        <f>IF(ROW()-2&gt;='参数'!$B$2,STDEV(OFFSET(F194,1-'参数'!$B$2,0,'参数'!$B$2,1))*SQRT('参数'!$B$3),"")</f>
        <v/>
      </c>
    </row>
    <row r="195">
      <c r="A195">
        <f>'对齐'!A195</f>
        <v/>
      </c>
      <c r="B195">
        <f>'对齐'!B195/'对齐'!B194-1</f>
        <v/>
      </c>
      <c r="C195">
        <f>'对齐'!B195/'对齐'!B$2*100</f>
        <v/>
      </c>
      <c r="D195">
        <f>'对齐'!B195/MAX('对齐'!B$2:'对齐'!B195)-1</f>
        <v/>
      </c>
      <c r="E195">
        <f>IF(ROW()-2&gt;='参数'!$B$2,STDEV(OFFSET(B195,1-'参数'!$B$2,0,'参数'!$B$2,1))*SQRT('参数'!$B$3),"")</f>
        <v/>
      </c>
      <c r="F195">
        <f>'对齐'!C195/'对齐'!C194-1</f>
        <v/>
      </c>
      <c r="G195">
        <f>'对齐'!C195/'对齐'!C$2*100</f>
        <v/>
      </c>
      <c r="H195">
        <f>'对齐'!C195/MAX('对齐'!C$2:'对齐'!C195)-1</f>
        <v/>
      </c>
      <c r="I195">
        <f>IF(ROW()-2&gt;='参数'!$B$2,STDEV(OFFSET(F195,1-'参数'!$B$2,0,'参数'!$B$2,1))*SQRT('参数'!$B$3),"")</f>
        <v/>
      </c>
    </row>
    <row r="196">
      <c r="A196">
        <f>'对齐'!A196</f>
        <v/>
      </c>
      <c r="B196">
        <f>'对齐'!B196/'对齐'!B195-1</f>
        <v/>
      </c>
      <c r="C196">
        <f>'对齐'!B196/'对齐'!B$2*100</f>
        <v/>
      </c>
      <c r="D196">
        <f>'对齐'!B196/MAX('对齐'!B$2:'对齐'!B196)-1</f>
        <v/>
      </c>
      <c r="E196">
        <f>IF(ROW()-2&gt;='参数'!$B$2,STDEV(OFFSET(B196,1-'参数'!$B$2,0,'参数'!$B$2,1))*SQRT('参数'!$B$3),"")</f>
        <v/>
      </c>
      <c r="F196">
        <f>'对齐'!C196/'对齐'!C195-1</f>
        <v/>
      </c>
      <c r="G196">
        <f>'对齐'!C196/'对齐'!C$2*100</f>
        <v/>
      </c>
      <c r="H196">
        <f>'对齐'!C196/MAX('对齐'!C$2:'对齐'!C196)-1</f>
        <v/>
      </c>
      <c r="I196">
        <f>IF(ROW()-2&gt;='参数'!$B$2,STDEV(OFFSET(F196,1-'参数'!$B$2,0,'参数'!$B$2,1))*SQRT('参数'!$B$3),"")</f>
        <v/>
      </c>
    </row>
    <row r="197">
      <c r="A197">
        <f>'对齐'!A197</f>
        <v/>
      </c>
      <c r="B197">
        <f>'对齐'!B197/'对齐'!B196-1</f>
        <v/>
      </c>
      <c r="C197">
        <f>'对齐'!B197/'对齐'!B$2*100</f>
        <v/>
      </c>
      <c r="D197">
        <f>'对齐'!B197/MAX('对齐'!B$2:'对齐'!B197)-1</f>
        <v/>
      </c>
      <c r="E197">
        <f>IF(ROW()-2&gt;='参数'!$B$2,STDEV(OFFSET(B197,1-'参数'!$B$2,0,'参数'!$B$2,1))*SQRT('参数'!$B$3),"")</f>
        <v/>
      </c>
      <c r="F197">
        <f>'对齐'!C197/'对齐'!C196-1</f>
        <v/>
      </c>
      <c r="G197">
        <f>'对齐'!C197/'对齐'!C$2*100</f>
        <v/>
      </c>
      <c r="H197">
        <f>'对齐'!C197/MAX('对齐'!C$2:'对齐'!C197)-1</f>
        <v/>
      </c>
      <c r="I197">
        <f>IF(ROW()-2&gt;='参数'!$B$2,STDEV(OFFSET(F197,1-'参数'!$B$2,0,'参数'!$B$2,1))*SQRT('参数'!$B$3),"")</f>
        <v/>
      </c>
    </row>
    <row r="198">
      <c r="A198">
        <f>'对齐'!A198</f>
        <v/>
      </c>
      <c r="B198">
        <f>'对齐'!B198/'对齐'!B197-1</f>
        <v/>
      </c>
      <c r="C198">
        <f>'对齐'!B198/'对齐'!B$2*100</f>
        <v/>
      </c>
      <c r="D198">
        <f>'对齐'!B198/MAX('对齐'!B$2:'对齐'!B198)-1</f>
        <v/>
      </c>
      <c r="E198">
        <f>IF(ROW()-2&gt;='参数'!$B$2,STDEV(OFFSET(B198,1-'参数'!$B$2,0,'参数'!$B$2,1))*SQRT('参数'!$B$3),"")</f>
        <v/>
      </c>
      <c r="F198">
        <f>'对齐'!C198/'对齐'!C197-1</f>
        <v/>
      </c>
      <c r="G198">
        <f>'对齐'!C198/'对齐'!C$2*100</f>
        <v/>
      </c>
      <c r="H198">
        <f>'对齐'!C198/MAX('对齐'!C$2:'对齐'!C198)-1</f>
        <v/>
      </c>
      <c r="I198">
        <f>IF(ROW()-2&gt;='参数'!$B$2,STDEV(OFFSET(F198,1-'参数'!$B$2,0,'参数'!$B$2,1))*SQRT('参数'!$B$3),"")</f>
        <v/>
      </c>
    </row>
    <row r="199">
      <c r="A199">
        <f>'对齐'!A199</f>
        <v/>
      </c>
      <c r="B199">
        <f>'对齐'!B199/'对齐'!B198-1</f>
        <v/>
      </c>
      <c r="C199">
        <f>'对齐'!B199/'对齐'!B$2*100</f>
        <v/>
      </c>
      <c r="D199">
        <f>'对齐'!B199/MAX('对齐'!B$2:'对齐'!B199)-1</f>
        <v/>
      </c>
      <c r="E199">
        <f>IF(ROW()-2&gt;='参数'!$B$2,STDEV(OFFSET(B199,1-'参数'!$B$2,0,'参数'!$B$2,1))*SQRT('参数'!$B$3),"")</f>
        <v/>
      </c>
      <c r="F199">
        <f>'对齐'!C199/'对齐'!C198-1</f>
        <v/>
      </c>
      <c r="G199">
        <f>'对齐'!C199/'对齐'!C$2*100</f>
        <v/>
      </c>
      <c r="H199">
        <f>'对齐'!C199/MAX('对齐'!C$2:'对齐'!C199)-1</f>
        <v/>
      </c>
      <c r="I199">
        <f>IF(ROW()-2&gt;='参数'!$B$2,STDEV(OFFSET(F199,1-'参数'!$B$2,0,'参数'!$B$2,1))*SQRT('参数'!$B$3),"")</f>
        <v/>
      </c>
    </row>
    <row r="200">
      <c r="A200">
        <f>'对齐'!A200</f>
        <v/>
      </c>
      <c r="B200">
        <f>'对齐'!B200/'对齐'!B199-1</f>
        <v/>
      </c>
      <c r="C200">
        <f>'对齐'!B200/'对齐'!B$2*100</f>
        <v/>
      </c>
      <c r="D200">
        <f>'对齐'!B200/MAX('对齐'!B$2:'对齐'!B200)-1</f>
        <v/>
      </c>
      <c r="E200">
        <f>IF(ROW()-2&gt;='参数'!$B$2,STDEV(OFFSET(B200,1-'参数'!$B$2,0,'参数'!$B$2,1))*SQRT('参数'!$B$3),"")</f>
        <v/>
      </c>
      <c r="F200">
        <f>'对齐'!C200/'对齐'!C199-1</f>
        <v/>
      </c>
      <c r="G200">
        <f>'对齐'!C200/'对齐'!C$2*100</f>
        <v/>
      </c>
      <c r="H200">
        <f>'对齐'!C200/MAX('对齐'!C$2:'对齐'!C200)-1</f>
        <v/>
      </c>
      <c r="I200">
        <f>IF(ROW()-2&gt;='参数'!$B$2,STDEV(OFFSET(F200,1-'参数'!$B$2,0,'参数'!$B$2,1))*SQRT('参数'!$B$3),"")</f>
        <v/>
      </c>
    </row>
    <row r="201">
      <c r="A201">
        <f>'对齐'!A201</f>
        <v/>
      </c>
      <c r="B201">
        <f>'对齐'!B201/'对齐'!B200-1</f>
        <v/>
      </c>
      <c r="C201">
        <f>'对齐'!B201/'对齐'!B$2*100</f>
        <v/>
      </c>
      <c r="D201">
        <f>'对齐'!B201/MAX('对齐'!B$2:'对齐'!B201)-1</f>
        <v/>
      </c>
      <c r="E201">
        <f>IF(ROW()-2&gt;='参数'!$B$2,STDEV(OFFSET(B201,1-'参数'!$B$2,0,'参数'!$B$2,1))*SQRT('参数'!$B$3),"")</f>
        <v/>
      </c>
      <c r="F201">
        <f>'对齐'!C201/'对齐'!C200-1</f>
        <v/>
      </c>
      <c r="G201">
        <f>'对齐'!C201/'对齐'!C$2*100</f>
        <v/>
      </c>
      <c r="H201">
        <f>'对齐'!C201/MAX('对齐'!C$2:'对齐'!C201)-1</f>
        <v/>
      </c>
      <c r="I201">
        <f>IF(ROW()-2&gt;='参数'!$B$2,STDEV(OFFSET(F201,1-'参数'!$B$2,0,'参数'!$B$2,1))*SQRT('参数'!$B$3),"")</f>
        <v/>
      </c>
    </row>
    <row r="202">
      <c r="A202">
        <f>'对齐'!A202</f>
        <v/>
      </c>
      <c r="B202">
        <f>'对齐'!B202/'对齐'!B201-1</f>
        <v/>
      </c>
      <c r="C202">
        <f>'对齐'!B202/'对齐'!B$2*100</f>
        <v/>
      </c>
      <c r="D202">
        <f>'对齐'!B202/MAX('对齐'!B$2:'对齐'!B202)-1</f>
        <v/>
      </c>
      <c r="E202">
        <f>IF(ROW()-2&gt;='参数'!$B$2,STDEV(OFFSET(B202,1-'参数'!$B$2,0,'参数'!$B$2,1))*SQRT('参数'!$B$3),"")</f>
        <v/>
      </c>
      <c r="F202">
        <f>'对齐'!C202/'对齐'!C201-1</f>
        <v/>
      </c>
      <c r="G202">
        <f>'对齐'!C202/'对齐'!C$2*100</f>
        <v/>
      </c>
      <c r="H202">
        <f>'对齐'!C202/MAX('对齐'!C$2:'对齐'!C202)-1</f>
        <v/>
      </c>
      <c r="I202">
        <f>IF(ROW()-2&gt;='参数'!$B$2,STDEV(OFFSET(F202,1-'参数'!$B$2,0,'参数'!$B$2,1))*SQRT('参数'!$B$3),"")</f>
        <v/>
      </c>
    </row>
    <row r="203">
      <c r="A203">
        <f>'对齐'!A203</f>
        <v/>
      </c>
      <c r="B203">
        <f>'对齐'!B203/'对齐'!B202-1</f>
        <v/>
      </c>
      <c r="C203">
        <f>'对齐'!B203/'对齐'!B$2*100</f>
        <v/>
      </c>
      <c r="D203">
        <f>'对齐'!B203/MAX('对齐'!B$2:'对齐'!B203)-1</f>
        <v/>
      </c>
      <c r="E203">
        <f>IF(ROW()-2&gt;='参数'!$B$2,STDEV(OFFSET(B203,1-'参数'!$B$2,0,'参数'!$B$2,1))*SQRT('参数'!$B$3),"")</f>
        <v/>
      </c>
      <c r="F203">
        <f>'对齐'!C203/'对齐'!C202-1</f>
        <v/>
      </c>
      <c r="G203">
        <f>'对齐'!C203/'对齐'!C$2*100</f>
        <v/>
      </c>
      <c r="H203">
        <f>'对齐'!C203/MAX('对齐'!C$2:'对齐'!C203)-1</f>
        <v/>
      </c>
      <c r="I203">
        <f>IF(ROW()-2&gt;='参数'!$B$2,STDEV(OFFSET(F203,1-'参数'!$B$2,0,'参数'!$B$2,1))*SQRT('参数'!$B$3),"")</f>
        <v/>
      </c>
    </row>
    <row r="204">
      <c r="A204">
        <f>'对齐'!A204</f>
        <v/>
      </c>
      <c r="B204">
        <f>'对齐'!B204/'对齐'!B203-1</f>
        <v/>
      </c>
      <c r="C204">
        <f>'对齐'!B204/'对齐'!B$2*100</f>
        <v/>
      </c>
      <c r="D204">
        <f>'对齐'!B204/MAX('对齐'!B$2:'对齐'!B204)-1</f>
        <v/>
      </c>
      <c r="E204">
        <f>IF(ROW()-2&gt;='参数'!$B$2,STDEV(OFFSET(B204,1-'参数'!$B$2,0,'参数'!$B$2,1))*SQRT('参数'!$B$3),"")</f>
        <v/>
      </c>
      <c r="F204">
        <f>'对齐'!C204/'对齐'!C203-1</f>
        <v/>
      </c>
      <c r="G204">
        <f>'对齐'!C204/'对齐'!C$2*100</f>
        <v/>
      </c>
      <c r="H204">
        <f>'对齐'!C204/MAX('对齐'!C$2:'对齐'!C204)-1</f>
        <v/>
      </c>
      <c r="I204">
        <f>IF(ROW()-2&gt;='参数'!$B$2,STDEV(OFFSET(F204,1-'参数'!$B$2,0,'参数'!$B$2,1))*SQRT('参数'!$B$3),"")</f>
        <v/>
      </c>
    </row>
    <row r="205">
      <c r="A205">
        <f>'对齐'!A205</f>
        <v/>
      </c>
      <c r="B205">
        <f>'对齐'!B205/'对齐'!B204-1</f>
        <v/>
      </c>
      <c r="C205">
        <f>'对齐'!B205/'对齐'!B$2*100</f>
        <v/>
      </c>
      <c r="D205">
        <f>'对齐'!B205/MAX('对齐'!B$2:'对齐'!B205)-1</f>
        <v/>
      </c>
      <c r="E205">
        <f>IF(ROW()-2&gt;='参数'!$B$2,STDEV(OFFSET(B205,1-'参数'!$B$2,0,'参数'!$B$2,1))*SQRT('参数'!$B$3),"")</f>
        <v/>
      </c>
      <c r="F205">
        <f>'对齐'!C205/'对齐'!C204-1</f>
        <v/>
      </c>
      <c r="G205">
        <f>'对齐'!C205/'对齐'!C$2*100</f>
        <v/>
      </c>
      <c r="H205">
        <f>'对齐'!C205/MAX('对齐'!C$2:'对齐'!C205)-1</f>
        <v/>
      </c>
      <c r="I205">
        <f>IF(ROW()-2&gt;='参数'!$B$2,STDEV(OFFSET(F205,1-'参数'!$B$2,0,'参数'!$B$2,1))*SQRT('参数'!$B$3),"")</f>
        <v/>
      </c>
    </row>
    <row r="206">
      <c r="A206">
        <f>'对齐'!A206</f>
        <v/>
      </c>
      <c r="B206">
        <f>'对齐'!B206/'对齐'!B205-1</f>
        <v/>
      </c>
      <c r="C206">
        <f>'对齐'!B206/'对齐'!B$2*100</f>
        <v/>
      </c>
      <c r="D206">
        <f>'对齐'!B206/MAX('对齐'!B$2:'对齐'!B206)-1</f>
        <v/>
      </c>
      <c r="E206">
        <f>IF(ROW()-2&gt;='参数'!$B$2,STDEV(OFFSET(B206,1-'参数'!$B$2,0,'参数'!$B$2,1))*SQRT('参数'!$B$3),"")</f>
        <v/>
      </c>
      <c r="F206">
        <f>'对齐'!C206/'对齐'!C205-1</f>
        <v/>
      </c>
      <c r="G206">
        <f>'对齐'!C206/'对齐'!C$2*100</f>
        <v/>
      </c>
      <c r="H206">
        <f>'对齐'!C206/MAX('对齐'!C$2:'对齐'!C206)-1</f>
        <v/>
      </c>
      <c r="I206">
        <f>IF(ROW()-2&gt;='参数'!$B$2,STDEV(OFFSET(F206,1-'参数'!$B$2,0,'参数'!$B$2,1))*SQRT('参数'!$B$3),"")</f>
        <v/>
      </c>
    </row>
    <row r="207">
      <c r="A207">
        <f>'对齐'!A207</f>
        <v/>
      </c>
      <c r="B207">
        <f>'对齐'!B207/'对齐'!B206-1</f>
        <v/>
      </c>
      <c r="C207">
        <f>'对齐'!B207/'对齐'!B$2*100</f>
        <v/>
      </c>
      <c r="D207">
        <f>'对齐'!B207/MAX('对齐'!B$2:'对齐'!B207)-1</f>
        <v/>
      </c>
      <c r="E207">
        <f>IF(ROW()-2&gt;='参数'!$B$2,STDEV(OFFSET(B207,1-'参数'!$B$2,0,'参数'!$B$2,1))*SQRT('参数'!$B$3),"")</f>
        <v/>
      </c>
      <c r="F207">
        <f>'对齐'!C207/'对齐'!C206-1</f>
        <v/>
      </c>
      <c r="G207">
        <f>'对齐'!C207/'对齐'!C$2*100</f>
        <v/>
      </c>
      <c r="H207">
        <f>'对齐'!C207/MAX('对齐'!C$2:'对齐'!C207)-1</f>
        <v/>
      </c>
      <c r="I207">
        <f>IF(ROW()-2&gt;='参数'!$B$2,STDEV(OFFSET(F207,1-'参数'!$B$2,0,'参数'!$B$2,1))*SQRT('参数'!$B$3),"")</f>
        <v/>
      </c>
    </row>
    <row r="208">
      <c r="A208">
        <f>'对齐'!A208</f>
        <v/>
      </c>
      <c r="B208">
        <f>'对齐'!B208/'对齐'!B207-1</f>
        <v/>
      </c>
      <c r="C208">
        <f>'对齐'!B208/'对齐'!B$2*100</f>
        <v/>
      </c>
      <c r="D208">
        <f>'对齐'!B208/MAX('对齐'!B$2:'对齐'!B208)-1</f>
        <v/>
      </c>
      <c r="E208">
        <f>IF(ROW()-2&gt;='参数'!$B$2,STDEV(OFFSET(B208,1-'参数'!$B$2,0,'参数'!$B$2,1))*SQRT('参数'!$B$3),"")</f>
        <v/>
      </c>
      <c r="F208">
        <f>'对齐'!C208/'对齐'!C207-1</f>
        <v/>
      </c>
      <c r="G208">
        <f>'对齐'!C208/'对齐'!C$2*100</f>
        <v/>
      </c>
      <c r="H208">
        <f>'对齐'!C208/MAX('对齐'!C$2:'对齐'!C208)-1</f>
        <v/>
      </c>
      <c r="I208">
        <f>IF(ROW()-2&gt;='参数'!$B$2,STDEV(OFFSET(F208,1-'参数'!$B$2,0,'参数'!$B$2,1))*SQRT('参数'!$B$3),"")</f>
        <v/>
      </c>
    </row>
    <row r="209">
      <c r="A209">
        <f>'对齐'!A209</f>
        <v/>
      </c>
      <c r="B209">
        <f>'对齐'!B209/'对齐'!B208-1</f>
        <v/>
      </c>
      <c r="C209">
        <f>'对齐'!B209/'对齐'!B$2*100</f>
        <v/>
      </c>
      <c r="D209">
        <f>'对齐'!B209/MAX('对齐'!B$2:'对齐'!B209)-1</f>
        <v/>
      </c>
      <c r="E209">
        <f>IF(ROW()-2&gt;='参数'!$B$2,STDEV(OFFSET(B209,1-'参数'!$B$2,0,'参数'!$B$2,1))*SQRT('参数'!$B$3),"")</f>
        <v/>
      </c>
      <c r="F209">
        <f>'对齐'!C209/'对齐'!C208-1</f>
        <v/>
      </c>
      <c r="G209">
        <f>'对齐'!C209/'对齐'!C$2*100</f>
        <v/>
      </c>
      <c r="H209">
        <f>'对齐'!C209/MAX('对齐'!C$2:'对齐'!C209)-1</f>
        <v/>
      </c>
      <c r="I209">
        <f>IF(ROW()-2&gt;='参数'!$B$2,STDEV(OFFSET(F209,1-'参数'!$B$2,0,'参数'!$B$2,1))*SQRT('参数'!$B$3),"")</f>
        <v/>
      </c>
    </row>
    <row r="210">
      <c r="A210">
        <f>'对齐'!A210</f>
        <v/>
      </c>
      <c r="B210">
        <f>'对齐'!B210/'对齐'!B209-1</f>
        <v/>
      </c>
      <c r="C210">
        <f>'对齐'!B210/'对齐'!B$2*100</f>
        <v/>
      </c>
      <c r="D210">
        <f>'对齐'!B210/MAX('对齐'!B$2:'对齐'!B210)-1</f>
        <v/>
      </c>
      <c r="E210">
        <f>IF(ROW()-2&gt;='参数'!$B$2,STDEV(OFFSET(B210,1-'参数'!$B$2,0,'参数'!$B$2,1))*SQRT('参数'!$B$3),"")</f>
        <v/>
      </c>
      <c r="F210">
        <f>'对齐'!C210/'对齐'!C209-1</f>
        <v/>
      </c>
      <c r="G210">
        <f>'对齐'!C210/'对齐'!C$2*100</f>
        <v/>
      </c>
      <c r="H210">
        <f>'对齐'!C210/MAX('对齐'!C$2:'对齐'!C210)-1</f>
        <v/>
      </c>
      <c r="I210">
        <f>IF(ROW()-2&gt;='参数'!$B$2,STDEV(OFFSET(F210,1-'参数'!$B$2,0,'参数'!$B$2,1))*SQRT('参数'!$B$3),"")</f>
        <v/>
      </c>
    </row>
    <row r="211">
      <c r="A211">
        <f>'对齐'!A211</f>
        <v/>
      </c>
      <c r="B211">
        <f>'对齐'!B211/'对齐'!B210-1</f>
        <v/>
      </c>
      <c r="C211">
        <f>'对齐'!B211/'对齐'!B$2*100</f>
        <v/>
      </c>
      <c r="D211">
        <f>'对齐'!B211/MAX('对齐'!B$2:'对齐'!B211)-1</f>
        <v/>
      </c>
      <c r="E211">
        <f>IF(ROW()-2&gt;='参数'!$B$2,STDEV(OFFSET(B211,1-'参数'!$B$2,0,'参数'!$B$2,1))*SQRT('参数'!$B$3),"")</f>
        <v/>
      </c>
      <c r="F211">
        <f>'对齐'!C211/'对齐'!C210-1</f>
        <v/>
      </c>
      <c r="G211">
        <f>'对齐'!C211/'对齐'!C$2*100</f>
        <v/>
      </c>
      <c r="H211">
        <f>'对齐'!C211/MAX('对齐'!C$2:'对齐'!C211)-1</f>
        <v/>
      </c>
      <c r="I211">
        <f>IF(ROW()-2&gt;='参数'!$B$2,STDEV(OFFSET(F211,1-'参数'!$B$2,0,'参数'!$B$2,1))*SQRT('参数'!$B$3),"")</f>
        <v/>
      </c>
    </row>
    <row r="212">
      <c r="A212">
        <f>'对齐'!A212</f>
        <v/>
      </c>
      <c r="B212">
        <f>'对齐'!B212/'对齐'!B211-1</f>
        <v/>
      </c>
      <c r="C212">
        <f>'对齐'!B212/'对齐'!B$2*100</f>
        <v/>
      </c>
      <c r="D212">
        <f>'对齐'!B212/MAX('对齐'!B$2:'对齐'!B212)-1</f>
        <v/>
      </c>
      <c r="E212">
        <f>IF(ROW()-2&gt;='参数'!$B$2,STDEV(OFFSET(B212,1-'参数'!$B$2,0,'参数'!$B$2,1))*SQRT('参数'!$B$3),"")</f>
        <v/>
      </c>
      <c r="F212">
        <f>'对齐'!C212/'对齐'!C211-1</f>
        <v/>
      </c>
      <c r="G212">
        <f>'对齐'!C212/'对齐'!C$2*100</f>
        <v/>
      </c>
      <c r="H212">
        <f>'对齐'!C212/MAX('对齐'!C$2:'对齐'!C212)-1</f>
        <v/>
      </c>
      <c r="I212">
        <f>IF(ROW()-2&gt;='参数'!$B$2,STDEV(OFFSET(F212,1-'参数'!$B$2,0,'参数'!$B$2,1))*SQRT('参数'!$B$3),"")</f>
        <v/>
      </c>
    </row>
    <row r="213">
      <c r="A213">
        <f>'对齐'!A213</f>
        <v/>
      </c>
      <c r="B213">
        <f>'对齐'!B213/'对齐'!B212-1</f>
        <v/>
      </c>
      <c r="C213">
        <f>'对齐'!B213/'对齐'!B$2*100</f>
        <v/>
      </c>
      <c r="D213">
        <f>'对齐'!B213/MAX('对齐'!B$2:'对齐'!B213)-1</f>
        <v/>
      </c>
      <c r="E213">
        <f>IF(ROW()-2&gt;='参数'!$B$2,STDEV(OFFSET(B213,1-'参数'!$B$2,0,'参数'!$B$2,1))*SQRT('参数'!$B$3),"")</f>
        <v/>
      </c>
      <c r="F213">
        <f>'对齐'!C213/'对齐'!C212-1</f>
        <v/>
      </c>
      <c r="G213">
        <f>'对齐'!C213/'对齐'!C$2*100</f>
        <v/>
      </c>
      <c r="H213">
        <f>'对齐'!C213/MAX('对齐'!C$2:'对齐'!C213)-1</f>
        <v/>
      </c>
      <c r="I213">
        <f>IF(ROW()-2&gt;='参数'!$B$2,STDEV(OFFSET(F213,1-'参数'!$B$2,0,'参数'!$B$2,1))*SQRT('参数'!$B$3),"")</f>
        <v/>
      </c>
    </row>
    <row r="214">
      <c r="A214">
        <f>'对齐'!A214</f>
        <v/>
      </c>
      <c r="B214">
        <f>'对齐'!B214/'对齐'!B213-1</f>
        <v/>
      </c>
      <c r="C214">
        <f>'对齐'!B214/'对齐'!B$2*100</f>
        <v/>
      </c>
      <c r="D214">
        <f>'对齐'!B214/MAX('对齐'!B$2:'对齐'!B214)-1</f>
        <v/>
      </c>
      <c r="E214">
        <f>IF(ROW()-2&gt;='参数'!$B$2,STDEV(OFFSET(B214,1-'参数'!$B$2,0,'参数'!$B$2,1))*SQRT('参数'!$B$3),"")</f>
        <v/>
      </c>
      <c r="F214">
        <f>'对齐'!C214/'对齐'!C213-1</f>
        <v/>
      </c>
      <c r="G214">
        <f>'对齐'!C214/'对齐'!C$2*100</f>
        <v/>
      </c>
      <c r="H214">
        <f>'对齐'!C214/MAX('对齐'!C$2:'对齐'!C214)-1</f>
        <v/>
      </c>
      <c r="I214">
        <f>IF(ROW()-2&gt;='参数'!$B$2,STDEV(OFFSET(F214,1-'参数'!$B$2,0,'参数'!$B$2,1))*SQRT('参数'!$B$3),"")</f>
        <v/>
      </c>
    </row>
    <row r="215">
      <c r="A215">
        <f>'对齐'!A215</f>
        <v/>
      </c>
      <c r="B215">
        <f>'对齐'!B215/'对齐'!B214-1</f>
        <v/>
      </c>
      <c r="C215">
        <f>'对齐'!B215/'对齐'!B$2*100</f>
        <v/>
      </c>
      <c r="D215">
        <f>'对齐'!B215/MAX('对齐'!B$2:'对齐'!B215)-1</f>
        <v/>
      </c>
      <c r="E215">
        <f>IF(ROW()-2&gt;='参数'!$B$2,STDEV(OFFSET(B215,1-'参数'!$B$2,0,'参数'!$B$2,1))*SQRT('参数'!$B$3),"")</f>
        <v/>
      </c>
      <c r="F215">
        <f>'对齐'!C215/'对齐'!C214-1</f>
        <v/>
      </c>
      <c r="G215">
        <f>'对齐'!C215/'对齐'!C$2*100</f>
        <v/>
      </c>
      <c r="H215">
        <f>'对齐'!C215/MAX('对齐'!C$2:'对齐'!C215)-1</f>
        <v/>
      </c>
      <c r="I215">
        <f>IF(ROW()-2&gt;='参数'!$B$2,STDEV(OFFSET(F215,1-'参数'!$B$2,0,'参数'!$B$2,1))*SQRT('参数'!$B$3),"")</f>
        <v/>
      </c>
    </row>
    <row r="216">
      <c r="A216">
        <f>'对齐'!A216</f>
        <v/>
      </c>
      <c r="B216">
        <f>'对齐'!B216/'对齐'!B215-1</f>
        <v/>
      </c>
      <c r="C216">
        <f>'对齐'!B216/'对齐'!B$2*100</f>
        <v/>
      </c>
      <c r="D216">
        <f>'对齐'!B216/MAX('对齐'!B$2:'对齐'!B216)-1</f>
        <v/>
      </c>
      <c r="E216">
        <f>IF(ROW()-2&gt;='参数'!$B$2,STDEV(OFFSET(B216,1-'参数'!$B$2,0,'参数'!$B$2,1))*SQRT('参数'!$B$3),"")</f>
        <v/>
      </c>
      <c r="F216">
        <f>'对齐'!C216/'对齐'!C215-1</f>
        <v/>
      </c>
      <c r="G216">
        <f>'对齐'!C216/'对齐'!C$2*100</f>
        <v/>
      </c>
      <c r="H216">
        <f>'对齐'!C216/MAX('对齐'!C$2:'对齐'!C216)-1</f>
        <v/>
      </c>
      <c r="I216">
        <f>IF(ROW()-2&gt;='参数'!$B$2,STDEV(OFFSET(F216,1-'参数'!$B$2,0,'参数'!$B$2,1))*SQRT('参数'!$B$3),"")</f>
        <v/>
      </c>
    </row>
    <row r="217">
      <c r="A217">
        <f>'对齐'!A217</f>
        <v/>
      </c>
      <c r="B217">
        <f>'对齐'!B217/'对齐'!B216-1</f>
        <v/>
      </c>
      <c r="C217">
        <f>'对齐'!B217/'对齐'!B$2*100</f>
        <v/>
      </c>
      <c r="D217">
        <f>'对齐'!B217/MAX('对齐'!B$2:'对齐'!B217)-1</f>
        <v/>
      </c>
      <c r="E217">
        <f>IF(ROW()-2&gt;='参数'!$B$2,STDEV(OFFSET(B217,1-'参数'!$B$2,0,'参数'!$B$2,1))*SQRT('参数'!$B$3),"")</f>
        <v/>
      </c>
      <c r="F217">
        <f>'对齐'!C217/'对齐'!C216-1</f>
        <v/>
      </c>
      <c r="G217">
        <f>'对齐'!C217/'对齐'!C$2*100</f>
        <v/>
      </c>
      <c r="H217">
        <f>'对齐'!C217/MAX('对齐'!C$2:'对齐'!C217)-1</f>
        <v/>
      </c>
      <c r="I217">
        <f>IF(ROW()-2&gt;='参数'!$B$2,STDEV(OFFSET(F217,1-'参数'!$B$2,0,'参数'!$B$2,1))*SQRT('参数'!$B$3),"")</f>
        <v/>
      </c>
    </row>
    <row r="218">
      <c r="A218">
        <f>'对齐'!A218</f>
        <v/>
      </c>
      <c r="B218">
        <f>'对齐'!B218/'对齐'!B217-1</f>
        <v/>
      </c>
      <c r="C218">
        <f>'对齐'!B218/'对齐'!B$2*100</f>
        <v/>
      </c>
      <c r="D218">
        <f>'对齐'!B218/MAX('对齐'!B$2:'对齐'!B218)-1</f>
        <v/>
      </c>
      <c r="E218">
        <f>IF(ROW()-2&gt;='参数'!$B$2,STDEV(OFFSET(B218,1-'参数'!$B$2,0,'参数'!$B$2,1))*SQRT('参数'!$B$3),"")</f>
        <v/>
      </c>
      <c r="F218">
        <f>'对齐'!C218/'对齐'!C217-1</f>
        <v/>
      </c>
      <c r="G218">
        <f>'对齐'!C218/'对齐'!C$2*100</f>
        <v/>
      </c>
      <c r="H218">
        <f>'对齐'!C218/MAX('对齐'!C$2:'对齐'!C218)-1</f>
        <v/>
      </c>
      <c r="I218">
        <f>IF(ROW()-2&gt;='参数'!$B$2,STDEV(OFFSET(F218,1-'参数'!$B$2,0,'参数'!$B$2,1))*SQRT('参数'!$B$3),"")</f>
        <v/>
      </c>
    </row>
    <row r="219">
      <c r="A219">
        <f>'对齐'!A219</f>
        <v/>
      </c>
      <c r="B219">
        <f>'对齐'!B219/'对齐'!B218-1</f>
        <v/>
      </c>
      <c r="C219">
        <f>'对齐'!B219/'对齐'!B$2*100</f>
        <v/>
      </c>
      <c r="D219">
        <f>'对齐'!B219/MAX('对齐'!B$2:'对齐'!B219)-1</f>
        <v/>
      </c>
      <c r="E219">
        <f>IF(ROW()-2&gt;='参数'!$B$2,STDEV(OFFSET(B219,1-'参数'!$B$2,0,'参数'!$B$2,1))*SQRT('参数'!$B$3),"")</f>
        <v/>
      </c>
      <c r="F219">
        <f>'对齐'!C219/'对齐'!C218-1</f>
        <v/>
      </c>
      <c r="G219">
        <f>'对齐'!C219/'对齐'!C$2*100</f>
        <v/>
      </c>
      <c r="H219">
        <f>'对齐'!C219/MAX('对齐'!C$2:'对齐'!C219)-1</f>
        <v/>
      </c>
      <c r="I219">
        <f>IF(ROW()-2&gt;='参数'!$B$2,STDEV(OFFSET(F219,1-'参数'!$B$2,0,'参数'!$B$2,1))*SQRT('参数'!$B$3),"")</f>
        <v/>
      </c>
    </row>
    <row r="220">
      <c r="A220">
        <f>'对齐'!A220</f>
        <v/>
      </c>
      <c r="B220">
        <f>'对齐'!B220/'对齐'!B219-1</f>
        <v/>
      </c>
      <c r="C220">
        <f>'对齐'!B220/'对齐'!B$2*100</f>
        <v/>
      </c>
      <c r="D220">
        <f>'对齐'!B220/MAX('对齐'!B$2:'对齐'!B220)-1</f>
        <v/>
      </c>
      <c r="E220">
        <f>IF(ROW()-2&gt;='参数'!$B$2,STDEV(OFFSET(B220,1-'参数'!$B$2,0,'参数'!$B$2,1))*SQRT('参数'!$B$3),"")</f>
        <v/>
      </c>
      <c r="F220">
        <f>'对齐'!C220/'对齐'!C219-1</f>
        <v/>
      </c>
      <c r="G220">
        <f>'对齐'!C220/'对齐'!C$2*100</f>
        <v/>
      </c>
      <c r="H220">
        <f>'对齐'!C220/MAX('对齐'!C$2:'对齐'!C220)-1</f>
        <v/>
      </c>
      <c r="I220">
        <f>IF(ROW()-2&gt;='参数'!$B$2,STDEV(OFFSET(F220,1-'参数'!$B$2,0,'参数'!$B$2,1))*SQRT('参数'!$B$3),"")</f>
        <v/>
      </c>
    </row>
    <row r="221">
      <c r="A221">
        <f>'对齐'!A221</f>
        <v/>
      </c>
      <c r="B221">
        <f>'对齐'!B221/'对齐'!B220-1</f>
        <v/>
      </c>
      <c r="C221">
        <f>'对齐'!B221/'对齐'!B$2*100</f>
        <v/>
      </c>
      <c r="D221">
        <f>'对齐'!B221/MAX('对齐'!B$2:'对齐'!B221)-1</f>
        <v/>
      </c>
      <c r="E221">
        <f>IF(ROW()-2&gt;='参数'!$B$2,STDEV(OFFSET(B221,1-'参数'!$B$2,0,'参数'!$B$2,1))*SQRT('参数'!$B$3),"")</f>
        <v/>
      </c>
      <c r="F221">
        <f>'对齐'!C221/'对齐'!C220-1</f>
        <v/>
      </c>
      <c r="G221">
        <f>'对齐'!C221/'对齐'!C$2*100</f>
        <v/>
      </c>
      <c r="H221">
        <f>'对齐'!C221/MAX('对齐'!C$2:'对齐'!C221)-1</f>
        <v/>
      </c>
      <c r="I221">
        <f>IF(ROW()-2&gt;='参数'!$B$2,STDEV(OFFSET(F221,1-'参数'!$B$2,0,'参数'!$B$2,1))*SQRT('参数'!$B$3),"")</f>
        <v/>
      </c>
    </row>
    <row r="222">
      <c r="A222">
        <f>'对齐'!A222</f>
        <v/>
      </c>
      <c r="B222">
        <f>'对齐'!B222/'对齐'!B221-1</f>
        <v/>
      </c>
      <c r="C222">
        <f>'对齐'!B222/'对齐'!B$2*100</f>
        <v/>
      </c>
      <c r="D222">
        <f>'对齐'!B222/MAX('对齐'!B$2:'对齐'!B222)-1</f>
        <v/>
      </c>
      <c r="E222">
        <f>IF(ROW()-2&gt;='参数'!$B$2,STDEV(OFFSET(B222,1-'参数'!$B$2,0,'参数'!$B$2,1))*SQRT('参数'!$B$3),"")</f>
        <v/>
      </c>
      <c r="F222">
        <f>'对齐'!C222/'对齐'!C221-1</f>
        <v/>
      </c>
      <c r="G222">
        <f>'对齐'!C222/'对齐'!C$2*100</f>
        <v/>
      </c>
      <c r="H222">
        <f>'对齐'!C222/MAX('对齐'!C$2:'对齐'!C222)-1</f>
        <v/>
      </c>
      <c r="I222">
        <f>IF(ROW()-2&gt;='参数'!$B$2,STDEV(OFFSET(F222,1-'参数'!$B$2,0,'参数'!$B$2,1))*SQRT('参数'!$B$3),"")</f>
        <v/>
      </c>
    </row>
    <row r="223">
      <c r="A223">
        <f>'对齐'!A223</f>
        <v/>
      </c>
      <c r="B223">
        <f>'对齐'!B223/'对齐'!B222-1</f>
        <v/>
      </c>
      <c r="C223">
        <f>'对齐'!B223/'对齐'!B$2*100</f>
        <v/>
      </c>
      <c r="D223">
        <f>'对齐'!B223/MAX('对齐'!B$2:'对齐'!B223)-1</f>
        <v/>
      </c>
      <c r="E223">
        <f>IF(ROW()-2&gt;='参数'!$B$2,STDEV(OFFSET(B223,1-'参数'!$B$2,0,'参数'!$B$2,1))*SQRT('参数'!$B$3),"")</f>
        <v/>
      </c>
      <c r="F223">
        <f>'对齐'!C223/'对齐'!C222-1</f>
        <v/>
      </c>
      <c r="G223">
        <f>'对齐'!C223/'对齐'!C$2*100</f>
        <v/>
      </c>
      <c r="H223">
        <f>'对齐'!C223/MAX('对齐'!C$2:'对齐'!C223)-1</f>
        <v/>
      </c>
      <c r="I223">
        <f>IF(ROW()-2&gt;='参数'!$B$2,STDEV(OFFSET(F223,1-'参数'!$B$2,0,'参数'!$B$2,1))*SQRT('参数'!$B$3),"")</f>
        <v/>
      </c>
    </row>
    <row r="224">
      <c r="A224">
        <f>'对齐'!A224</f>
        <v/>
      </c>
      <c r="B224">
        <f>'对齐'!B224/'对齐'!B223-1</f>
        <v/>
      </c>
      <c r="C224">
        <f>'对齐'!B224/'对齐'!B$2*100</f>
        <v/>
      </c>
      <c r="D224">
        <f>'对齐'!B224/MAX('对齐'!B$2:'对齐'!B224)-1</f>
        <v/>
      </c>
      <c r="E224">
        <f>IF(ROW()-2&gt;='参数'!$B$2,STDEV(OFFSET(B224,1-'参数'!$B$2,0,'参数'!$B$2,1))*SQRT('参数'!$B$3),"")</f>
        <v/>
      </c>
      <c r="F224">
        <f>'对齐'!C224/'对齐'!C223-1</f>
        <v/>
      </c>
      <c r="G224">
        <f>'对齐'!C224/'对齐'!C$2*100</f>
        <v/>
      </c>
      <c r="H224">
        <f>'对齐'!C224/MAX('对齐'!C$2:'对齐'!C224)-1</f>
        <v/>
      </c>
      <c r="I224">
        <f>IF(ROW()-2&gt;='参数'!$B$2,STDEV(OFFSET(F224,1-'参数'!$B$2,0,'参数'!$B$2,1))*SQRT('参数'!$B$3),"")</f>
        <v/>
      </c>
    </row>
    <row r="225">
      <c r="A225">
        <f>'对齐'!A225</f>
        <v/>
      </c>
      <c r="B225">
        <f>'对齐'!B225/'对齐'!B224-1</f>
        <v/>
      </c>
      <c r="C225">
        <f>'对齐'!B225/'对齐'!B$2*100</f>
        <v/>
      </c>
      <c r="D225">
        <f>'对齐'!B225/MAX('对齐'!B$2:'对齐'!B225)-1</f>
        <v/>
      </c>
      <c r="E225">
        <f>IF(ROW()-2&gt;='参数'!$B$2,STDEV(OFFSET(B225,1-'参数'!$B$2,0,'参数'!$B$2,1))*SQRT('参数'!$B$3),"")</f>
        <v/>
      </c>
      <c r="F225">
        <f>'对齐'!C225/'对齐'!C224-1</f>
        <v/>
      </c>
      <c r="G225">
        <f>'对齐'!C225/'对齐'!C$2*100</f>
        <v/>
      </c>
      <c r="H225">
        <f>'对齐'!C225/MAX('对齐'!C$2:'对齐'!C225)-1</f>
        <v/>
      </c>
      <c r="I225">
        <f>IF(ROW()-2&gt;='参数'!$B$2,STDEV(OFFSET(F225,1-'参数'!$B$2,0,'参数'!$B$2,1))*SQRT('参数'!$B$3),"")</f>
        <v/>
      </c>
    </row>
    <row r="226">
      <c r="A226">
        <f>'对齐'!A226</f>
        <v/>
      </c>
      <c r="B226">
        <f>'对齐'!B226/'对齐'!B225-1</f>
        <v/>
      </c>
      <c r="C226">
        <f>'对齐'!B226/'对齐'!B$2*100</f>
        <v/>
      </c>
      <c r="D226">
        <f>'对齐'!B226/MAX('对齐'!B$2:'对齐'!B226)-1</f>
        <v/>
      </c>
      <c r="E226">
        <f>IF(ROW()-2&gt;='参数'!$B$2,STDEV(OFFSET(B226,1-'参数'!$B$2,0,'参数'!$B$2,1))*SQRT('参数'!$B$3),"")</f>
        <v/>
      </c>
      <c r="F226">
        <f>'对齐'!C226/'对齐'!C225-1</f>
        <v/>
      </c>
      <c r="G226">
        <f>'对齐'!C226/'对齐'!C$2*100</f>
        <v/>
      </c>
      <c r="H226">
        <f>'对齐'!C226/MAX('对齐'!C$2:'对齐'!C226)-1</f>
        <v/>
      </c>
      <c r="I226">
        <f>IF(ROW()-2&gt;='参数'!$B$2,STDEV(OFFSET(F226,1-'参数'!$B$2,0,'参数'!$B$2,1))*SQRT('参数'!$B$3),"")</f>
        <v/>
      </c>
    </row>
    <row r="227">
      <c r="A227">
        <f>'对齐'!A227</f>
        <v/>
      </c>
      <c r="B227">
        <f>'对齐'!B227/'对齐'!B226-1</f>
        <v/>
      </c>
      <c r="C227">
        <f>'对齐'!B227/'对齐'!B$2*100</f>
        <v/>
      </c>
      <c r="D227">
        <f>'对齐'!B227/MAX('对齐'!B$2:'对齐'!B227)-1</f>
        <v/>
      </c>
      <c r="E227">
        <f>IF(ROW()-2&gt;='参数'!$B$2,STDEV(OFFSET(B227,1-'参数'!$B$2,0,'参数'!$B$2,1))*SQRT('参数'!$B$3),"")</f>
        <v/>
      </c>
      <c r="F227">
        <f>'对齐'!C227/'对齐'!C226-1</f>
        <v/>
      </c>
      <c r="G227">
        <f>'对齐'!C227/'对齐'!C$2*100</f>
        <v/>
      </c>
      <c r="H227">
        <f>'对齐'!C227/MAX('对齐'!C$2:'对齐'!C227)-1</f>
        <v/>
      </c>
      <c r="I227">
        <f>IF(ROW()-2&gt;='参数'!$B$2,STDEV(OFFSET(F227,1-'参数'!$B$2,0,'参数'!$B$2,1))*SQRT('参数'!$B$3),"")</f>
        <v/>
      </c>
    </row>
    <row r="228">
      <c r="A228">
        <f>'对齐'!A228</f>
        <v/>
      </c>
      <c r="B228">
        <f>'对齐'!B228/'对齐'!B227-1</f>
        <v/>
      </c>
      <c r="C228">
        <f>'对齐'!B228/'对齐'!B$2*100</f>
        <v/>
      </c>
      <c r="D228">
        <f>'对齐'!B228/MAX('对齐'!B$2:'对齐'!B228)-1</f>
        <v/>
      </c>
      <c r="E228">
        <f>IF(ROW()-2&gt;='参数'!$B$2,STDEV(OFFSET(B228,1-'参数'!$B$2,0,'参数'!$B$2,1))*SQRT('参数'!$B$3),"")</f>
        <v/>
      </c>
      <c r="F228">
        <f>'对齐'!C228/'对齐'!C227-1</f>
        <v/>
      </c>
      <c r="G228">
        <f>'对齐'!C228/'对齐'!C$2*100</f>
        <v/>
      </c>
      <c r="H228">
        <f>'对齐'!C228/MAX('对齐'!C$2:'对齐'!C228)-1</f>
        <v/>
      </c>
      <c r="I228">
        <f>IF(ROW()-2&gt;='参数'!$B$2,STDEV(OFFSET(F228,1-'参数'!$B$2,0,'参数'!$B$2,1))*SQRT('参数'!$B$3),"")</f>
        <v/>
      </c>
    </row>
    <row r="229">
      <c r="A229">
        <f>'对齐'!A229</f>
        <v/>
      </c>
      <c r="B229">
        <f>'对齐'!B229/'对齐'!B228-1</f>
        <v/>
      </c>
      <c r="C229">
        <f>'对齐'!B229/'对齐'!B$2*100</f>
        <v/>
      </c>
      <c r="D229">
        <f>'对齐'!B229/MAX('对齐'!B$2:'对齐'!B229)-1</f>
        <v/>
      </c>
      <c r="E229">
        <f>IF(ROW()-2&gt;='参数'!$B$2,STDEV(OFFSET(B229,1-'参数'!$B$2,0,'参数'!$B$2,1))*SQRT('参数'!$B$3),"")</f>
        <v/>
      </c>
      <c r="F229">
        <f>'对齐'!C229/'对齐'!C228-1</f>
        <v/>
      </c>
      <c r="G229">
        <f>'对齐'!C229/'对齐'!C$2*100</f>
        <v/>
      </c>
      <c r="H229">
        <f>'对齐'!C229/MAX('对齐'!C$2:'对齐'!C229)-1</f>
        <v/>
      </c>
      <c r="I229">
        <f>IF(ROW()-2&gt;='参数'!$B$2,STDEV(OFFSET(F229,1-'参数'!$B$2,0,'参数'!$B$2,1))*SQRT('参数'!$B$3),"")</f>
        <v/>
      </c>
    </row>
    <row r="230">
      <c r="A230">
        <f>'对齐'!A230</f>
        <v/>
      </c>
      <c r="B230">
        <f>'对齐'!B230/'对齐'!B229-1</f>
        <v/>
      </c>
      <c r="C230">
        <f>'对齐'!B230/'对齐'!B$2*100</f>
        <v/>
      </c>
      <c r="D230">
        <f>'对齐'!B230/MAX('对齐'!B$2:'对齐'!B230)-1</f>
        <v/>
      </c>
      <c r="E230">
        <f>IF(ROW()-2&gt;='参数'!$B$2,STDEV(OFFSET(B230,1-'参数'!$B$2,0,'参数'!$B$2,1))*SQRT('参数'!$B$3),"")</f>
        <v/>
      </c>
      <c r="F230">
        <f>'对齐'!C230/'对齐'!C229-1</f>
        <v/>
      </c>
      <c r="G230">
        <f>'对齐'!C230/'对齐'!C$2*100</f>
        <v/>
      </c>
      <c r="H230">
        <f>'对齐'!C230/MAX('对齐'!C$2:'对齐'!C230)-1</f>
        <v/>
      </c>
      <c r="I230">
        <f>IF(ROW()-2&gt;='参数'!$B$2,STDEV(OFFSET(F230,1-'参数'!$B$2,0,'参数'!$B$2,1))*SQRT('参数'!$B$3),"")</f>
        <v/>
      </c>
    </row>
    <row r="231">
      <c r="A231">
        <f>'对齐'!A231</f>
        <v/>
      </c>
      <c r="B231">
        <f>'对齐'!B231/'对齐'!B230-1</f>
        <v/>
      </c>
      <c r="C231">
        <f>'对齐'!B231/'对齐'!B$2*100</f>
        <v/>
      </c>
      <c r="D231">
        <f>'对齐'!B231/MAX('对齐'!B$2:'对齐'!B231)-1</f>
        <v/>
      </c>
      <c r="E231">
        <f>IF(ROW()-2&gt;='参数'!$B$2,STDEV(OFFSET(B231,1-'参数'!$B$2,0,'参数'!$B$2,1))*SQRT('参数'!$B$3),"")</f>
        <v/>
      </c>
      <c r="F231">
        <f>'对齐'!C231/'对齐'!C230-1</f>
        <v/>
      </c>
      <c r="G231">
        <f>'对齐'!C231/'对齐'!C$2*100</f>
        <v/>
      </c>
      <c r="H231">
        <f>'对齐'!C231/MAX('对齐'!C$2:'对齐'!C231)-1</f>
        <v/>
      </c>
      <c r="I231">
        <f>IF(ROW()-2&gt;='参数'!$B$2,STDEV(OFFSET(F231,1-'参数'!$B$2,0,'参数'!$B$2,1))*SQRT('参数'!$B$3),"")</f>
        <v/>
      </c>
    </row>
    <row r="232">
      <c r="A232">
        <f>'对齐'!A232</f>
        <v/>
      </c>
      <c r="B232">
        <f>'对齐'!B232/'对齐'!B231-1</f>
        <v/>
      </c>
      <c r="C232">
        <f>'对齐'!B232/'对齐'!B$2*100</f>
        <v/>
      </c>
      <c r="D232">
        <f>'对齐'!B232/MAX('对齐'!B$2:'对齐'!B232)-1</f>
        <v/>
      </c>
      <c r="E232">
        <f>IF(ROW()-2&gt;='参数'!$B$2,STDEV(OFFSET(B232,1-'参数'!$B$2,0,'参数'!$B$2,1))*SQRT('参数'!$B$3),"")</f>
        <v/>
      </c>
      <c r="F232">
        <f>'对齐'!C232/'对齐'!C231-1</f>
        <v/>
      </c>
      <c r="G232">
        <f>'对齐'!C232/'对齐'!C$2*100</f>
        <v/>
      </c>
      <c r="H232">
        <f>'对齐'!C232/MAX('对齐'!C$2:'对齐'!C232)-1</f>
        <v/>
      </c>
      <c r="I232">
        <f>IF(ROW()-2&gt;='参数'!$B$2,STDEV(OFFSET(F232,1-'参数'!$B$2,0,'参数'!$B$2,1))*SQRT('参数'!$B$3),"")</f>
        <v/>
      </c>
    </row>
    <row r="233">
      <c r="A233">
        <f>'对齐'!A233</f>
        <v/>
      </c>
      <c r="B233">
        <f>'对齐'!B233/'对齐'!B232-1</f>
        <v/>
      </c>
      <c r="C233">
        <f>'对齐'!B233/'对齐'!B$2*100</f>
        <v/>
      </c>
      <c r="D233">
        <f>'对齐'!B233/MAX('对齐'!B$2:'对齐'!B233)-1</f>
        <v/>
      </c>
      <c r="E233">
        <f>IF(ROW()-2&gt;='参数'!$B$2,STDEV(OFFSET(B233,1-'参数'!$B$2,0,'参数'!$B$2,1))*SQRT('参数'!$B$3),"")</f>
        <v/>
      </c>
      <c r="F233">
        <f>'对齐'!C233/'对齐'!C232-1</f>
        <v/>
      </c>
      <c r="G233">
        <f>'对齐'!C233/'对齐'!C$2*100</f>
        <v/>
      </c>
      <c r="H233">
        <f>'对齐'!C233/MAX('对齐'!C$2:'对齐'!C233)-1</f>
        <v/>
      </c>
      <c r="I233">
        <f>IF(ROW()-2&gt;='参数'!$B$2,STDEV(OFFSET(F233,1-'参数'!$B$2,0,'参数'!$B$2,1))*SQRT('参数'!$B$3),"")</f>
        <v/>
      </c>
    </row>
    <row r="234">
      <c r="A234">
        <f>'对齐'!A234</f>
        <v/>
      </c>
      <c r="B234">
        <f>'对齐'!B234/'对齐'!B233-1</f>
        <v/>
      </c>
      <c r="C234">
        <f>'对齐'!B234/'对齐'!B$2*100</f>
        <v/>
      </c>
      <c r="D234">
        <f>'对齐'!B234/MAX('对齐'!B$2:'对齐'!B234)-1</f>
        <v/>
      </c>
      <c r="E234">
        <f>IF(ROW()-2&gt;='参数'!$B$2,STDEV(OFFSET(B234,1-'参数'!$B$2,0,'参数'!$B$2,1))*SQRT('参数'!$B$3),"")</f>
        <v/>
      </c>
      <c r="F234">
        <f>'对齐'!C234/'对齐'!C233-1</f>
        <v/>
      </c>
      <c r="G234">
        <f>'对齐'!C234/'对齐'!C$2*100</f>
        <v/>
      </c>
      <c r="H234">
        <f>'对齐'!C234/MAX('对齐'!C$2:'对齐'!C234)-1</f>
        <v/>
      </c>
      <c r="I234">
        <f>IF(ROW()-2&gt;='参数'!$B$2,STDEV(OFFSET(F234,1-'参数'!$B$2,0,'参数'!$B$2,1))*SQRT('参数'!$B$3),"")</f>
        <v/>
      </c>
    </row>
    <row r="235">
      <c r="A235">
        <f>'对齐'!A235</f>
        <v/>
      </c>
      <c r="B235">
        <f>'对齐'!B235/'对齐'!B234-1</f>
        <v/>
      </c>
      <c r="C235">
        <f>'对齐'!B235/'对齐'!B$2*100</f>
        <v/>
      </c>
      <c r="D235">
        <f>'对齐'!B235/MAX('对齐'!B$2:'对齐'!B235)-1</f>
        <v/>
      </c>
      <c r="E235">
        <f>IF(ROW()-2&gt;='参数'!$B$2,STDEV(OFFSET(B235,1-'参数'!$B$2,0,'参数'!$B$2,1))*SQRT('参数'!$B$3),"")</f>
        <v/>
      </c>
      <c r="F235">
        <f>'对齐'!C235/'对齐'!C234-1</f>
        <v/>
      </c>
      <c r="G235">
        <f>'对齐'!C235/'对齐'!C$2*100</f>
        <v/>
      </c>
      <c r="H235">
        <f>'对齐'!C235/MAX('对齐'!C$2:'对齐'!C235)-1</f>
        <v/>
      </c>
      <c r="I235">
        <f>IF(ROW()-2&gt;='参数'!$B$2,STDEV(OFFSET(F235,1-'参数'!$B$2,0,'参数'!$B$2,1))*SQRT('参数'!$B$3),"")</f>
        <v/>
      </c>
    </row>
    <row r="236">
      <c r="A236">
        <f>'对齐'!A236</f>
        <v/>
      </c>
      <c r="B236">
        <f>'对齐'!B236/'对齐'!B235-1</f>
        <v/>
      </c>
      <c r="C236">
        <f>'对齐'!B236/'对齐'!B$2*100</f>
        <v/>
      </c>
      <c r="D236">
        <f>'对齐'!B236/MAX('对齐'!B$2:'对齐'!B236)-1</f>
        <v/>
      </c>
      <c r="E236">
        <f>IF(ROW()-2&gt;='参数'!$B$2,STDEV(OFFSET(B236,1-'参数'!$B$2,0,'参数'!$B$2,1))*SQRT('参数'!$B$3),"")</f>
        <v/>
      </c>
      <c r="F236">
        <f>'对齐'!C236/'对齐'!C235-1</f>
        <v/>
      </c>
      <c r="G236">
        <f>'对齐'!C236/'对齐'!C$2*100</f>
        <v/>
      </c>
      <c r="H236">
        <f>'对齐'!C236/MAX('对齐'!C$2:'对齐'!C236)-1</f>
        <v/>
      </c>
      <c r="I236">
        <f>IF(ROW()-2&gt;='参数'!$B$2,STDEV(OFFSET(F236,1-'参数'!$B$2,0,'参数'!$B$2,1))*SQRT('参数'!$B$3),"")</f>
        <v/>
      </c>
    </row>
    <row r="237">
      <c r="A237">
        <f>'对齐'!A237</f>
        <v/>
      </c>
      <c r="B237">
        <f>'对齐'!B237/'对齐'!B236-1</f>
        <v/>
      </c>
      <c r="C237">
        <f>'对齐'!B237/'对齐'!B$2*100</f>
        <v/>
      </c>
      <c r="D237">
        <f>'对齐'!B237/MAX('对齐'!B$2:'对齐'!B237)-1</f>
        <v/>
      </c>
      <c r="E237">
        <f>IF(ROW()-2&gt;='参数'!$B$2,STDEV(OFFSET(B237,1-'参数'!$B$2,0,'参数'!$B$2,1))*SQRT('参数'!$B$3),"")</f>
        <v/>
      </c>
      <c r="F237">
        <f>'对齐'!C237/'对齐'!C236-1</f>
        <v/>
      </c>
      <c r="G237">
        <f>'对齐'!C237/'对齐'!C$2*100</f>
        <v/>
      </c>
      <c r="H237">
        <f>'对齐'!C237/MAX('对齐'!C$2:'对齐'!C237)-1</f>
        <v/>
      </c>
      <c r="I237">
        <f>IF(ROW()-2&gt;='参数'!$B$2,STDEV(OFFSET(F237,1-'参数'!$B$2,0,'参数'!$B$2,1))*SQRT('参数'!$B$3),"")</f>
        <v/>
      </c>
    </row>
    <row r="238">
      <c r="A238">
        <f>'对齐'!A238</f>
        <v/>
      </c>
      <c r="B238">
        <f>'对齐'!B238/'对齐'!B237-1</f>
        <v/>
      </c>
      <c r="C238">
        <f>'对齐'!B238/'对齐'!B$2*100</f>
        <v/>
      </c>
      <c r="D238">
        <f>'对齐'!B238/MAX('对齐'!B$2:'对齐'!B238)-1</f>
        <v/>
      </c>
      <c r="E238">
        <f>IF(ROW()-2&gt;='参数'!$B$2,STDEV(OFFSET(B238,1-'参数'!$B$2,0,'参数'!$B$2,1))*SQRT('参数'!$B$3),"")</f>
        <v/>
      </c>
      <c r="F238">
        <f>'对齐'!C238/'对齐'!C237-1</f>
        <v/>
      </c>
      <c r="G238">
        <f>'对齐'!C238/'对齐'!C$2*100</f>
        <v/>
      </c>
      <c r="H238">
        <f>'对齐'!C238/MAX('对齐'!C$2:'对齐'!C238)-1</f>
        <v/>
      </c>
      <c r="I238">
        <f>IF(ROW()-2&gt;='参数'!$B$2,STDEV(OFFSET(F238,1-'参数'!$B$2,0,'参数'!$B$2,1))*SQRT('参数'!$B$3),"")</f>
        <v/>
      </c>
    </row>
    <row r="239">
      <c r="A239">
        <f>'对齐'!A239</f>
        <v/>
      </c>
      <c r="B239">
        <f>'对齐'!B239/'对齐'!B238-1</f>
        <v/>
      </c>
      <c r="C239">
        <f>'对齐'!B239/'对齐'!B$2*100</f>
        <v/>
      </c>
      <c r="D239">
        <f>'对齐'!B239/MAX('对齐'!B$2:'对齐'!B239)-1</f>
        <v/>
      </c>
      <c r="E239">
        <f>IF(ROW()-2&gt;='参数'!$B$2,STDEV(OFFSET(B239,1-'参数'!$B$2,0,'参数'!$B$2,1))*SQRT('参数'!$B$3),"")</f>
        <v/>
      </c>
      <c r="F239">
        <f>'对齐'!C239/'对齐'!C238-1</f>
        <v/>
      </c>
      <c r="G239">
        <f>'对齐'!C239/'对齐'!C$2*100</f>
        <v/>
      </c>
      <c r="H239">
        <f>'对齐'!C239/MAX('对齐'!C$2:'对齐'!C239)-1</f>
        <v/>
      </c>
      <c r="I239">
        <f>IF(ROW()-2&gt;='参数'!$B$2,STDEV(OFFSET(F239,1-'参数'!$B$2,0,'参数'!$B$2,1))*SQRT('参数'!$B$3),"")</f>
        <v/>
      </c>
    </row>
    <row r="240">
      <c r="A240">
        <f>'对齐'!A240</f>
        <v/>
      </c>
      <c r="B240">
        <f>'对齐'!B240/'对齐'!B239-1</f>
        <v/>
      </c>
      <c r="C240">
        <f>'对齐'!B240/'对齐'!B$2*100</f>
        <v/>
      </c>
      <c r="D240">
        <f>'对齐'!B240/MAX('对齐'!B$2:'对齐'!B240)-1</f>
        <v/>
      </c>
      <c r="E240">
        <f>IF(ROW()-2&gt;='参数'!$B$2,STDEV(OFFSET(B240,1-'参数'!$B$2,0,'参数'!$B$2,1))*SQRT('参数'!$B$3),"")</f>
        <v/>
      </c>
      <c r="F240">
        <f>'对齐'!C240/'对齐'!C239-1</f>
        <v/>
      </c>
      <c r="G240">
        <f>'对齐'!C240/'对齐'!C$2*100</f>
        <v/>
      </c>
      <c r="H240">
        <f>'对齐'!C240/MAX('对齐'!C$2:'对齐'!C240)-1</f>
        <v/>
      </c>
      <c r="I240">
        <f>IF(ROW()-2&gt;='参数'!$B$2,STDEV(OFFSET(F240,1-'参数'!$B$2,0,'参数'!$B$2,1))*SQRT('参数'!$B$3),"")</f>
        <v/>
      </c>
    </row>
    <row r="241">
      <c r="A241">
        <f>'对齐'!A241</f>
        <v/>
      </c>
      <c r="B241">
        <f>'对齐'!B241/'对齐'!B240-1</f>
        <v/>
      </c>
      <c r="C241">
        <f>'对齐'!B241/'对齐'!B$2*100</f>
        <v/>
      </c>
      <c r="D241">
        <f>'对齐'!B241/MAX('对齐'!B$2:'对齐'!B241)-1</f>
        <v/>
      </c>
      <c r="E241">
        <f>IF(ROW()-2&gt;='参数'!$B$2,STDEV(OFFSET(B241,1-'参数'!$B$2,0,'参数'!$B$2,1))*SQRT('参数'!$B$3),"")</f>
        <v/>
      </c>
      <c r="F241">
        <f>'对齐'!C241/'对齐'!C240-1</f>
        <v/>
      </c>
      <c r="G241">
        <f>'对齐'!C241/'对齐'!C$2*100</f>
        <v/>
      </c>
      <c r="H241">
        <f>'对齐'!C241/MAX('对齐'!C$2:'对齐'!C241)-1</f>
        <v/>
      </c>
      <c r="I241">
        <f>IF(ROW()-2&gt;='参数'!$B$2,STDEV(OFFSET(F241,1-'参数'!$B$2,0,'参数'!$B$2,1))*SQRT('参数'!$B$3),"")</f>
        <v/>
      </c>
    </row>
    <row r="242">
      <c r="A242">
        <f>'对齐'!A242</f>
        <v/>
      </c>
      <c r="B242">
        <f>'对齐'!B242/'对齐'!B241-1</f>
        <v/>
      </c>
      <c r="C242">
        <f>'对齐'!B242/'对齐'!B$2*100</f>
        <v/>
      </c>
      <c r="D242">
        <f>'对齐'!B242/MAX('对齐'!B$2:'对齐'!B242)-1</f>
        <v/>
      </c>
      <c r="E242">
        <f>IF(ROW()-2&gt;='参数'!$B$2,STDEV(OFFSET(B242,1-'参数'!$B$2,0,'参数'!$B$2,1))*SQRT('参数'!$B$3),"")</f>
        <v/>
      </c>
      <c r="F242">
        <f>'对齐'!C242/'对齐'!C241-1</f>
        <v/>
      </c>
      <c r="G242">
        <f>'对齐'!C242/'对齐'!C$2*100</f>
        <v/>
      </c>
      <c r="H242">
        <f>'对齐'!C242/MAX('对齐'!C$2:'对齐'!C242)-1</f>
        <v/>
      </c>
      <c r="I242">
        <f>IF(ROW()-2&gt;='参数'!$B$2,STDEV(OFFSET(F242,1-'参数'!$B$2,0,'参数'!$B$2,1))*SQRT('参数'!$B$3),"")</f>
        <v/>
      </c>
    </row>
    <row r="243">
      <c r="A243">
        <f>'对齐'!A243</f>
        <v/>
      </c>
      <c r="B243">
        <f>'对齐'!B243/'对齐'!B242-1</f>
        <v/>
      </c>
      <c r="C243">
        <f>'对齐'!B243/'对齐'!B$2*100</f>
        <v/>
      </c>
      <c r="D243">
        <f>'对齐'!B243/MAX('对齐'!B$2:'对齐'!B243)-1</f>
        <v/>
      </c>
      <c r="E243">
        <f>IF(ROW()-2&gt;='参数'!$B$2,STDEV(OFFSET(B243,1-'参数'!$B$2,0,'参数'!$B$2,1))*SQRT('参数'!$B$3),"")</f>
        <v/>
      </c>
      <c r="F243">
        <f>'对齐'!C243/'对齐'!C242-1</f>
        <v/>
      </c>
      <c r="G243">
        <f>'对齐'!C243/'对齐'!C$2*100</f>
        <v/>
      </c>
      <c r="H243">
        <f>'对齐'!C243/MAX('对齐'!C$2:'对齐'!C243)-1</f>
        <v/>
      </c>
      <c r="I243">
        <f>IF(ROW()-2&gt;='参数'!$B$2,STDEV(OFFSET(F243,1-'参数'!$B$2,0,'参数'!$B$2,1))*SQRT('参数'!$B$3),"")</f>
        <v/>
      </c>
    </row>
    <row r="244">
      <c r="A244">
        <f>'对齐'!A244</f>
        <v/>
      </c>
      <c r="B244">
        <f>'对齐'!B244/'对齐'!B243-1</f>
        <v/>
      </c>
      <c r="C244">
        <f>'对齐'!B244/'对齐'!B$2*100</f>
        <v/>
      </c>
      <c r="D244">
        <f>'对齐'!B244/MAX('对齐'!B$2:'对齐'!B244)-1</f>
        <v/>
      </c>
      <c r="E244">
        <f>IF(ROW()-2&gt;='参数'!$B$2,STDEV(OFFSET(B244,1-'参数'!$B$2,0,'参数'!$B$2,1))*SQRT('参数'!$B$3),"")</f>
        <v/>
      </c>
      <c r="F244">
        <f>'对齐'!C244/'对齐'!C243-1</f>
        <v/>
      </c>
      <c r="G244">
        <f>'对齐'!C244/'对齐'!C$2*100</f>
        <v/>
      </c>
      <c r="H244">
        <f>'对齐'!C244/MAX('对齐'!C$2:'对齐'!C244)-1</f>
        <v/>
      </c>
      <c r="I244">
        <f>IF(ROW()-2&gt;='参数'!$B$2,STDEV(OFFSET(F244,1-'参数'!$B$2,0,'参数'!$B$2,1))*SQRT('参数'!$B$3),"")</f>
        <v/>
      </c>
    </row>
    <row r="245">
      <c r="A245">
        <f>'对齐'!A245</f>
        <v/>
      </c>
      <c r="B245">
        <f>'对齐'!B245/'对齐'!B244-1</f>
        <v/>
      </c>
      <c r="C245">
        <f>'对齐'!B245/'对齐'!B$2*100</f>
        <v/>
      </c>
      <c r="D245">
        <f>'对齐'!B245/MAX('对齐'!B$2:'对齐'!B245)-1</f>
        <v/>
      </c>
      <c r="E245">
        <f>IF(ROW()-2&gt;='参数'!$B$2,STDEV(OFFSET(B245,1-'参数'!$B$2,0,'参数'!$B$2,1))*SQRT('参数'!$B$3),"")</f>
        <v/>
      </c>
      <c r="F245">
        <f>'对齐'!C245/'对齐'!C244-1</f>
        <v/>
      </c>
      <c r="G245">
        <f>'对齐'!C245/'对齐'!C$2*100</f>
        <v/>
      </c>
      <c r="H245">
        <f>'对齐'!C245/MAX('对齐'!C$2:'对齐'!C245)-1</f>
        <v/>
      </c>
      <c r="I245">
        <f>IF(ROW()-2&gt;='参数'!$B$2,STDEV(OFFSET(F245,1-'参数'!$B$2,0,'参数'!$B$2,1))*SQRT('参数'!$B$3),"")</f>
        <v/>
      </c>
    </row>
    <row r="246">
      <c r="A246">
        <f>'对齐'!A246</f>
        <v/>
      </c>
      <c r="B246">
        <f>'对齐'!B246/'对齐'!B245-1</f>
        <v/>
      </c>
      <c r="C246">
        <f>'对齐'!B246/'对齐'!B$2*100</f>
        <v/>
      </c>
      <c r="D246">
        <f>'对齐'!B246/MAX('对齐'!B$2:'对齐'!B246)-1</f>
        <v/>
      </c>
      <c r="E246">
        <f>IF(ROW()-2&gt;='参数'!$B$2,STDEV(OFFSET(B246,1-'参数'!$B$2,0,'参数'!$B$2,1))*SQRT('参数'!$B$3),"")</f>
        <v/>
      </c>
      <c r="F246">
        <f>'对齐'!C246/'对齐'!C245-1</f>
        <v/>
      </c>
      <c r="G246">
        <f>'对齐'!C246/'对齐'!C$2*100</f>
        <v/>
      </c>
      <c r="H246">
        <f>'对齐'!C246/MAX('对齐'!C$2:'对齐'!C246)-1</f>
        <v/>
      </c>
      <c r="I246">
        <f>IF(ROW()-2&gt;='参数'!$B$2,STDEV(OFFSET(F246,1-'参数'!$B$2,0,'参数'!$B$2,1))*SQRT('参数'!$B$3),"")</f>
        <v/>
      </c>
    </row>
    <row r="247">
      <c r="A247">
        <f>'对齐'!A247</f>
        <v/>
      </c>
      <c r="B247">
        <f>'对齐'!B247/'对齐'!B246-1</f>
        <v/>
      </c>
      <c r="C247">
        <f>'对齐'!B247/'对齐'!B$2*100</f>
        <v/>
      </c>
      <c r="D247">
        <f>'对齐'!B247/MAX('对齐'!B$2:'对齐'!B247)-1</f>
        <v/>
      </c>
      <c r="E247">
        <f>IF(ROW()-2&gt;='参数'!$B$2,STDEV(OFFSET(B247,1-'参数'!$B$2,0,'参数'!$B$2,1))*SQRT('参数'!$B$3),"")</f>
        <v/>
      </c>
      <c r="F247">
        <f>'对齐'!C247/'对齐'!C246-1</f>
        <v/>
      </c>
      <c r="G247">
        <f>'对齐'!C247/'对齐'!C$2*100</f>
        <v/>
      </c>
      <c r="H247">
        <f>'对齐'!C247/MAX('对齐'!C$2:'对齐'!C247)-1</f>
        <v/>
      </c>
      <c r="I247">
        <f>IF(ROW()-2&gt;='参数'!$B$2,STDEV(OFFSET(F247,1-'参数'!$B$2,0,'参数'!$B$2,1))*SQRT('参数'!$B$3),"")</f>
        <v/>
      </c>
    </row>
    <row r="248">
      <c r="A248">
        <f>'对齐'!A248</f>
        <v/>
      </c>
      <c r="B248">
        <f>'对齐'!B248/'对齐'!B247-1</f>
        <v/>
      </c>
      <c r="C248">
        <f>'对齐'!B248/'对齐'!B$2*100</f>
        <v/>
      </c>
      <c r="D248">
        <f>'对齐'!B248/MAX('对齐'!B$2:'对齐'!B248)-1</f>
        <v/>
      </c>
      <c r="E248">
        <f>IF(ROW()-2&gt;='参数'!$B$2,STDEV(OFFSET(B248,1-'参数'!$B$2,0,'参数'!$B$2,1))*SQRT('参数'!$B$3),"")</f>
        <v/>
      </c>
      <c r="F248">
        <f>'对齐'!C248/'对齐'!C247-1</f>
        <v/>
      </c>
      <c r="G248">
        <f>'对齐'!C248/'对齐'!C$2*100</f>
        <v/>
      </c>
      <c r="H248">
        <f>'对齐'!C248/MAX('对齐'!C$2:'对齐'!C248)-1</f>
        <v/>
      </c>
      <c r="I248">
        <f>IF(ROW()-2&gt;='参数'!$B$2,STDEV(OFFSET(F248,1-'参数'!$B$2,0,'参数'!$B$2,1))*SQRT('参数'!$B$3),"")</f>
        <v/>
      </c>
    </row>
    <row r="249">
      <c r="A249">
        <f>'对齐'!A249</f>
        <v/>
      </c>
      <c r="B249">
        <f>'对齐'!B249/'对齐'!B248-1</f>
        <v/>
      </c>
      <c r="C249">
        <f>'对齐'!B249/'对齐'!B$2*100</f>
        <v/>
      </c>
      <c r="D249">
        <f>'对齐'!B249/MAX('对齐'!B$2:'对齐'!B249)-1</f>
        <v/>
      </c>
      <c r="E249">
        <f>IF(ROW()-2&gt;='参数'!$B$2,STDEV(OFFSET(B249,1-'参数'!$B$2,0,'参数'!$B$2,1))*SQRT('参数'!$B$3),"")</f>
        <v/>
      </c>
      <c r="F249">
        <f>'对齐'!C249/'对齐'!C248-1</f>
        <v/>
      </c>
      <c r="G249">
        <f>'对齐'!C249/'对齐'!C$2*100</f>
        <v/>
      </c>
      <c r="H249">
        <f>'对齐'!C249/MAX('对齐'!C$2:'对齐'!C249)-1</f>
        <v/>
      </c>
      <c r="I249">
        <f>IF(ROW()-2&gt;='参数'!$B$2,STDEV(OFFSET(F249,1-'参数'!$B$2,0,'参数'!$B$2,1))*SQRT('参数'!$B$3),"")</f>
        <v/>
      </c>
    </row>
    <row r="250">
      <c r="A250">
        <f>'对齐'!A250</f>
        <v/>
      </c>
      <c r="B250">
        <f>'对齐'!B250/'对齐'!B249-1</f>
        <v/>
      </c>
      <c r="C250">
        <f>'对齐'!B250/'对齐'!B$2*100</f>
        <v/>
      </c>
      <c r="D250">
        <f>'对齐'!B250/MAX('对齐'!B$2:'对齐'!B250)-1</f>
        <v/>
      </c>
      <c r="E250">
        <f>IF(ROW()-2&gt;='参数'!$B$2,STDEV(OFFSET(B250,1-'参数'!$B$2,0,'参数'!$B$2,1))*SQRT('参数'!$B$3),"")</f>
        <v/>
      </c>
      <c r="F250">
        <f>'对齐'!C250/'对齐'!C249-1</f>
        <v/>
      </c>
      <c r="G250">
        <f>'对齐'!C250/'对齐'!C$2*100</f>
        <v/>
      </c>
      <c r="H250">
        <f>'对齐'!C250/MAX('对齐'!C$2:'对齐'!C250)-1</f>
        <v/>
      </c>
      <c r="I250">
        <f>IF(ROW()-2&gt;='参数'!$B$2,STDEV(OFFSET(F250,1-'参数'!$B$2,0,'参数'!$B$2,1))*SQRT('参数'!$B$3),"")</f>
        <v/>
      </c>
    </row>
    <row r="251">
      <c r="A251">
        <f>'对齐'!A251</f>
        <v/>
      </c>
      <c r="B251">
        <f>'对齐'!B251/'对齐'!B250-1</f>
        <v/>
      </c>
      <c r="C251">
        <f>'对齐'!B251/'对齐'!B$2*100</f>
        <v/>
      </c>
      <c r="D251">
        <f>'对齐'!B251/MAX('对齐'!B$2:'对齐'!B251)-1</f>
        <v/>
      </c>
      <c r="E251">
        <f>IF(ROW()-2&gt;='参数'!$B$2,STDEV(OFFSET(B251,1-'参数'!$B$2,0,'参数'!$B$2,1))*SQRT('参数'!$B$3),"")</f>
        <v/>
      </c>
      <c r="F251">
        <f>'对齐'!C251/'对齐'!C250-1</f>
        <v/>
      </c>
      <c r="G251">
        <f>'对齐'!C251/'对齐'!C$2*100</f>
        <v/>
      </c>
      <c r="H251">
        <f>'对齐'!C251/MAX('对齐'!C$2:'对齐'!C251)-1</f>
        <v/>
      </c>
      <c r="I251">
        <f>IF(ROW()-2&gt;='参数'!$B$2,STDEV(OFFSET(F251,1-'参数'!$B$2,0,'参数'!$B$2,1))*SQRT('参数'!$B$3),"")</f>
        <v/>
      </c>
    </row>
    <row r="252">
      <c r="A252">
        <f>'对齐'!A252</f>
        <v/>
      </c>
      <c r="B252">
        <f>'对齐'!B252/'对齐'!B251-1</f>
        <v/>
      </c>
      <c r="C252">
        <f>'对齐'!B252/'对齐'!B$2*100</f>
        <v/>
      </c>
      <c r="D252">
        <f>'对齐'!B252/MAX('对齐'!B$2:'对齐'!B252)-1</f>
        <v/>
      </c>
      <c r="E252">
        <f>IF(ROW()-2&gt;='参数'!$B$2,STDEV(OFFSET(B252,1-'参数'!$B$2,0,'参数'!$B$2,1))*SQRT('参数'!$B$3),"")</f>
        <v/>
      </c>
      <c r="F252">
        <f>'对齐'!C252/'对齐'!C251-1</f>
        <v/>
      </c>
      <c r="G252">
        <f>'对齐'!C252/'对齐'!C$2*100</f>
        <v/>
      </c>
      <c r="H252">
        <f>'对齐'!C252/MAX('对齐'!C$2:'对齐'!C252)-1</f>
        <v/>
      </c>
      <c r="I252">
        <f>IF(ROW()-2&gt;='参数'!$B$2,STDEV(OFFSET(F252,1-'参数'!$B$2,0,'参数'!$B$2,1))*SQRT('参数'!$B$3),"")</f>
        <v/>
      </c>
    </row>
    <row r="253">
      <c r="A253">
        <f>'对齐'!A253</f>
        <v/>
      </c>
      <c r="B253">
        <f>'对齐'!B253/'对齐'!B252-1</f>
        <v/>
      </c>
      <c r="C253">
        <f>'对齐'!B253/'对齐'!B$2*100</f>
        <v/>
      </c>
      <c r="D253">
        <f>'对齐'!B253/MAX('对齐'!B$2:'对齐'!B253)-1</f>
        <v/>
      </c>
      <c r="E253">
        <f>IF(ROW()-2&gt;='参数'!$B$2,STDEV(OFFSET(B253,1-'参数'!$B$2,0,'参数'!$B$2,1))*SQRT('参数'!$B$3),"")</f>
        <v/>
      </c>
      <c r="F253">
        <f>'对齐'!C253/'对齐'!C252-1</f>
        <v/>
      </c>
      <c r="G253">
        <f>'对齐'!C253/'对齐'!C$2*100</f>
        <v/>
      </c>
      <c r="H253">
        <f>'对齐'!C253/MAX('对齐'!C$2:'对齐'!C253)-1</f>
        <v/>
      </c>
      <c r="I253">
        <f>IF(ROW()-2&gt;='参数'!$B$2,STDEV(OFFSET(F253,1-'参数'!$B$2,0,'参数'!$B$2,1))*SQRT('参数'!$B$3),"")</f>
        <v/>
      </c>
    </row>
    <row r="254">
      <c r="A254">
        <f>'对齐'!A254</f>
        <v/>
      </c>
      <c r="B254">
        <f>'对齐'!B254/'对齐'!B253-1</f>
        <v/>
      </c>
      <c r="C254">
        <f>'对齐'!B254/'对齐'!B$2*100</f>
        <v/>
      </c>
      <c r="D254">
        <f>'对齐'!B254/MAX('对齐'!B$2:'对齐'!B254)-1</f>
        <v/>
      </c>
      <c r="E254">
        <f>IF(ROW()-2&gt;='参数'!$B$2,STDEV(OFFSET(B254,1-'参数'!$B$2,0,'参数'!$B$2,1))*SQRT('参数'!$B$3),"")</f>
        <v/>
      </c>
      <c r="F254">
        <f>'对齐'!C254/'对齐'!C253-1</f>
        <v/>
      </c>
      <c r="G254">
        <f>'对齐'!C254/'对齐'!C$2*100</f>
        <v/>
      </c>
      <c r="H254">
        <f>'对齐'!C254/MAX('对齐'!C$2:'对齐'!C254)-1</f>
        <v/>
      </c>
      <c r="I254">
        <f>IF(ROW()-2&gt;='参数'!$B$2,STDEV(OFFSET(F254,1-'参数'!$B$2,0,'参数'!$B$2,1))*SQRT('参数'!$B$3),"")</f>
        <v/>
      </c>
    </row>
    <row r="255">
      <c r="A255">
        <f>'对齐'!A255</f>
        <v/>
      </c>
      <c r="B255">
        <f>'对齐'!B255/'对齐'!B254-1</f>
        <v/>
      </c>
      <c r="C255">
        <f>'对齐'!B255/'对齐'!B$2*100</f>
        <v/>
      </c>
      <c r="D255">
        <f>'对齐'!B255/MAX('对齐'!B$2:'对齐'!B255)-1</f>
        <v/>
      </c>
      <c r="E255">
        <f>IF(ROW()-2&gt;='参数'!$B$2,STDEV(OFFSET(B255,1-'参数'!$B$2,0,'参数'!$B$2,1))*SQRT('参数'!$B$3),"")</f>
        <v/>
      </c>
      <c r="F255">
        <f>'对齐'!C255/'对齐'!C254-1</f>
        <v/>
      </c>
      <c r="G255">
        <f>'对齐'!C255/'对齐'!C$2*100</f>
        <v/>
      </c>
      <c r="H255">
        <f>'对齐'!C255/MAX('对齐'!C$2:'对齐'!C255)-1</f>
        <v/>
      </c>
      <c r="I255">
        <f>IF(ROW()-2&gt;='参数'!$B$2,STDEV(OFFSET(F255,1-'参数'!$B$2,0,'参数'!$B$2,1))*SQRT('参数'!$B$3),"")</f>
        <v/>
      </c>
    </row>
    <row r="256">
      <c r="A256">
        <f>'对齐'!A256</f>
        <v/>
      </c>
      <c r="B256">
        <f>'对齐'!B256/'对齐'!B255-1</f>
        <v/>
      </c>
      <c r="C256">
        <f>'对齐'!B256/'对齐'!B$2*100</f>
        <v/>
      </c>
      <c r="D256">
        <f>'对齐'!B256/MAX('对齐'!B$2:'对齐'!B256)-1</f>
        <v/>
      </c>
      <c r="E256">
        <f>IF(ROW()-2&gt;='参数'!$B$2,STDEV(OFFSET(B256,1-'参数'!$B$2,0,'参数'!$B$2,1))*SQRT('参数'!$B$3),"")</f>
        <v/>
      </c>
      <c r="F256">
        <f>'对齐'!C256/'对齐'!C255-1</f>
        <v/>
      </c>
      <c r="G256">
        <f>'对齐'!C256/'对齐'!C$2*100</f>
        <v/>
      </c>
      <c r="H256">
        <f>'对齐'!C256/MAX('对齐'!C$2:'对齐'!C256)-1</f>
        <v/>
      </c>
      <c r="I256">
        <f>IF(ROW()-2&gt;='参数'!$B$2,STDEV(OFFSET(F256,1-'参数'!$B$2,0,'参数'!$B$2,1))*SQRT('参数'!$B$3),"")</f>
        <v/>
      </c>
    </row>
    <row r="257">
      <c r="A257">
        <f>'对齐'!A257</f>
        <v/>
      </c>
      <c r="B257">
        <f>'对齐'!B257/'对齐'!B256-1</f>
        <v/>
      </c>
      <c r="C257">
        <f>'对齐'!B257/'对齐'!B$2*100</f>
        <v/>
      </c>
      <c r="D257">
        <f>'对齐'!B257/MAX('对齐'!B$2:'对齐'!B257)-1</f>
        <v/>
      </c>
      <c r="E257">
        <f>IF(ROW()-2&gt;='参数'!$B$2,STDEV(OFFSET(B257,1-'参数'!$B$2,0,'参数'!$B$2,1))*SQRT('参数'!$B$3),"")</f>
        <v/>
      </c>
      <c r="F257">
        <f>'对齐'!C257/'对齐'!C256-1</f>
        <v/>
      </c>
      <c r="G257">
        <f>'对齐'!C257/'对齐'!C$2*100</f>
        <v/>
      </c>
      <c r="H257">
        <f>'对齐'!C257/MAX('对齐'!C$2:'对齐'!C257)-1</f>
        <v/>
      </c>
      <c r="I257">
        <f>IF(ROW()-2&gt;='参数'!$B$2,STDEV(OFFSET(F257,1-'参数'!$B$2,0,'参数'!$B$2,1))*SQRT('参数'!$B$3),"")</f>
        <v/>
      </c>
    </row>
    <row r="258">
      <c r="A258">
        <f>'对齐'!A258</f>
        <v/>
      </c>
      <c r="B258">
        <f>'对齐'!B258/'对齐'!B257-1</f>
        <v/>
      </c>
      <c r="C258">
        <f>'对齐'!B258/'对齐'!B$2*100</f>
        <v/>
      </c>
      <c r="D258">
        <f>'对齐'!B258/MAX('对齐'!B$2:'对齐'!B258)-1</f>
        <v/>
      </c>
      <c r="E258">
        <f>IF(ROW()-2&gt;='参数'!$B$2,STDEV(OFFSET(B258,1-'参数'!$B$2,0,'参数'!$B$2,1))*SQRT('参数'!$B$3),"")</f>
        <v/>
      </c>
      <c r="F258">
        <f>'对齐'!C258/'对齐'!C257-1</f>
        <v/>
      </c>
      <c r="G258">
        <f>'对齐'!C258/'对齐'!C$2*100</f>
        <v/>
      </c>
      <c r="H258">
        <f>'对齐'!C258/MAX('对齐'!C$2:'对齐'!C258)-1</f>
        <v/>
      </c>
      <c r="I258">
        <f>IF(ROW()-2&gt;='参数'!$B$2,STDEV(OFFSET(F258,1-'参数'!$B$2,0,'参数'!$B$2,1))*SQRT('参数'!$B$3),"")</f>
        <v/>
      </c>
    </row>
    <row r="259">
      <c r="A259">
        <f>'对齐'!A259</f>
        <v/>
      </c>
      <c r="B259">
        <f>'对齐'!B259/'对齐'!B258-1</f>
        <v/>
      </c>
      <c r="C259">
        <f>'对齐'!B259/'对齐'!B$2*100</f>
        <v/>
      </c>
      <c r="D259">
        <f>'对齐'!B259/MAX('对齐'!B$2:'对齐'!B259)-1</f>
        <v/>
      </c>
      <c r="E259">
        <f>IF(ROW()-2&gt;='参数'!$B$2,STDEV(OFFSET(B259,1-'参数'!$B$2,0,'参数'!$B$2,1))*SQRT('参数'!$B$3),"")</f>
        <v/>
      </c>
      <c r="F259">
        <f>'对齐'!C259/'对齐'!C258-1</f>
        <v/>
      </c>
      <c r="G259">
        <f>'对齐'!C259/'对齐'!C$2*100</f>
        <v/>
      </c>
      <c r="H259">
        <f>'对齐'!C259/MAX('对齐'!C$2:'对齐'!C259)-1</f>
        <v/>
      </c>
      <c r="I259">
        <f>IF(ROW()-2&gt;='参数'!$B$2,STDEV(OFFSET(F259,1-'参数'!$B$2,0,'参数'!$B$2,1))*SQRT('参数'!$B$3),"")</f>
        <v/>
      </c>
    </row>
    <row r="260">
      <c r="A260">
        <f>'对齐'!A260</f>
        <v/>
      </c>
      <c r="B260">
        <f>'对齐'!B260/'对齐'!B259-1</f>
        <v/>
      </c>
      <c r="C260">
        <f>'对齐'!B260/'对齐'!B$2*100</f>
        <v/>
      </c>
      <c r="D260">
        <f>'对齐'!B260/MAX('对齐'!B$2:'对齐'!B260)-1</f>
        <v/>
      </c>
      <c r="E260">
        <f>IF(ROW()-2&gt;='参数'!$B$2,STDEV(OFFSET(B260,1-'参数'!$B$2,0,'参数'!$B$2,1))*SQRT('参数'!$B$3),"")</f>
        <v/>
      </c>
      <c r="F260">
        <f>'对齐'!C260/'对齐'!C259-1</f>
        <v/>
      </c>
      <c r="G260">
        <f>'对齐'!C260/'对齐'!C$2*100</f>
        <v/>
      </c>
      <c r="H260">
        <f>'对齐'!C260/MAX('对齐'!C$2:'对齐'!C260)-1</f>
        <v/>
      </c>
      <c r="I260">
        <f>IF(ROW()-2&gt;='参数'!$B$2,STDEV(OFFSET(F260,1-'参数'!$B$2,0,'参数'!$B$2,1))*SQRT('参数'!$B$3),"")</f>
        <v/>
      </c>
    </row>
    <row r="261">
      <c r="A261">
        <f>'对齐'!A261</f>
        <v/>
      </c>
      <c r="B261">
        <f>'对齐'!B261/'对齐'!B260-1</f>
        <v/>
      </c>
      <c r="C261">
        <f>'对齐'!B261/'对齐'!B$2*100</f>
        <v/>
      </c>
      <c r="D261">
        <f>'对齐'!B261/MAX('对齐'!B$2:'对齐'!B261)-1</f>
        <v/>
      </c>
      <c r="E261">
        <f>IF(ROW()-2&gt;='参数'!$B$2,STDEV(OFFSET(B261,1-'参数'!$B$2,0,'参数'!$B$2,1))*SQRT('参数'!$B$3),"")</f>
        <v/>
      </c>
      <c r="F261">
        <f>'对齐'!C261/'对齐'!C260-1</f>
        <v/>
      </c>
      <c r="G261">
        <f>'对齐'!C261/'对齐'!C$2*100</f>
        <v/>
      </c>
      <c r="H261">
        <f>'对齐'!C261/MAX('对齐'!C$2:'对齐'!C261)-1</f>
        <v/>
      </c>
      <c r="I261">
        <f>IF(ROW()-2&gt;='参数'!$B$2,STDEV(OFFSET(F261,1-'参数'!$B$2,0,'参数'!$B$2,1))*SQRT('参数'!$B$3),"")</f>
        <v/>
      </c>
    </row>
    <row r="262">
      <c r="A262">
        <f>'对齐'!A262</f>
        <v/>
      </c>
      <c r="B262">
        <f>'对齐'!B262/'对齐'!B261-1</f>
        <v/>
      </c>
      <c r="C262">
        <f>'对齐'!B262/'对齐'!B$2*100</f>
        <v/>
      </c>
      <c r="D262">
        <f>'对齐'!B262/MAX('对齐'!B$2:'对齐'!B262)-1</f>
        <v/>
      </c>
      <c r="E262">
        <f>IF(ROW()-2&gt;='参数'!$B$2,STDEV(OFFSET(B262,1-'参数'!$B$2,0,'参数'!$B$2,1))*SQRT('参数'!$B$3),"")</f>
        <v/>
      </c>
      <c r="F262">
        <f>'对齐'!C262/'对齐'!C261-1</f>
        <v/>
      </c>
      <c r="G262">
        <f>'对齐'!C262/'对齐'!C$2*100</f>
        <v/>
      </c>
      <c r="H262">
        <f>'对齐'!C262/MAX('对齐'!C$2:'对齐'!C262)-1</f>
        <v/>
      </c>
      <c r="I262">
        <f>IF(ROW()-2&gt;='参数'!$B$2,STDEV(OFFSET(F262,1-'参数'!$B$2,0,'参数'!$B$2,1))*SQRT('参数'!$B$3),"")</f>
        <v/>
      </c>
    </row>
    <row r="263">
      <c r="A263">
        <f>'对齐'!A263</f>
        <v/>
      </c>
      <c r="B263">
        <f>'对齐'!B263/'对齐'!B262-1</f>
        <v/>
      </c>
      <c r="C263">
        <f>'对齐'!B263/'对齐'!B$2*100</f>
        <v/>
      </c>
      <c r="D263">
        <f>'对齐'!B263/MAX('对齐'!B$2:'对齐'!B263)-1</f>
        <v/>
      </c>
      <c r="E263">
        <f>IF(ROW()-2&gt;='参数'!$B$2,STDEV(OFFSET(B263,1-'参数'!$B$2,0,'参数'!$B$2,1))*SQRT('参数'!$B$3),"")</f>
        <v/>
      </c>
      <c r="F263">
        <f>'对齐'!C263/'对齐'!C262-1</f>
        <v/>
      </c>
      <c r="G263">
        <f>'对齐'!C263/'对齐'!C$2*100</f>
        <v/>
      </c>
      <c r="H263">
        <f>'对齐'!C263/MAX('对齐'!C$2:'对齐'!C263)-1</f>
        <v/>
      </c>
      <c r="I263">
        <f>IF(ROW()-2&gt;='参数'!$B$2,STDEV(OFFSET(F263,1-'参数'!$B$2,0,'参数'!$B$2,1))*SQRT('参数'!$B$3),"")</f>
        <v/>
      </c>
    </row>
    <row r="264">
      <c r="A264">
        <f>'对齐'!A264</f>
        <v/>
      </c>
      <c r="B264">
        <f>'对齐'!B264/'对齐'!B263-1</f>
        <v/>
      </c>
      <c r="C264">
        <f>'对齐'!B264/'对齐'!B$2*100</f>
        <v/>
      </c>
      <c r="D264">
        <f>'对齐'!B264/MAX('对齐'!B$2:'对齐'!B264)-1</f>
        <v/>
      </c>
      <c r="E264">
        <f>IF(ROW()-2&gt;='参数'!$B$2,STDEV(OFFSET(B264,1-'参数'!$B$2,0,'参数'!$B$2,1))*SQRT('参数'!$B$3),"")</f>
        <v/>
      </c>
      <c r="F264">
        <f>'对齐'!C264/'对齐'!C263-1</f>
        <v/>
      </c>
      <c r="G264">
        <f>'对齐'!C264/'对齐'!C$2*100</f>
        <v/>
      </c>
      <c r="H264">
        <f>'对齐'!C264/MAX('对齐'!C$2:'对齐'!C264)-1</f>
        <v/>
      </c>
      <c r="I264">
        <f>IF(ROW()-2&gt;='参数'!$B$2,STDEV(OFFSET(F264,1-'参数'!$B$2,0,'参数'!$B$2,1))*SQRT('参数'!$B$3),"")</f>
        <v/>
      </c>
    </row>
    <row r="265">
      <c r="A265">
        <f>'对齐'!A265</f>
        <v/>
      </c>
      <c r="B265">
        <f>'对齐'!B265/'对齐'!B264-1</f>
        <v/>
      </c>
      <c r="C265">
        <f>'对齐'!B265/'对齐'!B$2*100</f>
        <v/>
      </c>
      <c r="D265">
        <f>'对齐'!B265/MAX('对齐'!B$2:'对齐'!B265)-1</f>
        <v/>
      </c>
      <c r="E265">
        <f>IF(ROW()-2&gt;='参数'!$B$2,STDEV(OFFSET(B265,1-'参数'!$B$2,0,'参数'!$B$2,1))*SQRT('参数'!$B$3),"")</f>
        <v/>
      </c>
      <c r="F265">
        <f>'对齐'!C265/'对齐'!C264-1</f>
        <v/>
      </c>
      <c r="G265">
        <f>'对齐'!C265/'对齐'!C$2*100</f>
        <v/>
      </c>
      <c r="H265">
        <f>'对齐'!C265/MAX('对齐'!C$2:'对齐'!C265)-1</f>
        <v/>
      </c>
      <c r="I265">
        <f>IF(ROW()-2&gt;='参数'!$B$2,STDEV(OFFSET(F265,1-'参数'!$B$2,0,'参数'!$B$2,1))*SQRT('参数'!$B$3),"")</f>
        <v/>
      </c>
    </row>
    <row r="266">
      <c r="A266">
        <f>'对齐'!A266</f>
        <v/>
      </c>
      <c r="B266">
        <f>'对齐'!B266/'对齐'!B265-1</f>
        <v/>
      </c>
      <c r="C266">
        <f>'对齐'!B266/'对齐'!B$2*100</f>
        <v/>
      </c>
      <c r="D266">
        <f>'对齐'!B266/MAX('对齐'!B$2:'对齐'!B266)-1</f>
        <v/>
      </c>
      <c r="E266">
        <f>IF(ROW()-2&gt;='参数'!$B$2,STDEV(OFFSET(B266,1-'参数'!$B$2,0,'参数'!$B$2,1))*SQRT('参数'!$B$3),"")</f>
        <v/>
      </c>
      <c r="F266">
        <f>'对齐'!C266/'对齐'!C265-1</f>
        <v/>
      </c>
      <c r="G266">
        <f>'对齐'!C266/'对齐'!C$2*100</f>
        <v/>
      </c>
      <c r="H266">
        <f>'对齐'!C266/MAX('对齐'!C$2:'对齐'!C266)-1</f>
        <v/>
      </c>
      <c r="I266">
        <f>IF(ROW()-2&gt;='参数'!$B$2,STDEV(OFFSET(F266,1-'参数'!$B$2,0,'参数'!$B$2,1))*SQRT('参数'!$B$3),"")</f>
        <v/>
      </c>
    </row>
    <row r="267">
      <c r="A267">
        <f>'对齐'!A267</f>
        <v/>
      </c>
      <c r="B267">
        <f>'对齐'!B267/'对齐'!B266-1</f>
        <v/>
      </c>
      <c r="C267">
        <f>'对齐'!B267/'对齐'!B$2*100</f>
        <v/>
      </c>
      <c r="D267">
        <f>'对齐'!B267/MAX('对齐'!B$2:'对齐'!B267)-1</f>
        <v/>
      </c>
      <c r="E267">
        <f>IF(ROW()-2&gt;='参数'!$B$2,STDEV(OFFSET(B267,1-'参数'!$B$2,0,'参数'!$B$2,1))*SQRT('参数'!$B$3),"")</f>
        <v/>
      </c>
      <c r="F267">
        <f>'对齐'!C267/'对齐'!C266-1</f>
        <v/>
      </c>
      <c r="G267">
        <f>'对齐'!C267/'对齐'!C$2*100</f>
        <v/>
      </c>
      <c r="H267">
        <f>'对齐'!C267/MAX('对齐'!C$2:'对齐'!C267)-1</f>
        <v/>
      </c>
      <c r="I267">
        <f>IF(ROW()-2&gt;='参数'!$B$2,STDEV(OFFSET(F267,1-'参数'!$B$2,0,'参数'!$B$2,1))*SQRT('参数'!$B$3),"")</f>
        <v/>
      </c>
    </row>
    <row r="268">
      <c r="A268">
        <f>'对齐'!A268</f>
        <v/>
      </c>
      <c r="B268">
        <f>'对齐'!B268/'对齐'!B267-1</f>
        <v/>
      </c>
      <c r="C268">
        <f>'对齐'!B268/'对齐'!B$2*100</f>
        <v/>
      </c>
      <c r="D268">
        <f>'对齐'!B268/MAX('对齐'!B$2:'对齐'!B268)-1</f>
        <v/>
      </c>
      <c r="E268">
        <f>IF(ROW()-2&gt;='参数'!$B$2,STDEV(OFFSET(B268,1-'参数'!$B$2,0,'参数'!$B$2,1))*SQRT('参数'!$B$3),"")</f>
        <v/>
      </c>
      <c r="F268">
        <f>'对齐'!C268/'对齐'!C267-1</f>
        <v/>
      </c>
      <c r="G268">
        <f>'对齐'!C268/'对齐'!C$2*100</f>
        <v/>
      </c>
      <c r="H268">
        <f>'对齐'!C268/MAX('对齐'!C$2:'对齐'!C268)-1</f>
        <v/>
      </c>
      <c r="I268">
        <f>IF(ROW()-2&gt;='参数'!$B$2,STDEV(OFFSET(F268,1-'参数'!$B$2,0,'参数'!$B$2,1))*SQRT('参数'!$B$3),"")</f>
        <v/>
      </c>
    </row>
    <row r="269">
      <c r="A269">
        <f>'对齐'!A269</f>
        <v/>
      </c>
      <c r="B269">
        <f>'对齐'!B269/'对齐'!B268-1</f>
        <v/>
      </c>
      <c r="C269">
        <f>'对齐'!B269/'对齐'!B$2*100</f>
        <v/>
      </c>
      <c r="D269">
        <f>'对齐'!B269/MAX('对齐'!B$2:'对齐'!B269)-1</f>
        <v/>
      </c>
      <c r="E269">
        <f>IF(ROW()-2&gt;='参数'!$B$2,STDEV(OFFSET(B269,1-'参数'!$B$2,0,'参数'!$B$2,1))*SQRT('参数'!$B$3),"")</f>
        <v/>
      </c>
      <c r="F269">
        <f>'对齐'!C269/'对齐'!C268-1</f>
        <v/>
      </c>
      <c r="G269">
        <f>'对齐'!C269/'对齐'!C$2*100</f>
        <v/>
      </c>
      <c r="H269">
        <f>'对齐'!C269/MAX('对齐'!C$2:'对齐'!C269)-1</f>
        <v/>
      </c>
      <c r="I269">
        <f>IF(ROW()-2&gt;='参数'!$B$2,STDEV(OFFSET(F269,1-'参数'!$B$2,0,'参数'!$B$2,1))*SQRT('参数'!$B$3),"")</f>
        <v/>
      </c>
    </row>
    <row r="270">
      <c r="A270">
        <f>'对齐'!A270</f>
        <v/>
      </c>
      <c r="B270">
        <f>'对齐'!B270/'对齐'!B269-1</f>
        <v/>
      </c>
      <c r="C270">
        <f>'对齐'!B270/'对齐'!B$2*100</f>
        <v/>
      </c>
      <c r="D270">
        <f>'对齐'!B270/MAX('对齐'!B$2:'对齐'!B270)-1</f>
        <v/>
      </c>
      <c r="E270">
        <f>IF(ROW()-2&gt;='参数'!$B$2,STDEV(OFFSET(B270,1-'参数'!$B$2,0,'参数'!$B$2,1))*SQRT('参数'!$B$3),"")</f>
        <v/>
      </c>
      <c r="F270">
        <f>'对齐'!C270/'对齐'!C269-1</f>
        <v/>
      </c>
      <c r="G270">
        <f>'对齐'!C270/'对齐'!C$2*100</f>
        <v/>
      </c>
      <c r="H270">
        <f>'对齐'!C270/MAX('对齐'!C$2:'对齐'!C270)-1</f>
        <v/>
      </c>
      <c r="I270">
        <f>IF(ROW()-2&gt;='参数'!$B$2,STDEV(OFFSET(F270,1-'参数'!$B$2,0,'参数'!$B$2,1))*SQRT('参数'!$B$3),"")</f>
        <v/>
      </c>
    </row>
    <row r="271">
      <c r="A271">
        <f>'对齐'!A271</f>
        <v/>
      </c>
      <c r="B271">
        <f>'对齐'!B271/'对齐'!B270-1</f>
        <v/>
      </c>
      <c r="C271">
        <f>'对齐'!B271/'对齐'!B$2*100</f>
        <v/>
      </c>
      <c r="D271">
        <f>'对齐'!B271/MAX('对齐'!B$2:'对齐'!B271)-1</f>
        <v/>
      </c>
      <c r="E271">
        <f>IF(ROW()-2&gt;='参数'!$B$2,STDEV(OFFSET(B271,1-'参数'!$B$2,0,'参数'!$B$2,1))*SQRT('参数'!$B$3),"")</f>
        <v/>
      </c>
      <c r="F271">
        <f>'对齐'!C271/'对齐'!C270-1</f>
        <v/>
      </c>
      <c r="G271">
        <f>'对齐'!C271/'对齐'!C$2*100</f>
        <v/>
      </c>
      <c r="H271">
        <f>'对齐'!C271/MAX('对齐'!C$2:'对齐'!C271)-1</f>
        <v/>
      </c>
      <c r="I271">
        <f>IF(ROW()-2&gt;='参数'!$B$2,STDEV(OFFSET(F271,1-'参数'!$B$2,0,'参数'!$B$2,1))*SQRT('参数'!$B$3),"")</f>
        <v/>
      </c>
    </row>
    <row r="272">
      <c r="A272">
        <f>'对齐'!A272</f>
        <v/>
      </c>
      <c r="B272">
        <f>'对齐'!B272/'对齐'!B271-1</f>
        <v/>
      </c>
      <c r="C272">
        <f>'对齐'!B272/'对齐'!B$2*100</f>
        <v/>
      </c>
      <c r="D272">
        <f>'对齐'!B272/MAX('对齐'!B$2:'对齐'!B272)-1</f>
        <v/>
      </c>
      <c r="E272">
        <f>IF(ROW()-2&gt;='参数'!$B$2,STDEV(OFFSET(B272,1-'参数'!$B$2,0,'参数'!$B$2,1))*SQRT('参数'!$B$3),"")</f>
        <v/>
      </c>
      <c r="F272">
        <f>'对齐'!C272/'对齐'!C271-1</f>
        <v/>
      </c>
      <c r="G272">
        <f>'对齐'!C272/'对齐'!C$2*100</f>
        <v/>
      </c>
      <c r="H272">
        <f>'对齐'!C272/MAX('对齐'!C$2:'对齐'!C272)-1</f>
        <v/>
      </c>
      <c r="I272">
        <f>IF(ROW()-2&gt;='参数'!$B$2,STDEV(OFFSET(F272,1-'参数'!$B$2,0,'参数'!$B$2,1))*SQRT('参数'!$B$3),"")</f>
        <v/>
      </c>
    </row>
    <row r="273">
      <c r="A273">
        <f>'对齐'!A273</f>
        <v/>
      </c>
      <c r="B273">
        <f>'对齐'!B273/'对齐'!B272-1</f>
        <v/>
      </c>
      <c r="C273">
        <f>'对齐'!B273/'对齐'!B$2*100</f>
        <v/>
      </c>
      <c r="D273">
        <f>'对齐'!B273/MAX('对齐'!B$2:'对齐'!B273)-1</f>
        <v/>
      </c>
      <c r="E273">
        <f>IF(ROW()-2&gt;='参数'!$B$2,STDEV(OFFSET(B273,1-'参数'!$B$2,0,'参数'!$B$2,1))*SQRT('参数'!$B$3),"")</f>
        <v/>
      </c>
      <c r="F273">
        <f>'对齐'!C273/'对齐'!C272-1</f>
        <v/>
      </c>
      <c r="G273">
        <f>'对齐'!C273/'对齐'!C$2*100</f>
        <v/>
      </c>
      <c r="H273">
        <f>'对齐'!C273/MAX('对齐'!C$2:'对齐'!C273)-1</f>
        <v/>
      </c>
      <c r="I273">
        <f>IF(ROW()-2&gt;='参数'!$B$2,STDEV(OFFSET(F273,1-'参数'!$B$2,0,'参数'!$B$2,1))*SQRT('参数'!$B$3),"")</f>
        <v/>
      </c>
    </row>
    <row r="274">
      <c r="A274">
        <f>'对齐'!A274</f>
        <v/>
      </c>
      <c r="B274">
        <f>'对齐'!B274/'对齐'!B273-1</f>
        <v/>
      </c>
      <c r="C274">
        <f>'对齐'!B274/'对齐'!B$2*100</f>
        <v/>
      </c>
      <c r="D274">
        <f>'对齐'!B274/MAX('对齐'!B$2:'对齐'!B274)-1</f>
        <v/>
      </c>
      <c r="E274">
        <f>IF(ROW()-2&gt;='参数'!$B$2,STDEV(OFFSET(B274,1-'参数'!$B$2,0,'参数'!$B$2,1))*SQRT('参数'!$B$3),"")</f>
        <v/>
      </c>
      <c r="F274">
        <f>'对齐'!C274/'对齐'!C273-1</f>
        <v/>
      </c>
      <c r="G274">
        <f>'对齐'!C274/'对齐'!C$2*100</f>
        <v/>
      </c>
      <c r="H274">
        <f>'对齐'!C274/MAX('对齐'!C$2:'对齐'!C274)-1</f>
        <v/>
      </c>
      <c r="I274">
        <f>IF(ROW()-2&gt;='参数'!$B$2,STDEV(OFFSET(F274,1-'参数'!$B$2,0,'参数'!$B$2,1))*SQRT('参数'!$B$3),"")</f>
        <v/>
      </c>
    </row>
    <row r="275">
      <c r="A275">
        <f>'对齐'!A275</f>
        <v/>
      </c>
      <c r="B275">
        <f>'对齐'!B275/'对齐'!B274-1</f>
        <v/>
      </c>
      <c r="C275">
        <f>'对齐'!B275/'对齐'!B$2*100</f>
        <v/>
      </c>
      <c r="D275">
        <f>'对齐'!B275/MAX('对齐'!B$2:'对齐'!B275)-1</f>
        <v/>
      </c>
      <c r="E275">
        <f>IF(ROW()-2&gt;='参数'!$B$2,STDEV(OFFSET(B275,1-'参数'!$B$2,0,'参数'!$B$2,1))*SQRT('参数'!$B$3),"")</f>
        <v/>
      </c>
      <c r="F275">
        <f>'对齐'!C275/'对齐'!C274-1</f>
        <v/>
      </c>
      <c r="G275">
        <f>'对齐'!C275/'对齐'!C$2*100</f>
        <v/>
      </c>
      <c r="H275">
        <f>'对齐'!C275/MAX('对齐'!C$2:'对齐'!C275)-1</f>
        <v/>
      </c>
      <c r="I275">
        <f>IF(ROW()-2&gt;='参数'!$B$2,STDEV(OFFSET(F275,1-'参数'!$B$2,0,'参数'!$B$2,1))*SQRT('参数'!$B$3),"")</f>
        <v/>
      </c>
    </row>
    <row r="276">
      <c r="A276">
        <f>'对齐'!A276</f>
        <v/>
      </c>
      <c r="B276">
        <f>'对齐'!B276/'对齐'!B275-1</f>
        <v/>
      </c>
      <c r="C276">
        <f>'对齐'!B276/'对齐'!B$2*100</f>
        <v/>
      </c>
      <c r="D276">
        <f>'对齐'!B276/MAX('对齐'!B$2:'对齐'!B276)-1</f>
        <v/>
      </c>
      <c r="E276">
        <f>IF(ROW()-2&gt;='参数'!$B$2,STDEV(OFFSET(B276,1-'参数'!$B$2,0,'参数'!$B$2,1))*SQRT('参数'!$B$3),"")</f>
        <v/>
      </c>
      <c r="F276">
        <f>'对齐'!C276/'对齐'!C275-1</f>
        <v/>
      </c>
      <c r="G276">
        <f>'对齐'!C276/'对齐'!C$2*100</f>
        <v/>
      </c>
      <c r="H276">
        <f>'对齐'!C276/MAX('对齐'!C$2:'对齐'!C276)-1</f>
        <v/>
      </c>
      <c r="I276">
        <f>IF(ROW()-2&gt;='参数'!$B$2,STDEV(OFFSET(F276,1-'参数'!$B$2,0,'参数'!$B$2,1))*SQRT('参数'!$B$3),"")</f>
        <v/>
      </c>
    </row>
    <row r="277">
      <c r="A277">
        <f>'对齐'!A277</f>
        <v/>
      </c>
      <c r="B277">
        <f>'对齐'!B277/'对齐'!B276-1</f>
        <v/>
      </c>
      <c r="C277">
        <f>'对齐'!B277/'对齐'!B$2*100</f>
        <v/>
      </c>
      <c r="D277">
        <f>'对齐'!B277/MAX('对齐'!B$2:'对齐'!B277)-1</f>
        <v/>
      </c>
      <c r="E277">
        <f>IF(ROW()-2&gt;='参数'!$B$2,STDEV(OFFSET(B277,1-'参数'!$B$2,0,'参数'!$B$2,1))*SQRT('参数'!$B$3),"")</f>
        <v/>
      </c>
      <c r="F277">
        <f>'对齐'!C277/'对齐'!C276-1</f>
        <v/>
      </c>
      <c r="G277">
        <f>'对齐'!C277/'对齐'!C$2*100</f>
        <v/>
      </c>
      <c r="H277">
        <f>'对齐'!C277/MAX('对齐'!C$2:'对齐'!C277)-1</f>
        <v/>
      </c>
      <c r="I277">
        <f>IF(ROW()-2&gt;='参数'!$B$2,STDEV(OFFSET(F277,1-'参数'!$B$2,0,'参数'!$B$2,1))*SQRT('参数'!$B$3),"")</f>
        <v/>
      </c>
    </row>
    <row r="278">
      <c r="A278">
        <f>'对齐'!A278</f>
        <v/>
      </c>
      <c r="B278">
        <f>'对齐'!B278/'对齐'!B277-1</f>
        <v/>
      </c>
      <c r="C278">
        <f>'对齐'!B278/'对齐'!B$2*100</f>
        <v/>
      </c>
      <c r="D278">
        <f>'对齐'!B278/MAX('对齐'!B$2:'对齐'!B278)-1</f>
        <v/>
      </c>
      <c r="E278">
        <f>IF(ROW()-2&gt;='参数'!$B$2,STDEV(OFFSET(B278,1-'参数'!$B$2,0,'参数'!$B$2,1))*SQRT('参数'!$B$3),"")</f>
        <v/>
      </c>
      <c r="F278">
        <f>'对齐'!C278/'对齐'!C277-1</f>
        <v/>
      </c>
      <c r="G278">
        <f>'对齐'!C278/'对齐'!C$2*100</f>
        <v/>
      </c>
      <c r="H278">
        <f>'对齐'!C278/MAX('对齐'!C$2:'对齐'!C278)-1</f>
        <v/>
      </c>
      <c r="I278">
        <f>IF(ROW()-2&gt;='参数'!$B$2,STDEV(OFFSET(F278,1-'参数'!$B$2,0,'参数'!$B$2,1))*SQRT('参数'!$B$3),"")</f>
        <v/>
      </c>
    </row>
    <row r="279">
      <c r="A279">
        <f>'对齐'!A279</f>
        <v/>
      </c>
      <c r="B279">
        <f>'对齐'!B279/'对齐'!B278-1</f>
        <v/>
      </c>
      <c r="C279">
        <f>'对齐'!B279/'对齐'!B$2*100</f>
        <v/>
      </c>
      <c r="D279">
        <f>'对齐'!B279/MAX('对齐'!B$2:'对齐'!B279)-1</f>
        <v/>
      </c>
      <c r="E279">
        <f>IF(ROW()-2&gt;='参数'!$B$2,STDEV(OFFSET(B279,1-'参数'!$B$2,0,'参数'!$B$2,1))*SQRT('参数'!$B$3),"")</f>
        <v/>
      </c>
      <c r="F279">
        <f>'对齐'!C279/'对齐'!C278-1</f>
        <v/>
      </c>
      <c r="G279">
        <f>'对齐'!C279/'对齐'!C$2*100</f>
        <v/>
      </c>
      <c r="H279">
        <f>'对齐'!C279/MAX('对齐'!C$2:'对齐'!C279)-1</f>
        <v/>
      </c>
      <c r="I279">
        <f>IF(ROW()-2&gt;='参数'!$B$2,STDEV(OFFSET(F279,1-'参数'!$B$2,0,'参数'!$B$2,1))*SQRT('参数'!$B$3),"")</f>
        <v/>
      </c>
    </row>
    <row r="280">
      <c r="A280">
        <f>'对齐'!A280</f>
        <v/>
      </c>
      <c r="B280">
        <f>'对齐'!B280/'对齐'!B279-1</f>
        <v/>
      </c>
      <c r="C280">
        <f>'对齐'!B280/'对齐'!B$2*100</f>
        <v/>
      </c>
      <c r="D280">
        <f>'对齐'!B280/MAX('对齐'!B$2:'对齐'!B280)-1</f>
        <v/>
      </c>
      <c r="E280">
        <f>IF(ROW()-2&gt;='参数'!$B$2,STDEV(OFFSET(B280,1-'参数'!$B$2,0,'参数'!$B$2,1))*SQRT('参数'!$B$3),"")</f>
        <v/>
      </c>
      <c r="F280">
        <f>'对齐'!C280/'对齐'!C279-1</f>
        <v/>
      </c>
      <c r="G280">
        <f>'对齐'!C280/'对齐'!C$2*100</f>
        <v/>
      </c>
      <c r="H280">
        <f>'对齐'!C280/MAX('对齐'!C$2:'对齐'!C280)-1</f>
        <v/>
      </c>
      <c r="I280">
        <f>IF(ROW()-2&gt;='参数'!$B$2,STDEV(OFFSET(F280,1-'参数'!$B$2,0,'参数'!$B$2,1))*SQRT('参数'!$B$3),"")</f>
        <v/>
      </c>
    </row>
    <row r="281">
      <c r="A281">
        <f>'对齐'!A281</f>
        <v/>
      </c>
      <c r="B281">
        <f>'对齐'!B281/'对齐'!B280-1</f>
        <v/>
      </c>
      <c r="C281">
        <f>'对齐'!B281/'对齐'!B$2*100</f>
        <v/>
      </c>
      <c r="D281">
        <f>'对齐'!B281/MAX('对齐'!B$2:'对齐'!B281)-1</f>
        <v/>
      </c>
      <c r="E281">
        <f>IF(ROW()-2&gt;='参数'!$B$2,STDEV(OFFSET(B281,1-'参数'!$B$2,0,'参数'!$B$2,1))*SQRT('参数'!$B$3),"")</f>
        <v/>
      </c>
      <c r="F281">
        <f>'对齐'!C281/'对齐'!C280-1</f>
        <v/>
      </c>
      <c r="G281">
        <f>'对齐'!C281/'对齐'!C$2*100</f>
        <v/>
      </c>
      <c r="H281">
        <f>'对齐'!C281/MAX('对齐'!C$2:'对齐'!C281)-1</f>
        <v/>
      </c>
      <c r="I281">
        <f>IF(ROW()-2&gt;='参数'!$B$2,STDEV(OFFSET(F281,1-'参数'!$B$2,0,'参数'!$B$2,1))*SQRT('参数'!$B$3),"")</f>
        <v/>
      </c>
    </row>
    <row r="282">
      <c r="A282">
        <f>'对齐'!A282</f>
        <v/>
      </c>
      <c r="B282">
        <f>'对齐'!B282/'对齐'!B281-1</f>
        <v/>
      </c>
      <c r="C282">
        <f>'对齐'!B282/'对齐'!B$2*100</f>
        <v/>
      </c>
      <c r="D282">
        <f>'对齐'!B282/MAX('对齐'!B$2:'对齐'!B282)-1</f>
        <v/>
      </c>
      <c r="E282">
        <f>IF(ROW()-2&gt;='参数'!$B$2,STDEV(OFFSET(B282,1-'参数'!$B$2,0,'参数'!$B$2,1))*SQRT('参数'!$B$3),"")</f>
        <v/>
      </c>
      <c r="F282">
        <f>'对齐'!C282/'对齐'!C281-1</f>
        <v/>
      </c>
      <c r="G282">
        <f>'对齐'!C282/'对齐'!C$2*100</f>
        <v/>
      </c>
      <c r="H282">
        <f>'对齐'!C282/MAX('对齐'!C$2:'对齐'!C282)-1</f>
        <v/>
      </c>
      <c r="I282">
        <f>IF(ROW()-2&gt;='参数'!$B$2,STDEV(OFFSET(F282,1-'参数'!$B$2,0,'参数'!$B$2,1))*SQRT('参数'!$B$3),"")</f>
        <v/>
      </c>
    </row>
    <row r="283">
      <c r="A283">
        <f>'对齐'!A283</f>
        <v/>
      </c>
      <c r="B283">
        <f>'对齐'!B283/'对齐'!B282-1</f>
        <v/>
      </c>
      <c r="C283">
        <f>'对齐'!B283/'对齐'!B$2*100</f>
        <v/>
      </c>
      <c r="D283">
        <f>'对齐'!B283/MAX('对齐'!B$2:'对齐'!B283)-1</f>
        <v/>
      </c>
      <c r="E283">
        <f>IF(ROW()-2&gt;='参数'!$B$2,STDEV(OFFSET(B283,1-'参数'!$B$2,0,'参数'!$B$2,1))*SQRT('参数'!$B$3),"")</f>
        <v/>
      </c>
      <c r="F283">
        <f>'对齐'!C283/'对齐'!C282-1</f>
        <v/>
      </c>
      <c r="G283">
        <f>'对齐'!C283/'对齐'!C$2*100</f>
        <v/>
      </c>
      <c r="H283">
        <f>'对齐'!C283/MAX('对齐'!C$2:'对齐'!C283)-1</f>
        <v/>
      </c>
      <c r="I283">
        <f>IF(ROW()-2&gt;='参数'!$B$2,STDEV(OFFSET(F283,1-'参数'!$B$2,0,'参数'!$B$2,1))*SQRT('参数'!$B$3),"")</f>
        <v/>
      </c>
    </row>
    <row r="284">
      <c r="A284">
        <f>'对齐'!A284</f>
        <v/>
      </c>
      <c r="B284">
        <f>'对齐'!B284/'对齐'!B283-1</f>
        <v/>
      </c>
      <c r="C284">
        <f>'对齐'!B284/'对齐'!B$2*100</f>
        <v/>
      </c>
      <c r="D284">
        <f>'对齐'!B284/MAX('对齐'!B$2:'对齐'!B284)-1</f>
        <v/>
      </c>
      <c r="E284">
        <f>IF(ROW()-2&gt;='参数'!$B$2,STDEV(OFFSET(B284,1-'参数'!$B$2,0,'参数'!$B$2,1))*SQRT('参数'!$B$3),"")</f>
        <v/>
      </c>
      <c r="F284">
        <f>'对齐'!C284/'对齐'!C283-1</f>
        <v/>
      </c>
      <c r="G284">
        <f>'对齐'!C284/'对齐'!C$2*100</f>
        <v/>
      </c>
      <c r="H284">
        <f>'对齐'!C284/MAX('对齐'!C$2:'对齐'!C284)-1</f>
        <v/>
      </c>
      <c r="I284">
        <f>IF(ROW()-2&gt;='参数'!$B$2,STDEV(OFFSET(F284,1-'参数'!$B$2,0,'参数'!$B$2,1))*SQRT('参数'!$B$3),"")</f>
        <v/>
      </c>
    </row>
    <row r="285">
      <c r="A285">
        <f>'对齐'!A285</f>
        <v/>
      </c>
      <c r="B285">
        <f>'对齐'!B285/'对齐'!B284-1</f>
        <v/>
      </c>
      <c r="C285">
        <f>'对齐'!B285/'对齐'!B$2*100</f>
        <v/>
      </c>
      <c r="D285">
        <f>'对齐'!B285/MAX('对齐'!B$2:'对齐'!B285)-1</f>
        <v/>
      </c>
      <c r="E285">
        <f>IF(ROW()-2&gt;='参数'!$B$2,STDEV(OFFSET(B285,1-'参数'!$B$2,0,'参数'!$B$2,1))*SQRT('参数'!$B$3),"")</f>
        <v/>
      </c>
      <c r="F285">
        <f>'对齐'!C285/'对齐'!C284-1</f>
        <v/>
      </c>
      <c r="G285">
        <f>'对齐'!C285/'对齐'!C$2*100</f>
        <v/>
      </c>
      <c r="H285">
        <f>'对齐'!C285/MAX('对齐'!C$2:'对齐'!C285)-1</f>
        <v/>
      </c>
      <c r="I285">
        <f>IF(ROW()-2&gt;='参数'!$B$2,STDEV(OFFSET(F285,1-'参数'!$B$2,0,'参数'!$B$2,1))*SQRT('参数'!$B$3),"")</f>
        <v/>
      </c>
    </row>
    <row r="286">
      <c r="A286">
        <f>'对齐'!A286</f>
        <v/>
      </c>
      <c r="B286">
        <f>'对齐'!B286/'对齐'!B285-1</f>
        <v/>
      </c>
      <c r="C286">
        <f>'对齐'!B286/'对齐'!B$2*100</f>
        <v/>
      </c>
      <c r="D286">
        <f>'对齐'!B286/MAX('对齐'!B$2:'对齐'!B286)-1</f>
        <v/>
      </c>
      <c r="E286">
        <f>IF(ROW()-2&gt;='参数'!$B$2,STDEV(OFFSET(B286,1-'参数'!$B$2,0,'参数'!$B$2,1))*SQRT('参数'!$B$3),"")</f>
        <v/>
      </c>
      <c r="F286">
        <f>'对齐'!C286/'对齐'!C285-1</f>
        <v/>
      </c>
      <c r="G286">
        <f>'对齐'!C286/'对齐'!C$2*100</f>
        <v/>
      </c>
      <c r="H286">
        <f>'对齐'!C286/MAX('对齐'!C$2:'对齐'!C286)-1</f>
        <v/>
      </c>
      <c r="I286">
        <f>IF(ROW()-2&gt;='参数'!$B$2,STDEV(OFFSET(F286,1-'参数'!$B$2,0,'参数'!$B$2,1))*SQRT('参数'!$B$3),"")</f>
        <v/>
      </c>
    </row>
    <row r="287">
      <c r="A287">
        <f>'对齐'!A287</f>
        <v/>
      </c>
      <c r="B287">
        <f>'对齐'!B287/'对齐'!B286-1</f>
        <v/>
      </c>
      <c r="C287">
        <f>'对齐'!B287/'对齐'!B$2*100</f>
        <v/>
      </c>
      <c r="D287">
        <f>'对齐'!B287/MAX('对齐'!B$2:'对齐'!B287)-1</f>
        <v/>
      </c>
      <c r="E287">
        <f>IF(ROW()-2&gt;='参数'!$B$2,STDEV(OFFSET(B287,1-'参数'!$B$2,0,'参数'!$B$2,1))*SQRT('参数'!$B$3),"")</f>
        <v/>
      </c>
      <c r="F287">
        <f>'对齐'!C287/'对齐'!C286-1</f>
        <v/>
      </c>
      <c r="G287">
        <f>'对齐'!C287/'对齐'!C$2*100</f>
        <v/>
      </c>
      <c r="H287">
        <f>'对齐'!C287/MAX('对齐'!C$2:'对齐'!C287)-1</f>
        <v/>
      </c>
      <c r="I287">
        <f>IF(ROW()-2&gt;='参数'!$B$2,STDEV(OFFSET(F287,1-'参数'!$B$2,0,'参数'!$B$2,1))*SQRT('参数'!$B$3),"")</f>
        <v/>
      </c>
    </row>
    <row r="288">
      <c r="A288">
        <f>'对齐'!A288</f>
        <v/>
      </c>
      <c r="B288">
        <f>'对齐'!B288/'对齐'!B287-1</f>
        <v/>
      </c>
      <c r="C288">
        <f>'对齐'!B288/'对齐'!B$2*100</f>
        <v/>
      </c>
      <c r="D288">
        <f>'对齐'!B288/MAX('对齐'!B$2:'对齐'!B288)-1</f>
        <v/>
      </c>
      <c r="E288">
        <f>IF(ROW()-2&gt;='参数'!$B$2,STDEV(OFFSET(B288,1-'参数'!$B$2,0,'参数'!$B$2,1))*SQRT('参数'!$B$3),"")</f>
        <v/>
      </c>
      <c r="F288">
        <f>'对齐'!C288/'对齐'!C287-1</f>
        <v/>
      </c>
      <c r="G288">
        <f>'对齐'!C288/'对齐'!C$2*100</f>
        <v/>
      </c>
      <c r="H288">
        <f>'对齐'!C288/MAX('对齐'!C$2:'对齐'!C288)-1</f>
        <v/>
      </c>
      <c r="I288">
        <f>IF(ROW()-2&gt;='参数'!$B$2,STDEV(OFFSET(F288,1-'参数'!$B$2,0,'参数'!$B$2,1))*SQRT('参数'!$B$3),"")</f>
        <v/>
      </c>
    </row>
    <row r="289">
      <c r="A289">
        <f>'对齐'!A289</f>
        <v/>
      </c>
      <c r="B289">
        <f>'对齐'!B289/'对齐'!B288-1</f>
        <v/>
      </c>
      <c r="C289">
        <f>'对齐'!B289/'对齐'!B$2*100</f>
        <v/>
      </c>
      <c r="D289">
        <f>'对齐'!B289/MAX('对齐'!B$2:'对齐'!B289)-1</f>
        <v/>
      </c>
      <c r="E289">
        <f>IF(ROW()-2&gt;='参数'!$B$2,STDEV(OFFSET(B289,1-'参数'!$B$2,0,'参数'!$B$2,1))*SQRT('参数'!$B$3),"")</f>
        <v/>
      </c>
      <c r="F289">
        <f>'对齐'!C289/'对齐'!C288-1</f>
        <v/>
      </c>
      <c r="G289">
        <f>'对齐'!C289/'对齐'!C$2*100</f>
        <v/>
      </c>
      <c r="H289">
        <f>'对齐'!C289/MAX('对齐'!C$2:'对齐'!C289)-1</f>
        <v/>
      </c>
      <c r="I289">
        <f>IF(ROW()-2&gt;='参数'!$B$2,STDEV(OFFSET(F289,1-'参数'!$B$2,0,'参数'!$B$2,1))*SQRT('参数'!$B$3),"")</f>
        <v/>
      </c>
    </row>
    <row r="290">
      <c r="A290">
        <f>'对齐'!A290</f>
        <v/>
      </c>
      <c r="B290">
        <f>'对齐'!B290/'对齐'!B289-1</f>
        <v/>
      </c>
      <c r="C290">
        <f>'对齐'!B290/'对齐'!B$2*100</f>
        <v/>
      </c>
      <c r="D290">
        <f>'对齐'!B290/MAX('对齐'!B$2:'对齐'!B290)-1</f>
        <v/>
      </c>
      <c r="E290">
        <f>IF(ROW()-2&gt;='参数'!$B$2,STDEV(OFFSET(B290,1-'参数'!$B$2,0,'参数'!$B$2,1))*SQRT('参数'!$B$3),"")</f>
        <v/>
      </c>
      <c r="F290">
        <f>'对齐'!C290/'对齐'!C289-1</f>
        <v/>
      </c>
      <c r="G290">
        <f>'对齐'!C290/'对齐'!C$2*100</f>
        <v/>
      </c>
      <c r="H290">
        <f>'对齐'!C290/MAX('对齐'!C$2:'对齐'!C290)-1</f>
        <v/>
      </c>
      <c r="I290">
        <f>IF(ROW()-2&gt;='参数'!$B$2,STDEV(OFFSET(F290,1-'参数'!$B$2,0,'参数'!$B$2,1))*SQRT('参数'!$B$3),"")</f>
        <v/>
      </c>
    </row>
    <row r="291">
      <c r="A291">
        <f>'对齐'!A291</f>
        <v/>
      </c>
      <c r="B291">
        <f>'对齐'!B291/'对齐'!B290-1</f>
        <v/>
      </c>
      <c r="C291">
        <f>'对齐'!B291/'对齐'!B$2*100</f>
        <v/>
      </c>
      <c r="D291">
        <f>'对齐'!B291/MAX('对齐'!B$2:'对齐'!B291)-1</f>
        <v/>
      </c>
      <c r="E291">
        <f>IF(ROW()-2&gt;='参数'!$B$2,STDEV(OFFSET(B291,1-'参数'!$B$2,0,'参数'!$B$2,1))*SQRT('参数'!$B$3),"")</f>
        <v/>
      </c>
      <c r="F291">
        <f>'对齐'!C291/'对齐'!C290-1</f>
        <v/>
      </c>
      <c r="G291">
        <f>'对齐'!C291/'对齐'!C$2*100</f>
        <v/>
      </c>
      <c r="H291">
        <f>'对齐'!C291/MAX('对齐'!C$2:'对齐'!C291)-1</f>
        <v/>
      </c>
      <c r="I291">
        <f>IF(ROW()-2&gt;='参数'!$B$2,STDEV(OFFSET(F291,1-'参数'!$B$2,0,'参数'!$B$2,1))*SQRT('参数'!$B$3),"")</f>
        <v/>
      </c>
    </row>
    <row r="292">
      <c r="A292">
        <f>'对齐'!A292</f>
        <v/>
      </c>
      <c r="B292">
        <f>'对齐'!B292/'对齐'!B291-1</f>
        <v/>
      </c>
      <c r="C292">
        <f>'对齐'!B292/'对齐'!B$2*100</f>
        <v/>
      </c>
      <c r="D292">
        <f>'对齐'!B292/MAX('对齐'!B$2:'对齐'!B292)-1</f>
        <v/>
      </c>
      <c r="E292">
        <f>IF(ROW()-2&gt;='参数'!$B$2,STDEV(OFFSET(B292,1-'参数'!$B$2,0,'参数'!$B$2,1))*SQRT('参数'!$B$3),"")</f>
        <v/>
      </c>
      <c r="F292">
        <f>'对齐'!C292/'对齐'!C291-1</f>
        <v/>
      </c>
      <c r="G292">
        <f>'对齐'!C292/'对齐'!C$2*100</f>
        <v/>
      </c>
      <c r="H292">
        <f>'对齐'!C292/MAX('对齐'!C$2:'对齐'!C292)-1</f>
        <v/>
      </c>
      <c r="I292">
        <f>IF(ROW()-2&gt;='参数'!$B$2,STDEV(OFFSET(F292,1-'参数'!$B$2,0,'参数'!$B$2,1))*SQRT('参数'!$B$3),"")</f>
        <v/>
      </c>
    </row>
    <row r="293">
      <c r="A293">
        <f>'对齐'!A293</f>
        <v/>
      </c>
      <c r="B293">
        <f>'对齐'!B293/'对齐'!B292-1</f>
        <v/>
      </c>
      <c r="C293">
        <f>'对齐'!B293/'对齐'!B$2*100</f>
        <v/>
      </c>
      <c r="D293">
        <f>'对齐'!B293/MAX('对齐'!B$2:'对齐'!B293)-1</f>
        <v/>
      </c>
      <c r="E293">
        <f>IF(ROW()-2&gt;='参数'!$B$2,STDEV(OFFSET(B293,1-'参数'!$B$2,0,'参数'!$B$2,1))*SQRT('参数'!$B$3),"")</f>
        <v/>
      </c>
      <c r="F293">
        <f>'对齐'!C293/'对齐'!C292-1</f>
        <v/>
      </c>
      <c r="G293">
        <f>'对齐'!C293/'对齐'!C$2*100</f>
        <v/>
      </c>
      <c r="H293">
        <f>'对齐'!C293/MAX('对齐'!C$2:'对齐'!C293)-1</f>
        <v/>
      </c>
      <c r="I293">
        <f>IF(ROW()-2&gt;='参数'!$B$2,STDEV(OFFSET(F293,1-'参数'!$B$2,0,'参数'!$B$2,1))*SQRT('参数'!$B$3),"")</f>
        <v/>
      </c>
    </row>
    <row r="294">
      <c r="A294">
        <f>'对齐'!A294</f>
        <v/>
      </c>
      <c r="B294">
        <f>'对齐'!B294/'对齐'!B293-1</f>
        <v/>
      </c>
      <c r="C294">
        <f>'对齐'!B294/'对齐'!B$2*100</f>
        <v/>
      </c>
      <c r="D294">
        <f>'对齐'!B294/MAX('对齐'!B$2:'对齐'!B294)-1</f>
        <v/>
      </c>
      <c r="E294">
        <f>IF(ROW()-2&gt;='参数'!$B$2,STDEV(OFFSET(B294,1-'参数'!$B$2,0,'参数'!$B$2,1))*SQRT('参数'!$B$3),"")</f>
        <v/>
      </c>
      <c r="F294">
        <f>'对齐'!C294/'对齐'!C293-1</f>
        <v/>
      </c>
      <c r="G294">
        <f>'对齐'!C294/'对齐'!C$2*100</f>
        <v/>
      </c>
      <c r="H294">
        <f>'对齐'!C294/MAX('对齐'!C$2:'对齐'!C294)-1</f>
        <v/>
      </c>
      <c r="I294">
        <f>IF(ROW()-2&gt;='参数'!$B$2,STDEV(OFFSET(F294,1-'参数'!$B$2,0,'参数'!$B$2,1))*SQRT('参数'!$B$3),"")</f>
        <v/>
      </c>
    </row>
    <row r="295">
      <c r="A295">
        <f>'对齐'!A295</f>
        <v/>
      </c>
      <c r="B295">
        <f>'对齐'!B295/'对齐'!B294-1</f>
        <v/>
      </c>
      <c r="C295">
        <f>'对齐'!B295/'对齐'!B$2*100</f>
        <v/>
      </c>
      <c r="D295">
        <f>'对齐'!B295/MAX('对齐'!B$2:'对齐'!B295)-1</f>
        <v/>
      </c>
      <c r="E295">
        <f>IF(ROW()-2&gt;='参数'!$B$2,STDEV(OFFSET(B295,1-'参数'!$B$2,0,'参数'!$B$2,1))*SQRT('参数'!$B$3),"")</f>
        <v/>
      </c>
      <c r="F295">
        <f>'对齐'!C295/'对齐'!C294-1</f>
        <v/>
      </c>
      <c r="G295">
        <f>'对齐'!C295/'对齐'!C$2*100</f>
        <v/>
      </c>
      <c r="H295">
        <f>'对齐'!C295/MAX('对齐'!C$2:'对齐'!C295)-1</f>
        <v/>
      </c>
      <c r="I295">
        <f>IF(ROW()-2&gt;='参数'!$B$2,STDEV(OFFSET(F295,1-'参数'!$B$2,0,'参数'!$B$2,1))*SQRT('参数'!$B$3),"")</f>
        <v/>
      </c>
    </row>
    <row r="296">
      <c r="A296">
        <f>'对齐'!A296</f>
        <v/>
      </c>
      <c r="B296">
        <f>'对齐'!B296/'对齐'!B295-1</f>
        <v/>
      </c>
      <c r="C296">
        <f>'对齐'!B296/'对齐'!B$2*100</f>
        <v/>
      </c>
      <c r="D296">
        <f>'对齐'!B296/MAX('对齐'!B$2:'对齐'!B296)-1</f>
        <v/>
      </c>
      <c r="E296">
        <f>IF(ROW()-2&gt;='参数'!$B$2,STDEV(OFFSET(B296,1-'参数'!$B$2,0,'参数'!$B$2,1))*SQRT('参数'!$B$3),"")</f>
        <v/>
      </c>
      <c r="F296">
        <f>'对齐'!C296/'对齐'!C295-1</f>
        <v/>
      </c>
      <c r="G296">
        <f>'对齐'!C296/'对齐'!C$2*100</f>
        <v/>
      </c>
      <c r="H296">
        <f>'对齐'!C296/MAX('对齐'!C$2:'对齐'!C296)-1</f>
        <v/>
      </c>
      <c r="I296">
        <f>IF(ROW()-2&gt;='参数'!$B$2,STDEV(OFFSET(F296,1-'参数'!$B$2,0,'参数'!$B$2,1))*SQRT('参数'!$B$3),"")</f>
        <v/>
      </c>
    </row>
    <row r="297">
      <c r="A297">
        <f>'对齐'!A297</f>
        <v/>
      </c>
      <c r="B297">
        <f>'对齐'!B297/'对齐'!B296-1</f>
        <v/>
      </c>
      <c r="C297">
        <f>'对齐'!B297/'对齐'!B$2*100</f>
        <v/>
      </c>
      <c r="D297">
        <f>'对齐'!B297/MAX('对齐'!B$2:'对齐'!B297)-1</f>
        <v/>
      </c>
      <c r="E297">
        <f>IF(ROW()-2&gt;='参数'!$B$2,STDEV(OFFSET(B297,1-'参数'!$B$2,0,'参数'!$B$2,1))*SQRT('参数'!$B$3),"")</f>
        <v/>
      </c>
      <c r="F297">
        <f>'对齐'!C297/'对齐'!C296-1</f>
        <v/>
      </c>
      <c r="G297">
        <f>'对齐'!C297/'对齐'!C$2*100</f>
        <v/>
      </c>
      <c r="H297">
        <f>'对齐'!C297/MAX('对齐'!C$2:'对齐'!C297)-1</f>
        <v/>
      </c>
      <c r="I297">
        <f>IF(ROW()-2&gt;='参数'!$B$2,STDEV(OFFSET(F297,1-'参数'!$B$2,0,'参数'!$B$2,1))*SQRT('参数'!$B$3),"")</f>
        <v/>
      </c>
    </row>
    <row r="298">
      <c r="A298">
        <f>'对齐'!A298</f>
        <v/>
      </c>
      <c r="B298">
        <f>'对齐'!B298/'对齐'!B297-1</f>
        <v/>
      </c>
      <c r="C298">
        <f>'对齐'!B298/'对齐'!B$2*100</f>
        <v/>
      </c>
      <c r="D298">
        <f>'对齐'!B298/MAX('对齐'!B$2:'对齐'!B298)-1</f>
        <v/>
      </c>
      <c r="E298">
        <f>IF(ROW()-2&gt;='参数'!$B$2,STDEV(OFFSET(B298,1-'参数'!$B$2,0,'参数'!$B$2,1))*SQRT('参数'!$B$3),"")</f>
        <v/>
      </c>
      <c r="F298">
        <f>'对齐'!C298/'对齐'!C297-1</f>
        <v/>
      </c>
      <c r="G298">
        <f>'对齐'!C298/'对齐'!C$2*100</f>
        <v/>
      </c>
      <c r="H298">
        <f>'对齐'!C298/MAX('对齐'!C$2:'对齐'!C298)-1</f>
        <v/>
      </c>
      <c r="I298">
        <f>IF(ROW()-2&gt;='参数'!$B$2,STDEV(OFFSET(F298,1-'参数'!$B$2,0,'参数'!$B$2,1))*SQRT('参数'!$B$3),"")</f>
        <v/>
      </c>
    </row>
    <row r="299">
      <c r="A299">
        <f>'对齐'!A299</f>
        <v/>
      </c>
      <c r="B299">
        <f>'对齐'!B299/'对齐'!B298-1</f>
        <v/>
      </c>
      <c r="C299">
        <f>'对齐'!B299/'对齐'!B$2*100</f>
        <v/>
      </c>
      <c r="D299">
        <f>'对齐'!B299/MAX('对齐'!B$2:'对齐'!B299)-1</f>
        <v/>
      </c>
      <c r="E299">
        <f>IF(ROW()-2&gt;='参数'!$B$2,STDEV(OFFSET(B299,1-'参数'!$B$2,0,'参数'!$B$2,1))*SQRT('参数'!$B$3),"")</f>
        <v/>
      </c>
      <c r="F299">
        <f>'对齐'!C299/'对齐'!C298-1</f>
        <v/>
      </c>
      <c r="G299">
        <f>'对齐'!C299/'对齐'!C$2*100</f>
        <v/>
      </c>
      <c r="H299">
        <f>'对齐'!C299/MAX('对齐'!C$2:'对齐'!C299)-1</f>
        <v/>
      </c>
      <c r="I299">
        <f>IF(ROW()-2&gt;='参数'!$B$2,STDEV(OFFSET(F299,1-'参数'!$B$2,0,'参数'!$B$2,1))*SQRT('参数'!$B$3),"")</f>
        <v/>
      </c>
    </row>
    <row r="300">
      <c r="A300">
        <f>'对齐'!A300</f>
        <v/>
      </c>
      <c r="B300">
        <f>'对齐'!B300/'对齐'!B299-1</f>
        <v/>
      </c>
      <c r="C300">
        <f>'对齐'!B300/'对齐'!B$2*100</f>
        <v/>
      </c>
      <c r="D300">
        <f>'对齐'!B300/MAX('对齐'!B$2:'对齐'!B300)-1</f>
        <v/>
      </c>
      <c r="E300">
        <f>IF(ROW()-2&gt;='参数'!$B$2,STDEV(OFFSET(B300,1-'参数'!$B$2,0,'参数'!$B$2,1))*SQRT('参数'!$B$3),"")</f>
        <v/>
      </c>
      <c r="F300">
        <f>'对齐'!C300/'对齐'!C299-1</f>
        <v/>
      </c>
      <c r="G300">
        <f>'对齐'!C300/'对齐'!C$2*100</f>
        <v/>
      </c>
      <c r="H300">
        <f>'对齐'!C300/MAX('对齐'!C$2:'对齐'!C300)-1</f>
        <v/>
      </c>
      <c r="I300">
        <f>IF(ROW()-2&gt;='参数'!$B$2,STDEV(OFFSET(F300,1-'参数'!$B$2,0,'参数'!$B$2,1))*SQRT('参数'!$B$3),"")</f>
        <v/>
      </c>
    </row>
    <row r="301">
      <c r="A301">
        <f>'对齐'!A301</f>
        <v/>
      </c>
      <c r="B301">
        <f>'对齐'!B301/'对齐'!B300-1</f>
        <v/>
      </c>
      <c r="C301">
        <f>'对齐'!B301/'对齐'!B$2*100</f>
        <v/>
      </c>
      <c r="D301">
        <f>'对齐'!B301/MAX('对齐'!B$2:'对齐'!B301)-1</f>
        <v/>
      </c>
      <c r="E301">
        <f>IF(ROW()-2&gt;='参数'!$B$2,STDEV(OFFSET(B301,1-'参数'!$B$2,0,'参数'!$B$2,1))*SQRT('参数'!$B$3),"")</f>
        <v/>
      </c>
      <c r="F301">
        <f>'对齐'!C301/'对齐'!C300-1</f>
        <v/>
      </c>
      <c r="G301">
        <f>'对齐'!C301/'对齐'!C$2*100</f>
        <v/>
      </c>
      <c r="H301">
        <f>'对齐'!C301/MAX('对齐'!C$2:'对齐'!C301)-1</f>
        <v/>
      </c>
      <c r="I301">
        <f>IF(ROW()-2&gt;='参数'!$B$2,STDEV(OFFSET(F301,1-'参数'!$B$2,0,'参数'!$B$2,1))*SQRT('参数'!$B$3),"")</f>
        <v/>
      </c>
    </row>
    <row r="302">
      <c r="A302">
        <f>'对齐'!A302</f>
        <v/>
      </c>
      <c r="B302">
        <f>'对齐'!B302/'对齐'!B301-1</f>
        <v/>
      </c>
      <c r="C302">
        <f>'对齐'!B302/'对齐'!B$2*100</f>
        <v/>
      </c>
      <c r="D302">
        <f>'对齐'!B302/MAX('对齐'!B$2:'对齐'!B302)-1</f>
        <v/>
      </c>
      <c r="E302">
        <f>IF(ROW()-2&gt;='参数'!$B$2,STDEV(OFFSET(B302,1-'参数'!$B$2,0,'参数'!$B$2,1))*SQRT('参数'!$B$3),"")</f>
        <v/>
      </c>
      <c r="F302">
        <f>'对齐'!C302/'对齐'!C301-1</f>
        <v/>
      </c>
      <c r="G302">
        <f>'对齐'!C302/'对齐'!C$2*100</f>
        <v/>
      </c>
      <c r="H302">
        <f>'对齐'!C302/MAX('对齐'!C$2:'对齐'!C302)-1</f>
        <v/>
      </c>
      <c r="I302">
        <f>IF(ROW()-2&gt;='参数'!$B$2,STDEV(OFFSET(F302,1-'参数'!$B$2,0,'参数'!$B$2,1))*SQRT('参数'!$B$3),"")</f>
        <v/>
      </c>
    </row>
    <row r="303">
      <c r="A303">
        <f>'对齐'!A303</f>
        <v/>
      </c>
      <c r="B303">
        <f>'对齐'!B303/'对齐'!B302-1</f>
        <v/>
      </c>
      <c r="C303">
        <f>'对齐'!B303/'对齐'!B$2*100</f>
        <v/>
      </c>
      <c r="D303">
        <f>'对齐'!B303/MAX('对齐'!B$2:'对齐'!B303)-1</f>
        <v/>
      </c>
      <c r="E303">
        <f>IF(ROW()-2&gt;='参数'!$B$2,STDEV(OFFSET(B303,1-'参数'!$B$2,0,'参数'!$B$2,1))*SQRT('参数'!$B$3),"")</f>
        <v/>
      </c>
      <c r="F303">
        <f>'对齐'!C303/'对齐'!C302-1</f>
        <v/>
      </c>
      <c r="G303">
        <f>'对齐'!C303/'对齐'!C$2*100</f>
        <v/>
      </c>
      <c r="H303">
        <f>'对齐'!C303/MAX('对齐'!C$2:'对齐'!C303)-1</f>
        <v/>
      </c>
      <c r="I303">
        <f>IF(ROW()-2&gt;='参数'!$B$2,STDEV(OFFSET(F303,1-'参数'!$B$2,0,'参数'!$B$2,1))*SQRT('参数'!$B$3),"")</f>
        <v/>
      </c>
    </row>
    <row r="304">
      <c r="A304">
        <f>'对齐'!A304</f>
        <v/>
      </c>
      <c r="B304">
        <f>'对齐'!B304/'对齐'!B303-1</f>
        <v/>
      </c>
      <c r="C304">
        <f>'对齐'!B304/'对齐'!B$2*100</f>
        <v/>
      </c>
      <c r="D304">
        <f>'对齐'!B304/MAX('对齐'!B$2:'对齐'!B304)-1</f>
        <v/>
      </c>
      <c r="E304">
        <f>IF(ROW()-2&gt;='参数'!$B$2,STDEV(OFFSET(B304,1-'参数'!$B$2,0,'参数'!$B$2,1))*SQRT('参数'!$B$3),"")</f>
        <v/>
      </c>
      <c r="F304">
        <f>'对齐'!C304/'对齐'!C303-1</f>
        <v/>
      </c>
      <c r="G304">
        <f>'对齐'!C304/'对齐'!C$2*100</f>
        <v/>
      </c>
      <c r="H304">
        <f>'对齐'!C304/MAX('对齐'!C$2:'对齐'!C304)-1</f>
        <v/>
      </c>
      <c r="I304">
        <f>IF(ROW()-2&gt;='参数'!$B$2,STDEV(OFFSET(F304,1-'参数'!$B$2,0,'参数'!$B$2,1))*SQRT('参数'!$B$3),"")</f>
        <v/>
      </c>
    </row>
    <row r="305">
      <c r="A305">
        <f>'对齐'!A305</f>
        <v/>
      </c>
      <c r="B305">
        <f>'对齐'!B305/'对齐'!B304-1</f>
        <v/>
      </c>
      <c r="C305">
        <f>'对齐'!B305/'对齐'!B$2*100</f>
        <v/>
      </c>
      <c r="D305">
        <f>'对齐'!B305/MAX('对齐'!B$2:'对齐'!B305)-1</f>
        <v/>
      </c>
      <c r="E305">
        <f>IF(ROW()-2&gt;='参数'!$B$2,STDEV(OFFSET(B305,1-'参数'!$B$2,0,'参数'!$B$2,1))*SQRT('参数'!$B$3),"")</f>
        <v/>
      </c>
      <c r="F305">
        <f>'对齐'!C305/'对齐'!C304-1</f>
        <v/>
      </c>
      <c r="G305">
        <f>'对齐'!C305/'对齐'!C$2*100</f>
        <v/>
      </c>
      <c r="H305">
        <f>'对齐'!C305/MAX('对齐'!C$2:'对齐'!C305)-1</f>
        <v/>
      </c>
      <c r="I305">
        <f>IF(ROW()-2&gt;='参数'!$B$2,STDEV(OFFSET(F305,1-'参数'!$B$2,0,'参数'!$B$2,1))*SQRT('参数'!$B$3),"")</f>
        <v/>
      </c>
    </row>
    <row r="306">
      <c r="A306">
        <f>'对齐'!A306</f>
        <v/>
      </c>
      <c r="B306">
        <f>'对齐'!B306/'对齐'!B305-1</f>
        <v/>
      </c>
      <c r="C306">
        <f>'对齐'!B306/'对齐'!B$2*100</f>
        <v/>
      </c>
      <c r="D306">
        <f>'对齐'!B306/MAX('对齐'!B$2:'对齐'!B306)-1</f>
        <v/>
      </c>
      <c r="E306">
        <f>IF(ROW()-2&gt;='参数'!$B$2,STDEV(OFFSET(B306,1-'参数'!$B$2,0,'参数'!$B$2,1))*SQRT('参数'!$B$3),"")</f>
        <v/>
      </c>
      <c r="F306">
        <f>'对齐'!C306/'对齐'!C305-1</f>
        <v/>
      </c>
      <c r="G306">
        <f>'对齐'!C306/'对齐'!C$2*100</f>
        <v/>
      </c>
      <c r="H306">
        <f>'对齐'!C306/MAX('对齐'!C$2:'对齐'!C306)-1</f>
        <v/>
      </c>
      <c r="I306">
        <f>IF(ROW()-2&gt;='参数'!$B$2,STDEV(OFFSET(F306,1-'参数'!$B$2,0,'参数'!$B$2,1))*SQRT('参数'!$B$3),"")</f>
        <v/>
      </c>
    </row>
    <row r="307">
      <c r="A307">
        <f>'对齐'!A307</f>
        <v/>
      </c>
      <c r="B307">
        <f>'对齐'!B307/'对齐'!B306-1</f>
        <v/>
      </c>
      <c r="C307">
        <f>'对齐'!B307/'对齐'!B$2*100</f>
        <v/>
      </c>
      <c r="D307">
        <f>'对齐'!B307/MAX('对齐'!B$2:'对齐'!B307)-1</f>
        <v/>
      </c>
      <c r="E307">
        <f>IF(ROW()-2&gt;='参数'!$B$2,STDEV(OFFSET(B307,1-'参数'!$B$2,0,'参数'!$B$2,1))*SQRT('参数'!$B$3),"")</f>
        <v/>
      </c>
      <c r="F307">
        <f>'对齐'!C307/'对齐'!C306-1</f>
        <v/>
      </c>
      <c r="G307">
        <f>'对齐'!C307/'对齐'!C$2*100</f>
        <v/>
      </c>
      <c r="H307">
        <f>'对齐'!C307/MAX('对齐'!C$2:'对齐'!C307)-1</f>
        <v/>
      </c>
      <c r="I307">
        <f>IF(ROW()-2&gt;='参数'!$B$2,STDEV(OFFSET(F307,1-'参数'!$B$2,0,'参数'!$B$2,1))*SQRT('参数'!$B$3),"")</f>
        <v/>
      </c>
    </row>
    <row r="308">
      <c r="A308">
        <f>'对齐'!A308</f>
        <v/>
      </c>
      <c r="B308">
        <f>'对齐'!B308/'对齐'!B307-1</f>
        <v/>
      </c>
      <c r="C308">
        <f>'对齐'!B308/'对齐'!B$2*100</f>
        <v/>
      </c>
      <c r="D308">
        <f>'对齐'!B308/MAX('对齐'!B$2:'对齐'!B308)-1</f>
        <v/>
      </c>
      <c r="E308">
        <f>IF(ROW()-2&gt;='参数'!$B$2,STDEV(OFFSET(B308,1-'参数'!$B$2,0,'参数'!$B$2,1))*SQRT('参数'!$B$3),"")</f>
        <v/>
      </c>
      <c r="F308">
        <f>'对齐'!C308/'对齐'!C307-1</f>
        <v/>
      </c>
      <c r="G308">
        <f>'对齐'!C308/'对齐'!C$2*100</f>
        <v/>
      </c>
      <c r="H308">
        <f>'对齐'!C308/MAX('对齐'!C$2:'对齐'!C308)-1</f>
        <v/>
      </c>
      <c r="I308">
        <f>IF(ROW()-2&gt;='参数'!$B$2,STDEV(OFFSET(F308,1-'参数'!$B$2,0,'参数'!$B$2,1))*SQRT('参数'!$B$3),"")</f>
        <v/>
      </c>
    </row>
    <row r="309">
      <c r="A309">
        <f>'对齐'!A309</f>
        <v/>
      </c>
      <c r="B309">
        <f>'对齐'!B309/'对齐'!B308-1</f>
        <v/>
      </c>
      <c r="C309">
        <f>'对齐'!B309/'对齐'!B$2*100</f>
        <v/>
      </c>
      <c r="D309">
        <f>'对齐'!B309/MAX('对齐'!B$2:'对齐'!B309)-1</f>
        <v/>
      </c>
      <c r="E309">
        <f>IF(ROW()-2&gt;='参数'!$B$2,STDEV(OFFSET(B309,1-'参数'!$B$2,0,'参数'!$B$2,1))*SQRT('参数'!$B$3),"")</f>
        <v/>
      </c>
      <c r="F309">
        <f>'对齐'!C309/'对齐'!C308-1</f>
        <v/>
      </c>
      <c r="G309">
        <f>'对齐'!C309/'对齐'!C$2*100</f>
        <v/>
      </c>
      <c r="H309">
        <f>'对齐'!C309/MAX('对齐'!C$2:'对齐'!C309)-1</f>
        <v/>
      </c>
      <c r="I309">
        <f>IF(ROW()-2&gt;='参数'!$B$2,STDEV(OFFSET(F309,1-'参数'!$B$2,0,'参数'!$B$2,1))*SQRT('参数'!$B$3),"")</f>
        <v/>
      </c>
    </row>
    <row r="310">
      <c r="A310">
        <f>'对齐'!A310</f>
        <v/>
      </c>
      <c r="B310">
        <f>'对齐'!B310/'对齐'!B309-1</f>
        <v/>
      </c>
      <c r="C310">
        <f>'对齐'!B310/'对齐'!B$2*100</f>
        <v/>
      </c>
      <c r="D310">
        <f>'对齐'!B310/MAX('对齐'!B$2:'对齐'!B310)-1</f>
        <v/>
      </c>
      <c r="E310">
        <f>IF(ROW()-2&gt;='参数'!$B$2,STDEV(OFFSET(B310,1-'参数'!$B$2,0,'参数'!$B$2,1))*SQRT('参数'!$B$3),"")</f>
        <v/>
      </c>
      <c r="F310">
        <f>'对齐'!C310/'对齐'!C309-1</f>
        <v/>
      </c>
      <c r="G310">
        <f>'对齐'!C310/'对齐'!C$2*100</f>
        <v/>
      </c>
      <c r="H310">
        <f>'对齐'!C310/MAX('对齐'!C$2:'对齐'!C310)-1</f>
        <v/>
      </c>
      <c r="I310">
        <f>IF(ROW()-2&gt;='参数'!$B$2,STDEV(OFFSET(F310,1-'参数'!$B$2,0,'参数'!$B$2,1))*SQRT('参数'!$B$3),"")</f>
        <v/>
      </c>
    </row>
    <row r="311">
      <c r="A311">
        <f>'对齐'!A311</f>
        <v/>
      </c>
      <c r="B311">
        <f>'对齐'!B311/'对齐'!B310-1</f>
        <v/>
      </c>
      <c r="C311">
        <f>'对齐'!B311/'对齐'!B$2*100</f>
        <v/>
      </c>
      <c r="D311">
        <f>'对齐'!B311/MAX('对齐'!B$2:'对齐'!B311)-1</f>
        <v/>
      </c>
      <c r="E311">
        <f>IF(ROW()-2&gt;='参数'!$B$2,STDEV(OFFSET(B311,1-'参数'!$B$2,0,'参数'!$B$2,1))*SQRT('参数'!$B$3),"")</f>
        <v/>
      </c>
      <c r="F311">
        <f>'对齐'!C311/'对齐'!C310-1</f>
        <v/>
      </c>
      <c r="G311">
        <f>'对齐'!C311/'对齐'!C$2*100</f>
        <v/>
      </c>
      <c r="H311">
        <f>'对齐'!C311/MAX('对齐'!C$2:'对齐'!C311)-1</f>
        <v/>
      </c>
      <c r="I311">
        <f>IF(ROW()-2&gt;='参数'!$B$2,STDEV(OFFSET(F311,1-'参数'!$B$2,0,'参数'!$B$2,1))*SQRT('参数'!$B$3),"")</f>
        <v/>
      </c>
    </row>
    <row r="312">
      <c r="A312">
        <f>'对齐'!A312</f>
        <v/>
      </c>
      <c r="B312">
        <f>'对齐'!B312/'对齐'!B311-1</f>
        <v/>
      </c>
      <c r="C312">
        <f>'对齐'!B312/'对齐'!B$2*100</f>
        <v/>
      </c>
      <c r="D312">
        <f>'对齐'!B312/MAX('对齐'!B$2:'对齐'!B312)-1</f>
        <v/>
      </c>
      <c r="E312">
        <f>IF(ROW()-2&gt;='参数'!$B$2,STDEV(OFFSET(B312,1-'参数'!$B$2,0,'参数'!$B$2,1))*SQRT('参数'!$B$3),"")</f>
        <v/>
      </c>
      <c r="F312">
        <f>'对齐'!C312/'对齐'!C311-1</f>
        <v/>
      </c>
      <c r="G312">
        <f>'对齐'!C312/'对齐'!C$2*100</f>
        <v/>
      </c>
      <c r="H312">
        <f>'对齐'!C312/MAX('对齐'!C$2:'对齐'!C312)-1</f>
        <v/>
      </c>
      <c r="I312">
        <f>IF(ROW()-2&gt;='参数'!$B$2,STDEV(OFFSET(F312,1-'参数'!$B$2,0,'参数'!$B$2,1))*SQRT('参数'!$B$3),"")</f>
        <v/>
      </c>
    </row>
    <row r="313">
      <c r="A313">
        <f>'对齐'!A313</f>
        <v/>
      </c>
      <c r="B313">
        <f>'对齐'!B313/'对齐'!B312-1</f>
        <v/>
      </c>
      <c r="C313">
        <f>'对齐'!B313/'对齐'!B$2*100</f>
        <v/>
      </c>
      <c r="D313">
        <f>'对齐'!B313/MAX('对齐'!B$2:'对齐'!B313)-1</f>
        <v/>
      </c>
      <c r="E313">
        <f>IF(ROW()-2&gt;='参数'!$B$2,STDEV(OFFSET(B313,1-'参数'!$B$2,0,'参数'!$B$2,1))*SQRT('参数'!$B$3),"")</f>
        <v/>
      </c>
      <c r="F313">
        <f>'对齐'!C313/'对齐'!C312-1</f>
        <v/>
      </c>
      <c r="G313">
        <f>'对齐'!C313/'对齐'!C$2*100</f>
        <v/>
      </c>
      <c r="H313">
        <f>'对齐'!C313/MAX('对齐'!C$2:'对齐'!C313)-1</f>
        <v/>
      </c>
      <c r="I313">
        <f>IF(ROW()-2&gt;='参数'!$B$2,STDEV(OFFSET(F313,1-'参数'!$B$2,0,'参数'!$B$2,1))*SQRT('参数'!$B$3),"")</f>
        <v/>
      </c>
    </row>
    <row r="314">
      <c r="A314">
        <f>'对齐'!A314</f>
        <v/>
      </c>
      <c r="B314">
        <f>'对齐'!B314/'对齐'!B313-1</f>
        <v/>
      </c>
      <c r="C314">
        <f>'对齐'!B314/'对齐'!B$2*100</f>
        <v/>
      </c>
      <c r="D314">
        <f>'对齐'!B314/MAX('对齐'!B$2:'对齐'!B314)-1</f>
        <v/>
      </c>
      <c r="E314">
        <f>IF(ROW()-2&gt;='参数'!$B$2,STDEV(OFFSET(B314,1-'参数'!$B$2,0,'参数'!$B$2,1))*SQRT('参数'!$B$3),"")</f>
        <v/>
      </c>
      <c r="F314">
        <f>'对齐'!C314/'对齐'!C313-1</f>
        <v/>
      </c>
      <c r="G314">
        <f>'对齐'!C314/'对齐'!C$2*100</f>
        <v/>
      </c>
      <c r="H314">
        <f>'对齐'!C314/MAX('对齐'!C$2:'对齐'!C314)-1</f>
        <v/>
      </c>
      <c r="I314">
        <f>IF(ROW()-2&gt;='参数'!$B$2,STDEV(OFFSET(F314,1-'参数'!$B$2,0,'参数'!$B$2,1))*SQRT('参数'!$B$3),"")</f>
        <v/>
      </c>
    </row>
    <row r="315">
      <c r="A315">
        <f>'对齐'!A315</f>
        <v/>
      </c>
      <c r="B315">
        <f>'对齐'!B315/'对齐'!B314-1</f>
        <v/>
      </c>
      <c r="C315">
        <f>'对齐'!B315/'对齐'!B$2*100</f>
        <v/>
      </c>
      <c r="D315">
        <f>'对齐'!B315/MAX('对齐'!B$2:'对齐'!B315)-1</f>
        <v/>
      </c>
      <c r="E315">
        <f>IF(ROW()-2&gt;='参数'!$B$2,STDEV(OFFSET(B315,1-'参数'!$B$2,0,'参数'!$B$2,1))*SQRT('参数'!$B$3),"")</f>
        <v/>
      </c>
      <c r="F315">
        <f>'对齐'!C315/'对齐'!C314-1</f>
        <v/>
      </c>
      <c r="G315">
        <f>'对齐'!C315/'对齐'!C$2*100</f>
        <v/>
      </c>
      <c r="H315">
        <f>'对齐'!C315/MAX('对齐'!C$2:'对齐'!C315)-1</f>
        <v/>
      </c>
      <c r="I315">
        <f>IF(ROW()-2&gt;='参数'!$B$2,STDEV(OFFSET(F315,1-'参数'!$B$2,0,'参数'!$B$2,1))*SQRT('参数'!$B$3),"")</f>
        <v/>
      </c>
    </row>
    <row r="316">
      <c r="A316">
        <f>'对齐'!A316</f>
        <v/>
      </c>
      <c r="B316">
        <f>'对齐'!B316/'对齐'!B315-1</f>
        <v/>
      </c>
      <c r="C316">
        <f>'对齐'!B316/'对齐'!B$2*100</f>
        <v/>
      </c>
      <c r="D316">
        <f>'对齐'!B316/MAX('对齐'!B$2:'对齐'!B316)-1</f>
        <v/>
      </c>
      <c r="E316">
        <f>IF(ROW()-2&gt;='参数'!$B$2,STDEV(OFFSET(B316,1-'参数'!$B$2,0,'参数'!$B$2,1))*SQRT('参数'!$B$3),"")</f>
        <v/>
      </c>
      <c r="F316">
        <f>'对齐'!C316/'对齐'!C315-1</f>
        <v/>
      </c>
      <c r="G316">
        <f>'对齐'!C316/'对齐'!C$2*100</f>
        <v/>
      </c>
      <c r="H316">
        <f>'对齐'!C316/MAX('对齐'!C$2:'对齐'!C316)-1</f>
        <v/>
      </c>
      <c r="I316">
        <f>IF(ROW()-2&gt;='参数'!$B$2,STDEV(OFFSET(F316,1-'参数'!$B$2,0,'参数'!$B$2,1))*SQRT('参数'!$B$3),"")</f>
        <v/>
      </c>
    </row>
    <row r="317">
      <c r="A317">
        <f>'对齐'!A317</f>
        <v/>
      </c>
      <c r="B317">
        <f>'对齐'!B317/'对齐'!B316-1</f>
        <v/>
      </c>
      <c r="C317">
        <f>'对齐'!B317/'对齐'!B$2*100</f>
        <v/>
      </c>
      <c r="D317">
        <f>'对齐'!B317/MAX('对齐'!B$2:'对齐'!B317)-1</f>
        <v/>
      </c>
      <c r="E317">
        <f>IF(ROW()-2&gt;='参数'!$B$2,STDEV(OFFSET(B317,1-'参数'!$B$2,0,'参数'!$B$2,1))*SQRT('参数'!$B$3),"")</f>
        <v/>
      </c>
      <c r="F317">
        <f>'对齐'!C317/'对齐'!C316-1</f>
        <v/>
      </c>
      <c r="G317">
        <f>'对齐'!C317/'对齐'!C$2*100</f>
        <v/>
      </c>
      <c r="H317">
        <f>'对齐'!C317/MAX('对齐'!C$2:'对齐'!C317)-1</f>
        <v/>
      </c>
      <c r="I317">
        <f>IF(ROW()-2&gt;='参数'!$B$2,STDEV(OFFSET(F317,1-'参数'!$B$2,0,'参数'!$B$2,1))*SQRT('参数'!$B$3),"")</f>
        <v/>
      </c>
    </row>
    <row r="318">
      <c r="A318">
        <f>'对齐'!A318</f>
        <v/>
      </c>
      <c r="B318">
        <f>'对齐'!B318/'对齐'!B317-1</f>
        <v/>
      </c>
      <c r="C318">
        <f>'对齐'!B318/'对齐'!B$2*100</f>
        <v/>
      </c>
      <c r="D318">
        <f>'对齐'!B318/MAX('对齐'!B$2:'对齐'!B318)-1</f>
        <v/>
      </c>
      <c r="E318">
        <f>IF(ROW()-2&gt;='参数'!$B$2,STDEV(OFFSET(B318,1-'参数'!$B$2,0,'参数'!$B$2,1))*SQRT('参数'!$B$3),"")</f>
        <v/>
      </c>
      <c r="F318">
        <f>'对齐'!C318/'对齐'!C317-1</f>
        <v/>
      </c>
      <c r="G318">
        <f>'对齐'!C318/'对齐'!C$2*100</f>
        <v/>
      </c>
      <c r="H318">
        <f>'对齐'!C318/MAX('对齐'!C$2:'对齐'!C318)-1</f>
        <v/>
      </c>
      <c r="I318">
        <f>IF(ROW()-2&gt;='参数'!$B$2,STDEV(OFFSET(F318,1-'参数'!$B$2,0,'参数'!$B$2,1))*SQRT('参数'!$B$3),"")</f>
        <v/>
      </c>
    </row>
    <row r="319">
      <c r="A319">
        <f>'对齐'!A319</f>
        <v/>
      </c>
      <c r="B319">
        <f>'对齐'!B319/'对齐'!B318-1</f>
        <v/>
      </c>
      <c r="C319">
        <f>'对齐'!B319/'对齐'!B$2*100</f>
        <v/>
      </c>
      <c r="D319">
        <f>'对齐'!B319/MAX('对齐'!B$2:'对齐'!B319)-1</f>
        <v/>
      </c>
      <c r="E319">
        <f>IF(ROW()-2&gt;='参数'!$B$2,STDEV(OFFSET(B319,1-'参数'!$B$2,0,'参数'!$B$2,1))*SQRT('参数'!$B$3),"")</f>
        <v/>
      </c>
      <c r="F319">
        <f>'对齐'!C319/'对齐'!C318-1</f>
        <v/>
      </c>
      <c r="G319">
        <f>'对齐'!C319/'对齐'!C$2*100</f>
        <v/>
      </c>
      <c r="H319">
        <f>'对齐'!C319/MAX('对齐'!C$2:'对齐'!C319)-1</f>
        <v/>
      </c>
      <c r="I319">
        <f>IF(ROW()-2&gt;='参数'!$B$2,STDEV(OFFSET(F319,1-'参数'!$B$2,0,'参数'!$B$2,1))*SQRT('参数'!$B$3),"")</f>
        <v/>
      </c>
    </row>
    <row r="320">
      <c r="A320">
        <f>'对齐'!A320</f>
        <v/>
      </c>
      <c r="B320">
        <f>'对齐'!B320/'对齐'!B319-1</f>
        <v/>
      </c>
      <c r="C320">
        <f>'对齐'!B320/'对齐'!B$2*100</f>
        <v/>
      </c>
      <c r="D320">
        <f>'对齐'!B320/MAX('对齐'!B$2:'对齐'!B320)-1</f>
        <v/>
      </c>
      <c r="E320">
        <f>IF(ROW()-2&gt;='参数'!$B$2,STDEV(OFFSET(B320,1-'参数'!$B$2,0,'参数'!$B$2,1))*SQRT('参数'!$B$3),"")</f>
        <v/>
      </c>
      <c r="F320">
        <f>'对齐'!C320/'对齐'!C319-1</f>
        <v/>
      </c>
      <c r="G320">
        <f>'对齐'!C320/'对齐'!C$2*100</f>
        <v/>
      </c>
      <c r="H320">
        <f>'对齐'!C320/MAX('对齐'!C$2:'对齐'!C320)-1</f>
        <v/>
      </c>
      <c r="I320">
        <f>IF(ROW()-2&gt;='参数'!$B$2,STDEV(OFFSET(F320,1-'参数'!$B$2,0,'参数'!$B$2,1))*SQRT('参数'!$B$3),"")</f>
        <v/>
      </c>
    </row>
    <row r="321">
      <c r="A321">
        <f>'对齐'!A321</f>
        <v/>
      </c>
      <c r="B321">
        <f>'对齐'!B321/'对齐'!B320-1</f>
        <v/>
      </c>
      <c r="C321">
        <f>'对齐'!B321/'对齐'!B$2*100</f>
        <v/>
      </c>
      <c r="D321">
        <f>'对齐'!B321/MAX('对齐'!B$2:'对齐'!B321)-1</f>
        <v/>
      </c>
      <c r="E321">
        <f>IF(ROW()-2&gt;='参数'!$B$2,STDEV(OFFSET(B321,1-'参数'!$B$2,0,'参数'!$B$2,1))*SQRT('参数'!$B$3),"")</f>
        <v/>
      </c>
      <c r="F321">
        <f>'对齐'!C321/'对齐'!C320-1</f>
        <v/>
      </c>
      <c r="G321">
        <f>'对齐'!C321/'对齐'!C$2*100</f>
        <v/>
      </c>
      <c r="H321">
        <f>'对齐'!C321/MAX('对齐'!C$2:'对齐'!C321)-1</f>
        <v/>
      </c>
      <c r="I321">
        <f>IF(ROW()-2&gt;='参数'!$B$2,STDEV(OFFSET(F321,1-'参数'!$B$2,0,'参数'!$B$2,1))*SQRT('参数'!$B$3),"")</f>
        <v/>
      </c>
    </row>
    <row r="322">
      <c r="A322">
        <f>'对齐'!A322</f>
        <v/>
      </c>
      <c r="B322">
        <f>'对齐'!B322/'对齐'!B321-1</f>
        <v/>
      </c>
      <c r="C322">
        <f>'对齐'!B322/'对齐'!B$2*100</f>
        <v/>
      </c>
      <c r="D322">
        <f>'对齐'!B322/MAX('对齐'!B$2:'对齐'!B322)-1</f>
        <v/>
      </c>
      <c r="E322">
        <f>IF(ROW()-2&gt;='参数'!$B$2,STDEV(OFFSET(B322,1-'参数'!$B$2,0,'参数'!$B$2,1))*SQRT('参数'!$B$3),"")</f>
        <v/>
      </c>
      <c r="F322">
        <f>'对齐'!C322/'对齐'!C321-1</f>
        <v/>
      </c>
      <c r="G322">
        <f>'对齐'!C322/'对齐'!C$2*100</f>
        <v/>
      </c>
      <c r="H322">
        <f>'对齐'!C322/MAX('对齐'!C$2:'对齐'!C322)-1</f>
        <v/>
      </c>
      <c r="I322">
        <f>IF(ROW()-2&gt;='参数'!$B$2,STDEV(OFFSET(F322,1-'参数'!$B$2,0,'参数'!$B$2,1))*SQRT('参数'!$B$3),"")</f>
        <v/>
      </c>
    </row>
    <row r="323">
      <c r="A323">
        <f>'对齐'!A323</f>
        <v/>
      </c>
      <c r="B323">
        <f>'对齐'!B323/'对齐'!B322-1</f>
        <v/>
      </c>
      <c r="C323">
        <f>'对齐'!B323/'对齐'!B$2*100</f>
        <v/>
      </c>
      <c r="D323">
        <f>'对齐'!B323/MAX('对齐'!B$2:'对齐'!B323)-1</f>
        <v/>
      </c>
      <c r="E323">
        <f>IF(ROW()-2&gt;='参数'!$B$2,STDEV(OFFSET(B323,1-'参数'!$B$2,0,'参数'!$B$2,1))*SQRT('参数'!$B$3),"")</f>
        <v/>
      </c>
      <c r="F323">
        <f>'对齐'!C323/'对齐'!C322-1</f>
        <v/>
      </c>
      <c r="G323">
        <f>'对齐'!C323/'对齐'!C$2*100</f>
        <v/>
      </c>
      <c r="H323">
        <f>'对齐'!C323/MAX('对齐'!C$2:'对齐'!C323)-1</f>
        <v/>
      </c>
      <c r="I323">
        <f>IF(ROW()-2&gt;='参数'!$B$2,STDEV(OFFSET(F323,1-'参数'!$B$2,0,'参数'!$B$2,1))*SQRT('参数'!$B$3),"")</f>
        <v/>
      </c>
    </row>
    <row r="324">
      <c r="A324">
        <f>'对齐'!A324</f>
        <v/>
      </c>
      <c r="B324">
        <f>'对齐'!B324/'对齐'!B323-1</f>
        <v/>
      </c>
      <c r="C324">
        <f>'对齐'!B324/'对齐'!B$2*100</f>
        <v/>
      </c>
      <c r="D324">
        <f>'对齐'!B324/MAX('对齐'!B$2:'对齐'!B324)-1</f>
        <v/>
      </c>
      <c r="E324">
        <f>IF(ROW()-2&gt;='参数'!$B$2,STDEV(OFFSET(B324,1-'参数'!$B$2,0,'参数'!$B$2,1))*SQRT('参数'!$B$3),"")</f>
        <v/>
      </c>
      <c r="F324">
        <f>'对齐'!C324/'对齐'!C323-1</f>
        <v/>
      </c>
      <c r="G324">
        <f>'对齐'!C324/'对齐'!C$2*100</f>
        <v/>
      </c>
      <c r="H324">
        <f>'对齐'!C324/MAX('对齐'!C$2:'对齐'!C324)-1</f>
        <v/>
      </c>
      <c r="I324">
        <f>IF(ROW()-2&gt;='参数'!$B$2,STDEV(OFFSET(F324,1-'参数'!$B$2,0,'参数'!$B$2,1))*SQRT('参数'!$B$3),"")</f>
        <v/>
      </c>
    </row>
    <row r="325">
      <c r="A325">
        <f>'对齐'!A325</f>
        <v/>
      </c>
      <c r="B325">
        <f>'对齐'!B325/'对齐'!B324-1</f>
        <v/>
      </c>
      <c r="C325">
        <f>'对齐'!B325/'对齐'!B$2*100</f>
        <v/>
      </c>
      <c r="D325">
        <f>'对齐'!B325/MAX('对齐'!B$2:'对齐'!B325)-1</f>
        <v/>
      </c>
      <c r="E325">
        <f>IF(ROW()-2&gt;='参数'!$B$2,STDEV(OFFSET(B325,1-'参数'!$B$2,0,'参数'!$B$2,1))*SQRT('参数'!$B$3),"")</f>
        <v/>
      </c>
      <c r="F325">
        <f>'对齐'!C325/'对齐'!C324-1</f>
        <v/>
      </c>
      <c r="G325">
        <f>'对齐'!C325/'对齐'!C$2*100</f>
        <v/>
      </c>
      <c r="H325">
        <f>'对齐'!C325/MAX('对齐'!C$2:'对齐'!C325)-1</f>
        <v/>
      </c>
      <c r="I325">
        <f>IF(ROW()-2&gt;='参数'!$B$2,STDEV(OFFSET(F325,1-'参数'!$B$2,0,'参数'!$B$2,1))*SQRT('参数'!$B$3),"")</f>
        <v/>
      </c>
    </row>
    <row r="326">
      <c r="A326">
        <f>'对齐'!A326</f>
        <v/>
      </c>
      <c r="B326">
        <f>'对齐'!B326/'对齐'!B325-1</f>
        <v/>
      </c>
      <c r="C326">
        <f>'对齐'!B326/'对齐'!B$2*100</f>
        <v/>
      </c>
      <c r="D326">
        <f>'对齐'!B326/MAX('对齐'!B$2:'对齐'!B326)-1</f>
        <v/>
      </c>
      <c r="E326">
        <f>IF(ROW()-2&gt;='参数'!$B$2,STDEV(OFFSET(B326,1-'参数'!$B$2,0,'参数'!$B$2,1))*SQRT('参数'!$B$3),"")</f>
        <v/>
      </c>
      <c r="F326">
        <f>'对齐'!C326/'对齐'!C325-1</f>
        <v/>
      </c>
      <c r="G326">
        <f>'对齐'!C326/'对齐'!C$2*100</f>
        <v/>
      </c>
      <c r="H326">
        <f>'对齐'!C326/MAX('对齐'!C$2:'对齐'!C326)-1</f>
        <v/>
      </c>
      <c r="I326">
        <f>IF(ROW()-2&gt;='参数'!$B$2,STDEV(OFFSET(F326,1-'参数'!$B$2,0,'参数'!$B$2,1))*SQRT('参数'!$B$3),"")</f>
        <v/>
      </c>
    </row>
    <row r="327">
      <c r="A327">
        <f>'对齐'!A327</f>
        <v/>
      </c>
      <c r="B327">
        <f>'对齐'!B327/'对齐'!B326-1</f>
        <v/>
      </c>
      <c r="C327">
        <f>'对齐'!B327/'对齐'!B$2*100</f>
        <v/>
      </c>
      <c r="D327">
        <f>'对齐'!B327/MAX('对齐'!B$2:'对齐'!B327)-1</f>
        <v/>
      </c>
      <c r="E327">
        <f>IF(ROW()-2&gt;='参数'!$B$2,STDEV(OFFSET(B327,1-'参数'!$B$2,0,'参数'!$B$2,1))*SQRT('参数'!$B$3),"")</f>
        <v/>
      </c>
      <c r="F327">
        <f>'对齐'!C327/'对齐'!C326-1</f>
        <v/>
      </c>
      <c r="G327">
        <f>'对齐'!C327/'对齐'!C$2*100</f>
        <v/>
      </c>
      <c r="H327">
        <f>'对齐'!C327/MAX('对齐'!C$2:'对齐'!C327)-1</f>
        <v/>
      </c>
      <c r="I327">
        <f>IF(ROW()-2&gt;='参数'!$B$2,STDEV(OFFSET(F327,1-'参数'!$B$2,0,'参数'!$B$2,1))*SQRT('参数'!$B$3),"")</f>
        <v/>
      </c>
    </row>
    <row r="328">
      <c r="A328">
        <f>'对齐'!A328</f>
        <v/>
      </c>
      <c r="B328">
        <f>'对齐'!B328/'对齐'!B327-1</f>
        <v/>
      </c>
      <c r="C328">
        <f>'对齐'!B328/'对齐'!B$2*100</f>
        <v/>
      </c>
      <c r="D328">
        <f>'对齐'!B328/MAX('对齐'!B$2:'对齐'!B328)-1</f>
        <v/>
      </c>
      <c r="E328">
        <f>IF(ROW()-2&gt;='参数'!$B$2,STDEV(OFFSET(B328,1-'参数'!$B$2,0,'参数'!$B$2,1))*SQRT('参数'!$B$3),"")</f>
        <v/>
      </c>
      <c r="F328">
        <f>'对齐'!C328/'对齐'!C327-1</f>
        <v/>
      </c>
      <c r="G328">
        <f>'对齐'!C328/'对齐'!C$2*100</f>
        <v/>
      </c>
      <c r="H328">
        <f>'对齐'!C328/MAX('对齐'!C$2:'对齐'!C328)-1</f>
        <v/>
      </c>
      <c r="I328">
        <f>IF(ROW()-2&gt;='参数'!$B$2,STDEV(OFFSET(F328,1-'参数'!$B$2,0,'参数'!$B$2,1))*SQRT('参数'!$B$3),"")</f>
        <v/>
      </c>
    </row>
    <row r="329">
      <c r="A329">
        <f>'对齐'!A329</f>
        <v/>
      </c>
      <c r="B329">
        <f>'对齐'!B329/'对齐'!B328-1</f>
        <v/>
      </c>
      <c r="C329">
        <f>'对齐'!B329/'对齐'!B$2*100</f>
        <v/>
      </c>
      <c r="D329">
        <f>'对齐'!B329/MAX('对齐'!B$2:'对齐'!B329)-1</f>
        <v/>
      </c>
      <c r="E329">
        <f>IF(ROW()-2&gt;='参数'!$B$2,STDEV(OFFSET(B329,1-'参数'!$B$2,0,'参数'!$B$2,1))*SQRT('参数'!$B$3),"")</f>
        <v/>
      </c>
      <c r="F329">
        <f>'对齐'!C329/'对齐'!C328-1</f>
        <v/>
      </c>
      <c r="G329">
        <f>'对齐'!C329/'对齐'!C$2*100</f>
        <v/>
      </c>
      <c r="H329">
        <f>'对齐'!C329/MAX('对齐'!C$2:'对齐'!C329)-1</f>
        <v/>
      </c>
      <c r="I329">
        <f>IF(ROW()-2&gt;='参数'!$B$2,STDEV(OFFSET(F329,1-'参数'!$B$2,0,'参数'!$B$2,1))*SQRT('参数'!$B$3),"")</f>
        <v/>
      </c>
    </row>
    <row r="330">
      <c r="A330">
        <f>'对齐'!A330</f>
        <v/>
      </c>
      <c r="B330">
        <f>'对齐'!B330/'对齐'!B329-1</f>
        <v/>
      </c>
      <c r="C330">
        <f>'对齐'!B330/'对齐'!B$2*100</f>
        <v/>
      </c>
      <c r="D330">
        <f>'对齐'!B330/MAX('对齐'!B$2:'对齐'!B330)-1</f>
        <v/>
      </c>
      <c r="E330">
        <f>IF(ROW()-2&gt;='参数'!$B$2,STDEV(OFFSET(B330,1-'参数'!$B$2,0,'参数'!$B$2,1))*SQRT('参数'!$B$3),"")</f>
        <v/>
      </c>
      <c r="F330">
        <f>'对齐'!C330/'对齐'!C329-1</f>
        <v/>
      </c>
      <c r="G330">
        <f>'对齐'!C330/'对齐'!C$2*100</f>
        <v/>
      </c>
      <c r="H330">
        <f>'对齐'!C330/MAX('对齐'!C$2:'对齐'!C330)-1</f>
        <v/>
      </c>
      <c r="I330">
        <f>IF(ROW()-2&gt;='参数'!$B$2,STDEV(OFFSET(F330,1-'参数'!$B$2,0,'参数'!$B$2,1))*SQRT('参数'!$B$3),"")</f>
        <v/>
      </c>
    </row>
    <row r="331">
      <c r="A331">
        <f>'对齐'!A331</f>
        <v/>
      </c>
      <c r="B331">
        <f>'对齐'!B331/'对齐'!B330-1</f>
        <v/>
      </c>
      <c r="C331">
        <f>'对齐'!B331/'对齐'!B$2*100</f>
        <v/>
      </c>
      <c r="D331">
        <f>'对齐'!B331/MAX('对齐'!B$2:'对齐'!B331)-1</f>
        <v/>
      </c>
      <c r="E331">
        <f>IF(ROW()-2&gt;='参数'!$B$2,STDEV(OFFSET(B331,1-'参数'!$B$2,0,'参数'!$B$2,1))*SQRT('参数'!$B$3),"")</f>
        <v/>
      </c>
      <c r="F331">
        <f>'对齐'!C331/'对齐'!C330-1</f>
        <v/>
      </c>
      <c r="G331">
        <f>'对齐'!C331/'对齐'!C$2*100</f>
        <v/>
      </c>
      <c r="H331">
        <f>'对齐'!C331/MAX('对齐'!C$2:'对齐'!C331)-1</f>
        <v/>
      </c>
      <c r="I331">
        <f>IF(ROW()-2&gt;='参数'!$B$2,STDEV(OFFSET(F331,1-'参数'!$B$2,0,'参数'!$B$2,1))*SQRT('参数'!$B$3),"")</f>
        <v/>
      </c>
    </row>
    <row r="332">
      <c r="A332">
        <f>'对齐'!A332</f>
        <v/>
      </c>
      <c r="B332">
        <f>'对齐'!B332/'对齐'!B331-1</f>
        <v/>
      </c>
      <c r="C332">
        <f>'对齐'!B332/'对齐'!B$2*100</f>
        <v/>
      </c>
      <c r="D332">
        <f>'对齐'!B332/MAX('对齐'!B$2:'对齐'!B332)-1</f>
        <v/>
      </c>
      <c r="E332">
        <f>IF(ROW()-2&gt;='参数'!$B$2,STDEV(OFFSET(B332,1-'参数'!$B$2,0,'参数'!$B$2,1))*SQRT('参数'!$B$3),"")</f>
        <v/>
      </c>
      <c r="F332">
        <f>'对齐'!C332/'对齐'!C331-1</f>
        <v/>
      </c>
      <c r="G332">
        <f>'对齐'!C332/'对齐'!C$2*100</f>
        <v/>
      </c>
      <c r="H332">
        <f>'对齐'!C332/MAX('对齐'!C$2:'对齐'!C332)-1</f>
        <v/>
      </c>
      <c r="I332">
        <f>IF(ROW()-2&gt;='参数'!$B$2,STDEV(OFFSET(F332,1-'参数'!$B$2,0,'参数'!$B$2,1))*SQRT('参数'!$B$3),"")</f>
        <v/>
      </c>
    </row>
    <row r="333">
      <c r="A333">
        <f>'对齐'!A333</f>
        <v/>
      </c>
      <c r="B333">
        <f>'对齐'!B333/'对齐'!B332-1</f>
        <v/>
      </c>
      <c r="C333">
        <f>'对齐'!B333/'对齐'!B$2*100</f>
        <v/>
      </c>
      <c r="D333">
        <f>'对齐'!B333/MAX('对齐'!B$2:'对齐'!B333)-1</f>
        <v/>
      </c>
      <c r="E333">
        <f>IF(ROW()-2&gt;='参数'!$B$2,STDEV(OFFSET(B333,1-'参数'!$B$2,0,'参数'!$B$2,1))*SQRT('参数'!$B$3),"")</f>
        <v/>
      </c>
      <c r="F333">
        <f>'对齐'!C333/'对齐'!C332-1</f>
        <v/>
      </c>
      <c r="G333">
        <f>'对齐'!C333/'对齐'!C$2*100</f>
        <v/>
      </c>
      <c r="H333">
        <f>'对齐'!C333/MAX('对齐'!C$2:'对齐'!C333)-1</f>
        <v/>
      </c>
      <c r="I333">
        <f>IF(ROW()-2&gt;='参数'!$B$2,STDEV(OFFSET(F333,1-'参数'!$B$2,0,'参数'!$B$2,1))*SQRT('参数'!$B$3),"")</f>
        <v/>
      </c>
    </row>
    <row r="334">
      <c r="A334">
        <f>'对齐'!A334</f>
        <v/>
      </c>
      <c r="B334">
        <f>'对齐'!B334/'对齐'!B333-1</f>
        <v/>
      </c>
      <c r="C334">
        <f>'对齐'!B334/'对齐'!B$2*100</f>
        <v/>
      </c>
      <c r="D334">
        <f>'对齐'!B334/MAX('对齐'!B$2:'对齐'!B334)-1</f>
        <v/>
      </c>
      <c r="E334">
        <f>IF(ROW()-2&gt;='参数'!$B$2,STDEV(OFFSET(B334,1-'参数'!$B$2,0,'参数'!$B$2,1))*SQRT('参数'!$B$3),"")</f>
        <v/>
      </c>
      <c r="F334">
        <f>'对齐'!C334/'对齐'!C333-1</f>
        <v/>
      </c>
      <c r="G334">
        <f>'对齐'!C334/'对齐'!C$2*100</f>
        <v/>
      </c>
      <c r="H334">
        <f>'对齐'!C334/MAX('对齐'!C$2:'对齐'!C334)-1</f>
        <v/>
      </c>
      <c r="I334">
        <f>IF(ROW()-2&gt;='参数'!$B$2,STDEV(OFFSET(F334,1-'参数'!$B$2,0,'参数'!$B$2,1))*SQRT('参数'!$B$3),"")</f>
        <v/>
      </c>
    </row>
    <row r="335">
      <c r="A335">
        <f>'对齐'!A335</f>
        <v/>
      </c>
      <c r="B335">
        <f>'对齐'!B335/'对齐'!B334-1</f>
        <v/>
      </c>
      <c r="C335">
        <f>'对齐'!B335/'对齐'!B$2*100</f>
        <v/>
      </c>
      <c r="D335">
        <f>'对齐'!B335/MAX('对齐'!B$2:'对齐'!B335)-1</f>
        <v/>
      </c>
      <c r="E335">
        <f>IF(ROW()-2&gt;='参数'!$B$2,STDEV(OFFSET(B335,1-'参数'!$B$2,0,'参数'!$B$2,1))*SQRT('参数'!$B$3),"")</f>
        <v/>
      </c>
      <c r="F335">
        <f>'对齐'!C335/'对齐'!C334-1</f>
        <v/>
      </c>
      <c r="G335">
        <f>'对齐'!C335/'对齐'!C$2*100</f>
        <v/>
      </c>
      <c r="H335">
        <f>'对齐'!C335/MAX('对齐'!C$2:'对齐'!C335)-1</f>
        <v/>
      </c>
      <c r="I335">
        <f>IF(ROW()-2&gt;='参数'!$B$2,STDEV(OFFSET(F335,1-'参数'!$B$2,0,'参数'!$B$2,1))*SQRT('参数'!$B$3),"")</f>
        <v/>
      </c>
    </row>
    <row r="336">
      <c r="A336">
        <f>'对齐'!A336</f>
        <v/>
      </c>
      <c r="B336">
        <f>'对齐'!B336/'对齐'!B335-1</f>
        <v/>
      </c>
      <c r="C336">
        <f>'对齐'!B336/'对齐'!B$2*100</f>
        <v/>
      </c>
      <c r="D336">
        <f>'对齐'!B336/MAX('对齐'!B$2:'对齐'!B336)-1</f>
        <v/>
      </c>
      <c r="E336">
        <f>IF(ROW()-2&gt;='参数'!$B$2,STDEV(OFFSET(B336,1-'参数'!$B$2,0,'参数'!$B$2,1))*SQRT('参数'!$B$3),"")</f>
        <v/>
      </c>
      <c r="F336">
        <f>'对齐'!C336/'对齐'!C335-1</f>
        <v/>
      </c>
      <c r="G336">
        <f>'对齐'!C336/'对齐'!C$2*100</f>
        <v/>
      </c>
      <c r="H336">
        <f>'对齐'!C336/MAX('对齐'!C$2:'对齐'!C336)-1</f>
        <v/>
      </c>
      <c r="I336">
        <f>IF(ROW()-2&gt;='参数'!$B$2,STDEV(OFFSET(F336,1-'参数'!$B$2,0,'参数'!$B$2,1))*SQRT('参数'!$B$3),"")</f>
        <v/>
      </c>
    </row>
    <row r="337">
      <c r="A337">
        <f>'对齐'!A337</f>
        <v/>
      </c>
      <c r="B337">
        <f>'对齐'!B337/'对齐'!B336-1</f>
        <v/>
      </c>
      <c r="C337">
        <f>'对齐'!B337/'对齐'!B$2*100</f>
        <v/>
      </c>
      <c r="D337">
        <f>'对齐'!B337/MAX('对齐'!B$2:'对齐'!B337)-1</f>
        <v/>
      </c>
      <c r="E337">
        <f>IF(ROW()-2&gt;='参数'!$B$2,STDEV(OFFSET(B337,1-'参数'!$B$2,0,'参数'!$B$2,1))*SQRT('参数'!$B$3),"")</f>
        <v/>
      </c>
      <c r="F337">
        <f>'对齐'!C337/'对齐'!C336-1</f>
        <v/>
      </c>
      <c r="G337">
        <f>'对齐'!C337/'对齐'!C$2*100</f>
        <v/>
      </c>
      <c r="H337">
        <f>'对齐'!C337/MAX('对齐'!C$2:'对齐'!C337)-1</f>
        <v/>
      </c>
      <c r="I337">
        <f>IF(ROW()-2&gt;='参数'!$B$2,STDEV(OFFSET(F337,1-'参数'!$B$2,0,'参数'!$B$2,1))*SQRT('参数'!$B$3),"")</f>
        <v/>
      </c>
    </row>
    <row r="338">
      <c r="A338">
        <f>'对齐'!A338</f>
        <v/>
      </c>
      <c r="B338">
        <f>'对齐'!B338/'对齐'!B337-1</f>
        <v/>
      </c>
      <c r="C338">
        <f>'对齐'!B338/'对齐'!B$2*100</f>
        <v/>
      </c>
      <c r="D338">
        <f>'对齐'!B338/MAX('对齐'!B$2:'对齐'!B338)-1</f>
        <v/>
      </c>
      <c r="E338">
        <f>IF(ROW()-2&gt;='参数'!$B$2,STDEV(OFFSET(B338,1-'参数'!$B$2,0,'参数'!$B$2,1))*SQRT('参数'!$B$3),"")</f>
        <v/>
      </c>
      <c r="F338">
        <f>'对齐'!C338/'对齐'!C337-1</f>
        <v/>
      </c>
      <c r="G338">
        <f>'对齐'!C338/'对齐'!C$2*100</f>
        <v/>
      </c>
      <c r="H338">
        <f>'对齐'!C338/MAX('对齐'!C$2:'对齐'!C338)-1</f>
        <v/>
      </c>
      <c r="I338">
        <f>IF(ROW()-2&gt;='参数'!$B$2,STDEV(OFFSET(F338,1-'参数'!$B$2,0,'参数'!$B$2,1))*SQRT('参数'!$B$3),"")</f>
        <v/>
      </c>
    </row>
    <row r="339">
      <c r="A339">
        <f>'对齐'!A339</f>
        <v/>
      </c>
      <c r="B339">
        <f>'对齐'!B339/'对齐'!B338-1</f>
        <v/>
      </c>
      <c r="C339">
        <f>'对齐'!B339/'对齐'!B$2*100</f>
        <v/>
      </c>
      <c r="D339">
        <f>'对齐'!B339/MAX('对齐'!B$2:'对齐'!B339)-1</f>
        <v/>
      </c>
      <c r="E339">
        <f>IF(ROW()-2&gt;='参数'!$B$2,STDEV(OFFSET(B339,1-'参数'!$B$2,0,'参数'!$B$2,1))*SQRT('参数'!$B$3),"")</f>
        <v/>
      </c>
      <c r="F339">
        <f>'对齐'!C339/'对齐'!C338-1</f>
        <v/>
      </c>
      <c r="G339">
        <f>'对齐'!C339/'对齐'!C$2*100</f>
        <v/>
      </c>
      <c r="H339">
        <f>'对齐'!C339/MAX('对齐'!C$2:'对齐'!C339)-1</f>
        <v/>
      </c>
      <c r="I339">
        <f>IF(ROW()-2&gt;='参数'!$B$2,STDEV(OFFSET(F339,1-'参数'!$B$2,0,'参数'!$B$2,1))*SQRT('参数'!$B$3),"")</f>
        <v/>
      </c>
    </row>
    <row r="340">
      <c r="A340">
        <f>'对齐'!A340</f>
        <v/>
      </c>
      <c r="B340">
        <f>'对齐'!B340/'对齐'!B339-1</f>
        <v/>
      </c>
      <c r="C340">
        <f>'对齐'!B340/'对齐'!B$2*100</f>
        <v/>
      </c>
      <c r="D340">
        <f>'对齐'!B340/MAX('对齐'!B$2:'对齐'!B340)-1</f>
        <v/>
      </c>
      <c r="E340">
        <f>IF(ROW()-2&gt;='参数'!$B$2,STDEV(OFFSET(B340,1-'参数'!$B$2,0,'参数'!$B$2,1))*SQRT('参数'!$B$3),"")</f>
        <v/>
      </c>
      <c r="F340">
        <f>'对齐'!C340/'对齐'!C339-1</f>
        <v/>
      </c>
      <c r="G340">
        <f>'对齐'!C340/'对齐'!C$2*100</f>
        <v/>
      </c>
      <c r="H340">
        <f>'对齐'!C340/MAX('对齐'!C$2:'对齐'!C340)-1</f>
        <v/>
      </c>
      <c r="I340">
        <f>IF(ROW()-2&gt;='参数'!$B$2,STDEV(OFFSET(F340,1-'参数'!$B$2,0,'参数'!$B$2,1))*SQRT('参数'!$B$3),"")</f>
        <v/>
      </c>
    </row>
    <row r="341">
      <c r="A341">
        <f>'对齐'!A341</f>
        <v/>
      </c>
      <c r="B341">
        <f>'对齐'!B341/'对齐'!B340-1</f>
        <v/>
      </c>
      <c r="C341">
        <f>'对齐'!B341/'对齐'!B$2*100</f>
        <v/>
      </c>
      <c r="D341">
        <f>'对齐'!B341/MAX('对齐'!B$2:'对齐'!B341)-1</f>
        <v/>
      </c>
      <c r="E341">
        <f>IF(ROW()-2&gt;='参数'!$B$2,STDEV(OFFSET(B341,1-'参数'!$B$2,0,'参数'!$B$2,1))*SQRT('参数'!$B$3),"")</f>
        <v/>
      </c>
      <c r="F341">
        <f>'对齐'!C341/'对齐'!C340-1</f>
        <v/>
      </c>
      <c r="G341">
        <f>'对齐'!C341/'对齐'!C$2*100</f>
        <v/>
      </c>
      <c r="H341">
        <f>'对齐'!C341/MAX('对齐'!C$2:'对齐'!C341)-1</f>
        <v/>
      </c>
      <c r="I341">
        <f>IF(ROW()-2&gt;='参数'!$B$2,STDEV(OFFSET(F341,1-'参数'!$B$2,0,'参数'!$B$2,1))*SQRT('参数'!$B$3),"")</f>
        <v/>
      </c>
    </row>
    <row r="342">
      <c r="A342">
        <f>'对齐'!A342</f>
        <v/>
      </c>
      <c r="B342">
        <f>'对齐'!B342/'对齐'!B341-1</f>
        <v/>
      </c>
      <c r="C342">
        <f>'对齐'!B342/'对齐'!B$2*100</f>
        <v/>
      </c>
      <c r="D342">
        <f>'对齐'!B342/MAX('对齐'!B$2:'对齐'!B342)-1</f>
        <v/>
      </c>
      <c r="E342">
        <f>IF(ROW()-2&gt;='参数'!$B$2,STDEV(OFFSET(B342,1-'参数'!$B$2,0,'参数'!$B$2,1))*SQRT('参数'!$B$3),"")</f>
        <v/>
      </c>
      <c r="F342">
        <f>'对齐'!C342/'对齐'!C341-1</f>
        <v/>
      </c>
      <c r="G342">
        <f>'对齐'!C342/'对齐'!C$2*100</f>
        <v/>
      </c>
      <c r="H342">
        <f>'对齐'!C342/MAX('对齐'!C$2:'对齐'!C342)-1</f>
        <v/>
      </c>
      <c r="I342">
        <f>IF(ROW()-2&gt;='参数'!$B$2,STDEV(OFFSET(F342,1-'参数'!$B$2,0,'参数'!$B$2,1))*SQRT('参数'!$B$3),"")</f>
        <v/>
      </c>
    </row>
    <row r="343">
      <c r="A343">
        <f>'对齐'!A343</f>
        <v/>
      </c>
      <c r="B343">
        <f>'对齐'!B343/'对齐'!B342-1</f>
        <v/>
      </c>
      <c r="C343">
        <f>'对齐'!B343/'对齐'!B$2*100</f>
        <v/>
      </c>
      <c r="D343">
        <f>'对齐'!B343/MAX('对齐'!B$2:'对齐'!B343)-1</f>
        <v/>
      </c>
      <c r="E343">
        <f>IF(ROW()-2&gt;='参数'!$B$2,STDEV(OFFSET(B343,1-'参数'!$B$2,0,'参数'!$B$2,1))*SQRT('参数'!$B$3),"")</f>
        <v/>
      </c>
      <c r="F343">
        <f>'对齐'!C343/'对齐'!C342-1</f>
        <v/>
      </c>
      <c r="G343">
        <f>'对齐'!C343/'对齐'!C$2*100</f>
        <v/>
      </c>
      <c r="H343">
        <f>'对齐'!C343/MAX('对齐'!C$2:'对齐'!C343)-1</f>
        <v/>
      </c>
      <c r="I343">
        <f>IF(ROW()-2&gt;='参数'!$B$2,STDEV(OFFSET(F343,1-'参数'!$B$2,0,'参数'!$B$2,1))*SQRT('参数'!$B$3),"")</f>
        <v/>
      </c>
    </row>
    <row r="344">
      <c r="A344">
        <f>'对齐'!A344</f>
        <v/>
      </c>
      <c r="B344">
        <f>'对齐'!B344/'对齐'!B343-1</f>
        <v/>
      </c>
      <c r="C344">
        <f>'对齐'!B344/'对齐'!B$2*100</f>
        <v/>
      </c>
      <c r="D344">
        <f>'对齐'!B344/MAX('对齐'!B$2:'对齐'!B344)-1</f>
        <v/>
      </c>
      <c r="E344">
        <f>IF(ROW()-2&gt;='参数'!$B$2,STDEV(OFFSET(B344,1-'参数'!$B$2,0,'参数'!$B$2,1))*SQRT('参数'!$B$3),"")</f>
        <v/>
      </c>
      <c r="F344">
        <f>'对齐'!C344/'对齐'!C343-1</f>
        <v/>
      </c>
      <c r="G344">
        <f>'对齐'!C344/'对齐'!C$2*100</f>
        <v/>
      </c>
      <c r="H344">
        <f>'对齐'!C344/MAX('对齐'!C$2:'对齐'!C344)-1</f>
        <v/>
      </c>
      <c r="I344">
        <f>IF(ROW()-2&gt;='参数'!$B$2,STDEV(OFFSET(F344,1-'参数'!$B$2,0,'参数'!$B$2,1))*SQRT('参数'!$B$3),"")</f>
        <v/>
      </c>
    </row>
    <row r="345">
      <c r="A345">
        <f>'对齐'!A345</f>
        <v/>
      </c>
      <c r="B345">
        <f>'对齐'!B345/'对齐'!B344-1</f>
        <v/>
      </c>
      <c r="C345">
        <f>'对齐'!B345/'对齐'!B$2*100</f>
        <v/>
      </c>
      <c r="D345">
        <f>'对齐'!B345/MAX('对齐'!B$2:'对齐'!B345)-1</f>
        <v/>
      </c>
      <c r="E345">
        <f>IF(ROW()-2&gt;='参数'!$B$2,STDEV(OFFSET(B345,1-'参数'!$B$2,0,'参数'!$B$2,1))*SQRT('参数'!$B$3),"")</f>
        <v/>
      </c>
      <c r="F345">
        <f>'对齐'!C345/'对齐'!C344-1</f>
        <v/>
      </c>
      <c r="G345">
        <f>'对齐'!C345/'对齐'!C$2*100</f>
        <v/>
      </c>
      <c r="H345">
        <f>'对齐'!C345/MAX('对齐'!C$2:'对齐'!C345)-1</f>
        <v/>
      </c>
      <c r="I345">
        <f>IF(ROW()-2&gt;='参数'!$B$2,STDEV(OFFSET(F345,1-'参数'!$B$2,0,'参数'!$B$2,1))*SQRT('参数'!$B$3),"")</f>
        <v/>
      </c>
    </row>
    <row r="346">
      <c r="A346">
        <f>'对齐'!A346</f>
        <v/>
      </c>
      <c r="B346">
        <f>'对齐'!B346/'对齐'!B345-1</f>
        <v/>
      </c>
      <c r="C346">
        <f>'对齐'!B346/'对齐'!B$2*100</f>
        <v/>
      </c>
      <c r="D346">
        <f>'对齐'!B346/MAX('对齐'!B$2:'对齐'!B346)-1</f>
        <v/>
      </c>
      <c r="E346">
        <f>IF(ROW()-2&gt;='参数'!$B$2,STDEV(OFFSET(B346,1-'参数'!$B$2,0,'参数'!$B$2,1))*SQRT('参数'!$B$3),"")</f>
        <v/>
      </c>
      <c r="F346">
        <f>'对齐'!C346/'对齐'!C345-1</f>
        <v/>
      </c>
      <c r="G346">
        <f>'对齐'!C346/'对齐'!C$2*100</f>
        <v/>
      </c>
      <c r="H346">
        <f>'对齐'!C346/MAX('对齐'!C$2:'对齐'!C346)-1</f>
        <v/>
      </c>
      <c r="I346">
        <f>IF(ROW()-2&gt;='参数'!$B$2,STDEV(OFFSET(F346,1-'参数'!$B$2,0,'参数'!$B$2,1))*SQRT('参数'!$B$3),"")</f>
        <v/>
      </c>
    </row>
    <row r="347">
      <c r="A347">
        <f>'对齐'!A347</f>
        <v/>
      </c>
      <c r="B347">
        <f>'对齐'!B347/'对齐'!B346-1</f>
        <v/>
      </c>
      <c r="C347">
        <f>'对齐'!B347/'对齐'!B$2*100</f>
        <v/>
      </c>
      <c r="D347">
        <f>'对齐'!B347/MAX('对齐'!B$2:'对齐'!B347)-1</f>
        <v/>
      </c>
      <c r="E347">
        <f>IF(ROW()-2&gt;='参数'!$B$2,STDEV(OFFSET(B347,1-'参数'!$B$2,0,'参数'!$B$2,1))*SQRT('参数'!$B$3),"")</f>
        <v/>
      </c>
      <c r="F347">
        <f>'对齐'!C347/'对齐'!C346-1</f>
        <v/>
      </c>
      <c r="G347">
        <f>'对齐'!C347/'对齐'!C$2*100</f>
        <v/>
      </c>
      <c r="H347">
        <f>'对齐'!C347/MAX('对齐'!C$2:'对齐'!C347)-1</f>
        <v/>
      </c>
      <c r="I347">
        <f>IF(ROW()-2&gt;='参数'!$B$2,STDEV(OFFSET(F347,1-'参数'!$B$2,0,'参数'!$B$2,1))*SQRT('参数'!$B$3),"")</f>
        <v/>
      </c>
    </row>
    <row r="348">
      <c r="A348">
        <f>'对齐'!A348</f>
        <v/>
      </c>
      <c r="B348">
        <f>'对齐'!B348/'对齐'!B347-1</f>
        <v/>
      </c>
      <c r="C348">
        <f>'对齐'!B348/'对齐'!B$2*100</f>
        <v/>
      </c>
      <c r="D348">
        <f>'对齐'!B348/MAX('对齐'!B$2:'对齐'!B348)-1</f>
        <v/>
      </c>
      <c r="E348">
        <f>IF(ROW()-2&gt;='参数'!$B$2,STDEV(OFFSET(B348,1-'参数'!$B$2,0,'参数'!$B$2,1))*SQRT('参数'!$B$3),"")</f>
        <v/>
      </c>
      <c r="F348">
        <f>'对齐'!C348/'对齐'!C347-1</f>
        <v/>
      </c>
      <c r="G348">
        <f>'对齐'!C348/'对齐'!C$2*100</f>
        <v/>
      </c>
      <c r="H348">
        <f>'对齐'!C348/MAX('对齐'!C$2:'对齐'!C348)-1</f>
        <v/>
      </c>
      <c r="I348">
        <f>IF(ROW()-2&gt;='参数'!$B$2,STDEV(OFFSET(F348,1-'参数'!$B$2,0,'参数'!$B$2,1))*SQRT('参数'!$B$3),"")</f>
        <v/>
      </c>
    </row>
    <row r="349">
      <c r="A349">
        <f>'对齐'!A349</f>
        <v/>
      </c>
      <c r="B349">
        <f>'对齐'!B349/'对齐'!B348-1</f>
        <v/>
      </c>
      <c r="C349">
        <f>'对齐'!B349/'对齐'!B$2*100</f>
        <v/>
      </c>
      <c r="D349">
        <f>'对齐'!B349/MAX('对齐'!B$2:'对齐'!B349)-1</f>
        <v/>
      </c>
      <c r="E349">
        <f>IF(ROW()-2&gt;='参数'!$B$2,STDEV(OFFSET(B349,1-'参数'!$B$2,0,'参数'!$B$2,1))*SQRT('参数'!$B$3),"")</f>
        <v/>
      </c>
      <c r="F349">
        <f>'对齐'!C349/'对齐'!C348-1</f>
        <v/>
      </c>
      <c r="G349">
        <f>'对齐'!C349/'对齐'!C$2*100</f>
        <v/>
      </c>
      <c r="H349">
        <f>'对齐'!C349/MAX('对齐'!C$2:'对齐'!C349)-1</f>
        <v/>
      </c>
      <c r="I349">
        <f>IF(ROW()-2&gt;='参数'!$B$2,STDEV(OFFSET(F349,1-'参数'!$B$2,0,'参数'!$B$2,1))*SQRT('参数'!$B$3),"")</f>
        <v/>
      </c>
    </row>
    <row r="350">
      <c r="A350">
        <f>'对齐'!A350</f>
        <v/>
      </c>
      <c r="B350">
        <f>'对齐'!B350/'对齐'!B349-1</f>
        <v/>
      </c>
      <c r="C350">
        <f>'对齐'!B350/'对齐'!B$2*100</f>
        <v/>
      </c>
      <c r="D350">
        <f>'对齐'!B350/MAX('对齐'!B$2:'对齐'!B350)-1</f>
        <v/>
      </c>
      <c r="E350">
        <f>IF(ROW()-2&gt;='参数'!$B$2,STDEV(OFFSET(B350,1-'参数'!$B$2,0,'参数'!$B$2,1))*SQRT('参数'!$B$3),"")</f>
        <v/>
      </c>
      <c r="F350">
        <f>'对齐'!C350/'对齐'!C349-1</f>
        <v/>
      </c>
      <c r="G350">
        <f>'对齐'!C350/'对齐'!C$2*100</f>
        <v/>
      </c>
      <c r="H350">
        <f>'对齐'!C350/MAX('对齐'!C$2:'对齐'!C350)-1</f>
        <v/>
      </c>
      <c r="I350">
        <f>IF(ROW()-2&gt;='参数'!$B$2,STDEV(OFFSET(F350,1-'参数'!$B$2,0,'参数'!$B$2,1))*SQRT('参数'!$B$3),"")</f>
        <v/>
      </c>
    </row>
    <row r="351">
      <c r="A351">
        <f>'对齐'!A351</f>
        <v/>
      </c>
      <c r="B351">
        <f>'对齐'!B351/'对齐'!B350-1</f>
        <v/>
      </c>
      <c r="C351">
        <f>'对齐'!B351/'对齐'!B$2*100</f>
        <v/>
      </c>
      <c r="D351">
        <f>'对齐'!B351/MAX('对齐'!B$2:'对齐'!B351)-1</f>
        <v/>
      </c>
      <c r="E351">
        <f>IF(ROW()-2&gt;='参数'!$B$2,STDEV(OFFSET(B351,1-'参数'!$B$2,0,'参数'!$B$2,1))*SQRT('参数'!$B$3),"")</f>
        <v/>
      </c>
      <c r="F351">
        <f>'对齐'!C351/'对齐'!C350-1</f>
        <v/>
      </c>
      <c r="G351">
        <f>'对齐'!C351/'对齐'!C$2*100</f>
        <v/>
      </c>
      <c r="H351">
        <f>'对齐'!C351/MAX('对齐'!C$2:'对齐'!C351)-1</f>
        <v/>
      </c>
      <c r="I351">
        <f>IF(ROW()-2&gt;='参数'!$B$2,STDEV(OFFSET(F351,1-'参数'!$B$2,0,'参数'!$B$2,1))*SQRT('参数'!$B$3),"")</f>
        <v/>
      </c>
    </row>
    <row r="352">
      <c r="A352">
        <f>'对齐'!A352</f>
        <v/>
      </c>
      <c r="B352">
        <f>'对齐'!B352/'对齐'!B351-1</f>
        <v/>
      </c>
      <c r="C352">
        <f>'对齐'!B352/'对齐'!B$2*100</f>
        <v/>
      </c>
      <c r="D352">
        <f>'对齐'!B352/MAX('对齐'!B$2:'对齐'!B352)-1</f>
        <v/>
      </c>
      <c r="E352">
        <f>IF(ROW()-2&gt;='参数'!$B$2,STDEV(OFFSET(B352,1-'参数'!$B$2,0,'参数'!$B$2,1))*SQRT('参数'!$B$3),"")</f>
        <v/>
      </c>
      <c r="F352">
        <f>'对齐'!C352/'对齐'!C351-1</f>
        <v/>
      </c>
      <c r="G352">
        <f>'对齐'!C352/'对齐'!C$2*100</f>
        <v/>
      </c>
      <c r="H352">
        <f>'对齐'!C352/MAX('对齐'!C$2:'对齐'!C352)-1</f>
        <v/>
      </c>
      <c r="I352">
        <f>IF(ROW()-2&gt;='参数'!$B$2,STDEV(OFFSET(F352,1-'参数'!$B$2,0,'参数'!$B$2,1))*SQRT('参数'!$B$3),"")</f>
        <v/>
      </c>
    </row>
    <row r="353">
      <c r="A353">
        <f>'对齐'!A353</f>
        <v/>
      </c>
      <c r="B353">
        <f>'对齐'!B353/'对齐'!B352-1</f>
        <v/>
      </c>
      <c r="C353">
        <f>'对齐'!B353/'对齐'!B$2*100</f>
        <v/>
      </c>
      <c r="D353">
        <f>'对齐'!B353/MAX('对齐'!B$2:'对齐'!B353)-1</f>
        <v/>
      </c>
      <c r="E353">
        <f>IF(ROW()-2&gt;='参数'!$B$2,STDEV(OFFSET(B353,1-'参数'!$B$2,0,'参数'!$B$2,1))*SQRT('参数'!$B$3),"")</f>
        <v/>
      </c>
      <c r="F353">
        <f>'对齐'!C353/'对齐'!C352-1</f>
        <v/>
      </c>
      <c r="G353">
        <f>'对齐'!C353/'对齐'!C$2*100</f>
        <v/>
      </c>
      <c r="H353">
        <f>'对齐'!C353/MAX('对齐'!C$2:'对齐'!C353)-1</f>
        <v/>
      </c>
      <c r="I353">
        <f>IF(ROW()-2&gt;='参数'!$B$2,STDEV(OFFSET(F353,1-'参数'!$B$2,0,'参数'!$B$2,1))*SQRT('参数'!$B$3),"")</f>
        <v/>
      </c>
    </row>
    <row r="354">
      <c r="A354">
        <f>'对齐'!A354</f>
        <v/>
      </c>
      <c r="B354">
        <f>'对齐'!B354/'对齐'!B353-1</f>
        <v/>
      </c>
      <c r="C354">
        <f>'对齐'!B354/'对齐'!B$2*100</f>
        <v/>
      </c>
      <c r="D354">
        <f>'对齐'!B354/MAX('对齐'!B$2:'对齐'!B354)-1</f>
        <v/>
      </c>
      <c r="E354">
        <f>IF(ROW()-2&gt;='参数'!$B$2,STDEV(OFFSET(B354,1-'参数'!$B$2,0,'参数'!$B$2,1))*SQRT('参数'!$B$3),"")</f>
        <v/>
      </c>
      <c r="F354">
        <f>'对齐'!C354/'对齐'!C353-1</f>
        <v/>
      </c>
      <c r="G354">
        <f>'对齐'!C354/'对齐'!C$2*100</f>
        <v/>
      </c>
      <c r="H354">
        <f>'对齐'!C354/MAX('对齐'!C$2:'对齐'!C354)-1</f>
        <v/>
      </c>
      <c r="I354">
        <f>IF(ROW()-2&gt;='参数'!$B$2,STDEV(OFFSET(F354,1-'参数'!$B$2,0,'参数'!$B$2,1))*SQRT('参数'!$B$3),"")</f>
        <v/>
      </c>
    </row>
    <row r="355">
      <c r="A355">
        <f>'对齐'!A355</f>
        <v/>
      </c>
      <c r="B355">
        <f>'对齐'!B355/'对齐'!B354-1</f>
        <v/>
      </c>
      <c r="C355">
        <f>'对齐'!B355/'对齐'!B$2*100</f>
        <v/>
      </c>
      <c r="D355">
        <f>'对齐'!B355/MAX('对齐'!B$2:'对齐'!B355)-1</f>
        <v/>
      </c>
      <c r="E355">
        <f>IF(ROW()-2&gt;='参数'!$B$2,STDEV(OFFSET(B355,1-'参数'!$B$2,0,'参数'!$B$2,1))*SQRT('参数'!$B$3),"")</f>
        <v/>
      </c>
      <c r="F355">
        <f>'对齐'!C355/'对齐'!C354-1</f>
        <v/>
      </c>
      <c r="G355">
        <f>'对齐'!C355/'对齐'!C$2*100</f>
        <v/>
      </c>
      <c r="H355">
        <f>'对齐'!C355/MAX('对齐'!C$2:'对齐'!C355)-1</f>
        <v/>
      </c>
      <c r="I355">
        <f>IF(ROW()-2&gt;='参数'!$B$2,STDEV(OFFSET(F355,1-'参数'!$B$2,0,'参数'!$B$2,1))*SQRT('参数'!$B$3),"")</f>
        <v/>
      </c>
    </row>
    <row r="356">
      <c r="A356">
        <f>'对齐'!A356</f>
        <v/>
      </c>
      <c r="B356">
        <f>'对齐'!B356/'对齐'!B355-1</f>
        <v/>
      </c>
      <c r="C356">
        <f>'对齐'!B356/'对齐'!B$2*100</f>
        <v/>
      </c>
      <c r="D356">
        <f>'对齐'!B356/MAX('对齐'!B$2:'对齐'!B356)-1</f>
        <v/>
      </c>
      <c r="E356">
        <f>IF(ROW()-2&gt;='参数'!$B$2,STDEV(OFFSET(B356,1-'参数'!$B$2,0,'参数'!$B$2,1))*SQRT('参数'!$B$3),"")</f>
        <v/>
      </c>
      <c r="F356">
        <f>'对齐'!C356/'对齐'!C355-1</f>
        <v/>
      </c>
      <c r="G356">
        <f>'对齐'!C356/'对齐'!C$2*100</f>
        <v/>
      </c>
      <c r="H356">
        <f>'对齐'!C356/MAX('对齐'!C$2:'对齐'!C356)-1</f>
        <v/>
      </c>
      <c r="I356">
        <f>IF(ROW()-2&gt;='参数'!$B$2,STDEV(OFFSET(F356,1-'参数'!$B$2,0,'参数'!$B$2,1))*SQRT('参数'!$B$3),"")</f>
        <v/>
      </c>
    </row>
    <row r="357">
      <c r="A357">
        <f>'对齐'!A357</f>
        <v/>
      </c>
      <c r="B357">
        <f>'对齐'!B357/'对齐'!B356-1</f>
        <v/>
      </c>
      <c r="C357">
        <f>'对齐'!B357/'对齐'!B$2*100</f>
        <v/>
      </c>
      <c r="D357">
        <f>'对齐'!B357/MAX('对齐'!B$2:'对齐'!B357)-1</f>
        <v/>
      </c>
      <c r="E357">
        <f>IF(ROW()-2&gt;='参数'!$B$2,STDEV(OFFSET(B357,1-'参数'!$B$2,0,'参数'!$B$2,1))*SQRT('参数'!$B$3),"")</f>
        <v/>
      </c>
      <c r="F357">
        <f>'对齐'!C357/'对齐'!C356-1</f>
        <v/>
      </c>
      <c r="G357">
        <f>'对齐'!C357/'对齐'!C$2*100</f>
        <v/>
      </c>
      <c r="H357">
        <f>'对齐'!C357/MAX('对齐'!C$2:'对齐'!C357)-1</f>
        <v/>
      </c>
      <c r="I357">
        <f>IF(ROW()-2&gt;='参数'!$B$2,STDEV(OFFSET(F357,1-'参数'!$B$2,0,'参数'!$B$2,1))*SQRT('参数'!$B$3),"")</f>
        <v/>
      </c>
    </row>
    <row r="358">
      <c r="A358">
        <f>'对齐'!A358</f>
        <v/>
      </c>
      <c r="B358">
        <f>'对齐'!B358/'对齐'!B357-1</f>
        <v/>
      </c>
      <c r="C358">
        <f>'对齐'!B358/'对齐'!B$2*100</f>
        <v/>
      </c>
      <c r="D358">
        <f>'对齐'!B358/MAX('对齐'!B$2:'对齐'!B358)-1</f>
        <v/>
      </c>
      <c r="E358">
        <f>IF(ROW()-2&gt;='参数'!$B$2,STDEV(OFFSET(B358,1-'参数'!$B$2,0,'参数'!$B$2,1))*SQRT('参数'!$B$3),"")</f>
        <v/>
      </c>
      <c r="F358">
        <f>'对齐'!C358/'对齐'!C357-1</f>
        <v/>
      </c>
      <c r="G358">
        <f>'对齐'!C358/'对齐'!C$2*100</f>
        <v/>
      </c>
      <c r="H358">
        <f>'对齐'!C358/MAX('对齐'!C$2:'对齐'!C358)-1</f>
        <v/>
      </c>
      <c r="I358">
        <f>IF(ROW()-2&gt;='参数'!$B$2,STDEV(OFFSET(F358,1-'参数'!$B$2,0,'参数'!$B$2,1))*SQRT('参数'!$B$3),"")</f>
        <v/>
      </c>
    </row>
    <row r="359">
      <c r="A359">
        <f>'对齐'!A359</f>
        <v/>
      </c>
      <c r="B359">
        <f>'对齐'!B359/'对齐'!B358-1</f>
        <v/>
      </c>
      <c r="C359">
        <f>'对齐'!B359/'对齐'!B$2*100</f>
        <v/>
      </c>
      <c r="D359">
        <f>'对齐'!B359/MAX('对齐'!B$2:'对齐'!B359)-1</f>
        <v/>
      </c>
      <c r="E359">
        <f>IF(ROW()-2&gt;='参数'!$B$2,STDEV(OFFSET(B359,1-'参数'!$B$2,0,'参数'!$B$2,1))*SQRT('参数'!$B$3),"")</f>
        <v/>
      </c>
      <c r="F359">
        <f>'对齐'!C359/'对齐'!C358-1</f>
        <v/>
      </c>
      <c r="G359">
        <f>'对齐'!C359/'对齐'!C$2*100</f>
        <v/>
      </c>
      <c r="H359">
        <f>'对齐'!C359/MAX('对齐'!C$2:'对齐'!C359)-1</f>
        <v/>
      </c>
      <c r="I359">
        <f>IF(ROW()-2&gt;='参数'!$B$2,STDEV(OFFSET(F359,1-'参数'!$B$2,0,'参数'!$B$2,1))*SQRT('参数'!$B$3),"")</f>
        <v/>
      </c>
    </row>
    <row r="360">
      <c r="A360">
        <f>'对齐'!A360</f>
        <v/>
      </c>
      <c r="B360">
        <f>'对齐'!B360/'对齐'!B359-1</f>
        <v/>
      </c>
      <c r="C360">
        <f>'对齐'!B360/'对齐'!B$2*100</f>
        <v/>
      </c>
      <c r="D360">
        <f>'对齐'!B360/MAX('对齐'!B$2:'对齐'!B360)-1</f>
        <v/>
      </c>
      <c r="E360">
        <f>IF(ROW()-2&gt;='参数'!$B$2,STDEV(OFFSET(B360,1-'参数'!$B$2,0,'参数'!$B$2,1))*SQRT('参数'!$B$3),"")</f>
        <v/>
      </c>
      <c r="F360">
        <f>'对齐'!C360/'对齐'!C359-1</f>
        <v/>
      </c>
      <c r="G360">
        <f>'对齐'!C360/'对齐'!C$2*100</f>
        <v/>
      </c>
      <c r="H360">
        <f>'对齐'!C360/MAX('对齐'!C$2:'对齐'!C360)-1</f>
        <v/>
      </c>
      <c r="I360">
        <f>IF(ROW()-2&gt;='参数'!$B$2,STDEV(OFFSET(F360,1-'参数'!$B$2,0,'参数'!$B$2,1))*SQRT('参数'!$B$3),"")</f>
        <v/>
      </c>
    </row>
    <row r="361">
      <c r="A361">
        <f>'对齐'!A361</f>
        <v/>
      </c>
      <c r="B361">
        <f>'对齐'!B361/'对齐'!B360-1</f>
        <v/>
      </c>
      <c r="C361">
        <f>'对齐'!B361/'对齐'!B$2*100</f>
        <v/>
      </c>
      <c r="D361">
        <f>'对齐'!B361/MAX('对齐'!B$2:'对齐'!B361)-1</f>
        <v/>
      </c>
      <c r="E361">
        <f>IF(ROW()-2&gt;='参数'!$B$2,STDEV(OFFSET(B361,1-'参数'!$B$2,0,'参数'!$B$2,1))*SQRT('参数'!$B$3),"")</f>
        <v/>
      </c>
      <c r="F361">
        <f>'对齐'!C361/'对齐'!C360-1</f>
        <v/>
      </c>
      <c r="G361">
        <f>'对齐'!C361/'对齐'!C$2*100</f>
        <v/>
      </c>
      <c r="H361">
        <f>'对齐'!C361/MAX('对齐'!C$2:'对齐'!C361)-1</f>
        <v/>
      </c>
      <c r="I361">
        <f>IF(ROW()-2&gt;='参数'!$B$2,STDEV(OFFSET(F361,1-'参数'!$B$2,0,'参数'!$B$2,1))*SQRT('参数'!$B$3),"")</f>
        <v/>
      </c>
    </row>
    <row r="362">
      <c r="A362">
        <f>'对齐'!A362</f>
        <v/>
      </c>
      <c r="B362">
        <f>'对齐'!B362/'对齐'!B361-1</f>
        <v/>
      </c>
      <c r="C362">
        <f>'对齐'!B362/'对齐'!B$2*100</f>
        <v/>
      </c>
      <c r="D362">
        <f>'对齐'!B362/MAX('对齐'!B$2:'对齐'!B362)-1</f>
        <v/>
      </c>
      <c r="E362">
        <f>IF(ROW()-2&gt;='参数'!$B$2,STDEV(OFFSET(B362,1-'参数'!$B$2,0,'参数'!$B$2,1))*SQRT('参数'!$B$3),"")</f>
        <v/>
      </c>
      <c r="F362">
        <f>'对齐'!C362/'对齐'!C361-1</f>
        <v/>
      </c>
      <c r="G362">
        <f>'对齐'!C362/'对齐'!C$2*100</f>
        <v/>
      </c>
      <c r="H362">
        <f>'对齐'!C362/MAX('对齐'!C$2:'对齐'!C362)-1</f>
        <v/>
      </c>
      <c r="I362">
        <f>IF(ROW()-2&gt;='参数'!$B$2,STDEV(OFFSET(F362,1-'参数'!$B$2,0,'参数'!$B$2,1))*SQRT('参数'!$B$3),"")</f>
        <v/>
      </c>
    </row>
    <row r="363">
      <c r="A363">
        <f>'对齐'!A363</f>
        <v/>
      </c>
      <c r="B363">
        <f>'对齐'!B363/'对齐'!B362-1</f>
        <v/>
      </c>
      <c r="C363">
        <f>'对齐'!B363/'对齐'!B$2*100</f>
        <v/>
      </c>
      <c r="D363">
        <f>'对齐'!B363/MAX('对齐'!B$2:'对齐'!B363)-1</f>
        <v/>
      </c>
      <c r="E363">
        <f>IF(ROW()-2&gt;='参数'!$B$2,STDEV(OFFSET(B363,1-'参数'!$B$2,0,'参数'!$B$2,1))*SQRT('参数'!$B$3),"")</f>
        <v/>
      </c>
      <c r="F363">
        <f>'对齐'!C363/'对齐'!C362-1</f>
        <v/>
      </c>
      <c r="G363">
        <f>'对齐'!C363/'对齐'!C$2*100</f>
        <v/>
      </c>
      <c r="H363">
        <f>'对齐'!C363/MAX('对齐'!C$2:'对齐'!C363)-1</f>
        <v/>
      </c>
      <c r="I363">
        <f>IF(ROW()-2&gt;='参数'!$B$2,STDEV(OFFSET(F363,1-'参数'!$B$2,0,'参数'!$B$2,1))*SQRT('参数'!$B$3),"")</f>
        <v/>
      </c>
    </row>
    <row r="364">
      <c r="A364">
        <f>'对齐'!A364</f>
        <v/>
      </c>
      <c r="B364">
        <f>'对齐'!B364/'对齐'!B363-1</f>
        <v/>
      </c>
      <c r="C364">
        <f>'对齐'!B364/'对齐'!B$2*100</f>
        <v/>
      </c>
      <c r="D364">
        <f>'对齐'!B364/MAX('对齐'!B$2:'对齐'!B364)-1</f>
        <v/>
      </c>
      <c r="E364">
        <f>IF(ROW()-2&gt;='参数'!$B$2,STDEV(OFFSET(B364,1-'参数'!$B$2,0,'参数'!$B$2,1))*SQRT('参数'!$B$3),"")</f>
        <v/>
      </c>
      <c r="F364">
        <f>'对齐'!C364/'对齐'!C363-1</f>
        <v/>
      </c>
      <c r="G364">
        <f>'对齐'!C364/'对齐'!C$2*100</f>
        <v/>
      </c>
      <c r="H364">
        <f>'对齐'!C364/MAX('对齐'!C$2:'对齐'!C364)-1</f>
        <v/>
      </c>
      <c r="I364">
        <f>IF(ROW()-2&gt;='参数'!$B$2,STDEV(OFFSET(F364,1-'参数'!$B$2,0,'参数'!$B$2,1))*SQRT('参数'!$B$3),"")</f>
        <v/>
      </c>
    </row>
    <row r="365">
      <c r="A365">
        <f>'对齐'!A365</f>
        <v/>
      </c>
      <c r="B365">
        <f>'对齐'!B365/'对齐'!B364-1</f>
        <v/>
      </c>
      <c r="C365">
        <f>'对齐'!B365/'对齐'!B$2*100</f>
        <v/>
      </c>
      <c r="D365">
        <f>'对齐'!B365/MAX('对齐'!B$2:'对齐'!B365)-1</f>
        <v/>
      </c>
      <c r="E365">
        <f>IF(ROW()-2&gt;='参数'!$B$2,STDEV(OFFSET(B365,1-'参数'!$B$2,0,'参数'!$B$2,1))*SQRT('参数'!$B$3),"")</f>
        <v/>
      </c>
      <c r="F365">
        <f>'对齐'!C365/'对齐'!C364-1</f>
        <v/>
      </c>
      <c r="G365">
        <f>'对齐'!C365/'对齐'!C$2*100</f>
        <v/>
      </c>
      <c r="H365">
        <f>'对齐'!C365/MAX('对齐'!C$2:'对齐'!C365)-1</f>
        <v/>
      </c>
      <c r="I365">
        <f>IF(ROW()-2&gt;='参数'!$B$2,STDEV(OFFSET(F365,1-'参数'!$B$2,0,'参数'!$B$2,1))*SQRT('参数'!$B$3),"")</f>
        <v/>
      </c>
    </row>
    <row r="366">
      <c r="A366">
        <f>'对齐'!A366</f>
        <v/>
      </c>
      <c r="B366">
        <f>'对齐'!B366/'对齐'!B365-1</f>
        <v/>
      </c>
      <c r="C366">
        <f>'对齐'!B366/'对齐'!B$2*100</f>
        <v/>
      </c>
      <c r="D366">
        <f>'对齐'!B366/MAX('对齐'!B$2:'对齐'!B366)-1</f>
        <v/>
      </c>
      <c r="E366">
        <f>IF(ROW()-2&gt;='参数'!$B$2,STDEV(OFFSET(B366,1-'参数'!$B$2,0,'参数'!$B$2,1))*SQRT('参数'!$B$3),"")</f>
        <v/>
      </c>
      <c r="F366">
        <f>'对齐'!C366/'对齐'!C365-1</f>
        <v/>
      </c>
      <c r="G366">
        <f>'对齐'!C366/'对齐'!C$2*100</f>
        <v/>
      </c>
      <c r="H366">
        <f>'对齐'!C366/MAX('对齐'!C$2:'对齐'!C366)-1</f>
        <v/>
      </c>
      <c r="I366">
        <f>IF(ROW()-2&gt;='参数'!$B$2,STDEV(OFFSET(F366,1-'参数'!$B$2,0,'参数'!$B$2,1))*SQRT('参数'!$B$3),"")</f>
        <v/>
      </c>
    </row>
    <row r="367">
      <c r="A367">
        <f>'对齐'!A367</f>
        <v/>
      </c>
      <c r="B367">
        <f>'对齐'!B367/'对齐'!B366-1</f>
        <v/>
      </c>
      <c r="C367">
        <f>'对齐'!B367/'对齐'!B$2*100</f>
        <v/>
      </c>
      <c r="D367">
        <f>'对齐'!B367/MAX('对齐'!B$2:'对齐'!B367)-1</f>
        <v/>
      </c>
      <c r="E367">
        <f>IF(ROW()-2&gt;='参数'!$B$2,STDEV(OFFSET(B367,1-'参数'!$B$2,0,'参数'!$B$2,1))*SQRT('参数'!$B$3),"")</f>
        <v/>
      </c>
      <c r="F367">
        <f>'对齐'!C367/'对齐'!C366-1</f>
        <v/>
      </c>
      <c r="G367">
        <f>'对齐'!C367/'对齐'!C$2*100</f>
        <v/>
      </c>
      <c r="H367">
        <f>'对齐'!C367/MAX('对齐'!C$2:'对齐'!C367)-1</f>
        <v/>
      </c>
      <c r="I367">
        <f>IF(ROW()-2&gt;='参数'!$B$2,STDEV(OFFSET(F367,1-'参数'!$B$2,0,'参数'!$B$2,1))*SQRT('参数'!$B$3),"")</f>
        <v/>
      </c>
    </row>
    <row r="368">
      <c r="A368">
        <f>'对齐'!A368</f>
        <v/>
      </c>
      <c r="B368">
        <f>'对齐'!B368/'对齐'!B367-1</f>
        <v/>
      </c>
      <c r="C368">
        <f>'对齐'!B368/'对齐'!B$2*100</f>
        <v/>
      </c>
      <c r="D368">
        <f>'对齐'!B368/MAX('对齐'!B$2:'对齐'!B368)-1</f>
        <v/>
      </c>
      <c r="E368">
        <f>IF(ROW()-2&gt;='参数'!$B$2,STDEV(OFFSET(B368,1-'参数'!$B$2,0,'参数'!$B$2,1))*SQRT('参数'!$B$3),"")</f>
        <v/>
      </c>
      <c r="F368">
        <f>'对齐'!C368/'对齐'!C367-1</f>
        <v/>
      </c>
      <c r="G368">
        <f>'对齐'!C368/'对齐'!C$2*100</f>
        <v/>
      </c>
      <c r="H368">
        <f>'对齐'!C368/MAX('对齐'!C$2:'对齐'!C368)-1</f>
        <v/>
      </c>
      <c r="I368">
        <f>IF(ROW()-2&gt;='参数'!$B$2,STDEV(OFFSET(F368,1-'参数'!$B$2,0,'参数'!$B$2,1))*SQRT('参数'!$B$3),"")</f>
        <v/>
      </c>
    </row>
    <row r="369">
      <c r="A369">
        <f>'对齐'!A369</f>
        <v/>
      </c>
      <c r="B369">
        <f>'对齐'!B369/'对齐'!B368-1</f>
        <v/>
      </c>
      <c r="C369">
        <f>'对齐'!B369/'对齐'!B$2*100</f>
        <v/>
      </c>
      <c r="D369">
        <f>'对齐'!B369/MAX('对齐'!B$2:'对齐'!B369)-1</f>
        <v/>
      </c>
      <c r="E369">
        <f>IF(ROW()-2&gt;='参数'!$B$2,STDEV(OFFSET(B369,1-'参数'!$B$2,0,'参数'!$B$2,1))*SQRT('参数'!$B$3),"")</f>
        <v/>
      </c>
      <c r="F369">
        <f>'对齐'!C369/'对齐'!C368-1</f>
        <v/>
      </c>
      <c r="G369">
        <f>'对齐'!C369/'对齐'!C$2*100</f>
        <v/>
      </c>
      <c r="H369">
        <f>'对齐'!C369/MAX('对齐'!C$2:'对齐'!C369)-1</f>
        <v/>
      </c>
      <c r="I369">
        <f>IF(ROW()-2&gt;='参数'!$B$2,STDEV(OFFSET(F369,1-'参数'!$B$2,0,'参数'!$B$2,1))*SQRT('参数'!$B$3),"")</f>
        <v/>
      </c>
    </row>
    <row r="370">
      <c r="A370">
        <f>'对齐'!A370</f>
        <v/>
      </c>
      <c r="B370">
        <f>'对齐'!B370/'对齐'!B369-1</f>
        <v/>
      </c>
      <c r="C370">
        <f>'对齐'!B370/'对齐'!B$2*100</f>
        <v/>
      </c>
      <c r="D370">
        <f>'对齐'!B370/MAX('对齐'!B$2:'对齐'!B370)-1</f>
        <v/>
      </c>
      <c r="E370">
        <f>IF(ROW()-2&gt;='参数'!$B$2,STDEV(OFFSET(B370,1-'参数'!$B$2,0,'参数'!$B$2,1))*SQRT('参数'!$B$3),"")</f>
        <v/>
      </c>
      <c r="F370">
        <f>'对齐'!C370/'对齐'!C369-1</f>
        <v/>
      </c>
      <c r="G370">
        <f>'对齐'!C370/'对齐'!C$2*100</f>
        <v/>
      </c>
      <c r="H370">
        <f>'对齐'!C370/MAX('对齐'!C$2:'对齐'!C370)-1</f>
        <v/>
      </c>
      <c r="I370">
        <f>IF(ROW()-2&gt;='参数'!$B$2,STDEV(OFFSET(F370,1-'参数'!$B$2,0,'参数'!$B$2,1))*SQRT('参数'!$B$3),"")</f>
        <v/>
      </c>
    </row>
    <row r="371">
      <c r="A371">
        <f>'对齐'!A371</f>
        <v/>
      </c>
      <c r="B371">
        <f>'对齐'!B371/'对齐'!B370-1</f>
        <v/>
      </c>
      <c r="C371">
        <f>'对齐'!B371/'对齐'!B$2*100</f>
        <v/>
      </c>
      <c r="D371">
        <f>'对齐'!B371/MAX('对齐'!B$2:'对齐'!B371)-1</f>
        <v/>
      </c>
      <c r="E371">
        <f>IF(ROW()-2&gt;='参数'!$B$2,STDEV(OFFSET(B371,1-'参数'!$B$2,0,'参数'!$B$2,1))*SQRT('参数'!$B$3),"")</f>
        <v/>
      </c>
      <c r="F371">
        <f>'对齐'!C371/'对齐'!C370-1</f>
        <v/>
      </c>
      <c r="G371">
        <f>'对齐'!C371/'对齐'!C$2*100</f>
        <v/>
      </c>
      <c r="H371">
        <f>'对齐'!C371/MAX('对齐'!C$2:'对齐'!C371)-1</f>
        <v/>
      </c>
      <c r="I371">
        <f>IF(ROW()-2&gt;='参数'!$B$2,STDEV(OFFSET(F371,1-'参数'!$B$2,0,'参数'!$B$2,1))*SQRT('参数'!$B$3),"")</f>
        <v/>
      </c>
    </row>
    <row r="372">
      <c r="A372">
        <f>'对齐'!A372</f>
        <v/>
      </c>
      <c r="B372">
        <f>'对齐'!B372/'对齐'!B371-1</f>
        <v/>
      </c>
      <c r="C372">
        <f>'对齐'!B372/'对齐'!B$2*100</f>
        <v/>
      </c>
      <c r="D372">
        <f>'对齐'!B372/MAX('对齐'!B$2:'对齐'!B372)-1</f>
        <v/>
      </c>
      <c r="E372">
        <f>IF(ROW()-2&gt;='参数'!$B$2,STDEV(OFFSET(B372,1-'参数'!$B$2,0,'参数'!$B$2,1))*SQRT('参数'!$B$3),"")</f>
        <v/>
      </c>
      <c r="F372">
        <f>'对齐'!C372/'对齐'!C371-1</f>
        <v/>
      </c>
      <c r="G372">
        <f>'对齐'!C372/'对齐'!C$2*100</f>
        <v/>
      </c>
      <c r="H372">
        <f>'对齐'!C372/MAX('对齐'!C$2:'对齐'!C372)-1</f>
        <v/>
      </c>
      <c r="I372">
        <f>IF(ROW()-2&gt;='参数'!$B$2,STDEV(OFFSET(F372,1-'参数'!$B$2,0,'参数'!$B$2,1))*SQRT('参数'!$B$3),"")</f>
        <v/>
      </c>
    </row>
    <row r="373">
      <c r="A373">
        <f>'对齐'!A373</f>
        <v/>
      </c>
      <c r="B373">
        <f>'对齐'!B373/'对齐'!B372-1</f>
        <v/>
      </c>
      <c r="C373">
        <f>'对齐'!B373/'对齐'!B$2*100</f>
        <v/>
      </c>
      <c r="D373">
        <f>'对齐'!B373/MAX('对齐'!B$2:'对齐'!B373)-1</f>
        <v/>
      </c>
      <c r="E373">
        <f>IF(ROW()-2&gt;='参数'!$B$2,STDEV(OFFSET(B373,1-'参数'!$B$2,0,'参数'!$B$2,1))*SQRT('参数'!$B$3),"")</f>
        <v/>
      </c>
      <c r="F373">
        <f>'对齐'!C373/'对齐'!C372-1</f>
        <v/>
      </c>
      <c r="G373">
        <f>'对齐'!C373/'对齐'!C$2*100</f>
        <v/>
      </c>
      <c r="H373">
        <f>'对齐'!C373/MAX('对齐'!C$2:'对齐'!C373)-1</f>
        <v/>
      </c>
      <c r="I373">
        <f>IF(ROW()-2&gt;='参数'!$B$2,STDEV(OFFSET(F373,1-'参数'!$B$2,0,'参数'!$B$2,1))*SQRT('参数'!$B$3),"")</f>
        <v/>
      </c>
    </row>
    <row r="374">
      <c r="A374">
        <f>'对齐'!A374</f>
        <v/>
      </c>
      <c r="B374">
        <f>'对齐'!B374/'对齐'!B373-1</f>
        <v/>
      </c>
      <c r="C374">
        <f>'对齐'!B374/'对齐'!B$2*100</f>
        <v/>
      </c>
      <c r="D374">
        <f>'对齐'!B374/MAX('对齐'!B$2:'对齐'!B374)-1</f>
        <v/>
      </c>
      <c r="E374">
        <f>IF(ROW()-2&gt;='参数'!$B$2,STDEV(OFFSET(B374,1-'参数'!$B$2,0,'参数'!$B$2,1))*SQRT('参数'!$B$3),"")</f>
        <v/>
      </c>
      <c r="F374">
        <f>'对齐'!C374/'对齐'!C373-1</f>
        <v/>
      </c>
      <c r="G374">
        <f>'对齐'!C374/'对齐'!C$2*100</f>
        <v/>
      </c>
      <c r="H374">
        <f>'对齐'!C374/MAX('对齐'!C$2:'对齐'!C374)-1</f>
        <v/>
      </c>
      <c r="I374">
        <f>IF(ROW()-2&gt;='参数'!$B$2,STDEV(OFFSET(F374,1-'参数'!$B$2,0,'参数'!$B$2,1))*SQRT('参数'!$B$3),"")</f>
        <v/>
      </c>
    </row>
    <row r="375">
      <c r="A375">
        <f>'对齐'!A375</f>
        <v/>
      </c>
      <c r="B375">
        <f>'对齐'!B375/'对齐'!B374-1</f>
        <v/>
      </c>
      <c r="C375">
        <f>'对齐'!B375/'对齐'!B$2*100</f>
        <v/>
      </c>
      <c r="D375">
        <f>'对齐'!B375/MAX('对齐'!B$2:'对齐'!B375)-1</f>
        <v/>
      </c>
      <c r="E375">
        <f>IF(ROW()-2&gt;='参数'!$B$2,STDEV(OFFSET(B375,1-'参数'!$B$2,0,'参数'!$B$2,1))*SQRT('参数'!$B$3),"")</f>
        <v/>
      </c>
      <c r="F375">
        <f>'对齐'!C375/'对齐'!C374-1</f>
        <v/>
      </c>
      <c r="G375">
        <f>'对齐'!C375/'对齐'!C$2*100</f>
        <v/>
      </c>
      <c r="H375">
        <f>'对齐'!C375/MAX('对齐'!C$2:'对齐'!C375)-1</f>
        <v/>
      </c>
      <c r="I375">
        <f>IF(ROW()-2&gt;='参数'!$B$2,STDEV(OFFSET(F375,1-'参数'!$B$2,0,'参数'!$B$2,1))*SQRT('参数'!$B$3),"")</f>
        <v/>
      </c>
    </row>
    <row r="376">
      <c r="A376">
        <f>'对齐'!A376</f>
        <v/>
      </c>
      <c r="B376">
        <f>'对齐'!B376/'对齐'!B375-1</f>
        <v/>
      </c>
      <c r="C376">
        <f>'对齐'!B376/'对齐'!B$2*100</f>
        <v/>
      </c>
      <c r="D376">
        <f>'对齐'!B376/MAX('对齐'!B$2:'对齐'!B376)-1</f>
        <v/>
      </c>
      <c r="E376">
        <f>IF(ROW()-2&gt;='参数'!$B$2,STDEV(OFFSET(B376,1-'参数'!$B$2,0,'参数'!$B$2,1))*SQRT('参数'!$B$3),"")</f>
        <v/>
      </c>
      <c r="F376">
        <f>'对齐'!C376/'对齐'!C375-1</f>
        <v/>
      </c>
      <c r="G376">
        <f>'对齐'!C376/'对齐'!C$2*100</f>
        <v/>
      </c>
      <c r="H376">
        <f>'对齐'!C376/MAX('对齐'!C$2:'对齐'!C376)-1</f>
        <v/>
      </c>
      <c r="I376">
        <f>IF(ROW()-2&gt;='参数'!$B$2,STDEV(OFFSET(F376,1-'参数'!$B$2,0,'参数'!$B$2,1))*SQRT('参数'!$B$3),"")</f>
        <v/>
      </c>
    </row>
    <row r="377">
      <c r="A377">
        <f>'对齐'!A377</f>
        <v/>
      </c>
      <c r="B377">
        <f>'对齐'!B377/'对齐'!B376-1</f>
        <v/>
      </c>
      <c r="C377">
        <f>'对齐'!B377/'对齐'!B$2*100</f>
        <v/>
      </c>
      <c r="D377">
        <f>'对齐'!B377/MAX('对齐'!B$2:'对齐'!B377)-1</f>
        <v/>
      </c>
      <c r="E377">
        <f>IF(ROW()-2&gt;='参数'!$B$2,STDEV(OFFSET(B377,1-'参数'!$B$2,0,'参数'!$B$2,1))*SQRT('参数'!$B$3),"")</f>
        <v/>
      </c>
      <c r="F377">
        <f>'对齐'!C377/'对齐'!C376-1</f>
        <v/>
      </c>
      <c r="G377">
        <f>'对齐'!C377/'对齐'!C$2*100</f>
        <v/>
      </c>
      <c r="H377">
        <f>'对齐'!C377/MAX('对齐'!C$2:'对齐'!C377)-1</f>
        <v/>
      </c>
      <c r="I377">
        <f>IF(ROW()-2&gt;='参数'!$B$2,STDEV(OFFSET(F377,1-'参数'!$B$2,0,'参数'!$B$2,1))*SQRT('参数'!$B$3),"")</f>
        <v/>
      </c>
    </row>
    <row r="378">
      <c r="A378">
        <f>'对齐'!A378</f>
        <v/>
      </c>
      <c r="B378">
        <f>'对齐'!B378/'对齐'!B377-1</f>
        <v/>
      </c>
      <c r="C378">
        <f>'对齐'!B378/'对齐'!B$2*100</f>
        <v/>
      </c>
      <c r="D378">
        <f>'对齐'!B378/MAX('对齐'!B$2:'对齐'!B378)-1</f>
        <v/>
      </c>
      <c r="E378">
        <f>IF(ROW()-2&gt;='参数'!$B$2,STDEV(OFFSET(B378,1-'参数'!$B$2,0,'参数'!$B$2,1))*SQRT('参数'!$B$3),"")</f>
        <v/>
      </c>
      <c r="F378">
        <f>'对齐'!C378/'对齐'!C377-1</f>
        <v/>
      </c>
      <c r="G378">
        <f>'对齐'!C378/'对齐'!C$2*100</f>
        <v/>
      </c>
      <c r="H378">
        <f>'对齐'!C378/MAX('对齐'!C$2:'对齐'!C378)-1</f>
        <v/>
      </c>
      <c r="I378">
        <f>IF(ROW()-2&gt;='参数'!$B$2,STDEV(OFFSET(F378,1-'参数'!$B$2,0,'参数'!$B$2,1))*SQRT('参数'!$B$3),"")</f>
        <v/>
      </c>
    </row>
    <row r="379">
      <c r="A379">
        <f>'对齐'!A379</f>
        <v/>
      </c>
      <c r="B379">
        <f>'对齐'!B379/'对齐'!B378-1</f>
        <v/>
      </c>
      <c r="C379">
        <f>'对齐'!B379/'对齐'!B$2*100</f>
        <v/>
      </c>
      <c r="D379">
        <f>'对齐'!B379/MAX('对齐'!B$2:'对齐'!B379)-1</f>
        <v/>
      </c>
      <c r="E379">
        <f>IF(ROW()-2&gt;='参数'!$B$2,STDEV(OFFSET(B379,1-'参数'!$B$2,0,'参数'!$B$2,1))*SQRT('参数'!$B$3),"")</f>
        <v/>
      </c>
      <c r="F379">
        <f>'对齐'!C379/'对齐'!C378-1</f>
        <v/>
      </c>
      <c r="G379">
        <f>'对齐'!C379/'对齐'!C$2*100</f>
        <v/>
      </c>
      <c r="H379">
        <f>'对齐'!C379/MAX('对齐'!C$2:'对齐'!C379)-1</f>
        <v/>
      </c>
      <c r="I379">
        <f>IF(ROW()-2&gt;='参数'!$B$2,STDEV(OFFSET(F379,1-'参数'!$B$2,0,'参数'!$B$2,1))*SQRT('参数'!$B$3),"")</f>
        <v/>
      </c>
    </row>
    <row r="380">
      <c r="A380">
        <f>'对齐'!A380</f>
        <v/>
      </c>
      <c r="B380">
        <f>'对齐'!B380/'对齐'!B379-1</f>
        <v/>
      </c>
      <c r="C380">
        <f>'对齐'!B380/'对齐'!B$2*100</f>
        <v/>
      </c>
      <c r="D380">
        <f>'对齐'!B380/MAX('对齐'!B$2:'对齐'!B380)-1</f>
        <v/>
      </c>
      <c r="E380">
        <f>IF(ROW()-2&gt;='参数'!$B$2,STDEV(OFFSET(B380,1-'参数'!$B$2,0,'参数'!$B$2,1))*SQRT('参数'!$B$3),"")</f>
        <v/>
      </c>
      <c r="F380">
        <f>'对齐'!C380/'对齐'!C379-1</f>
        <v/>
      </c>
      <c r="G380">
        <f>'对齐'!C380/'对齐'!C$2*100</f>
        <v/>
      </c>
      <c r="H380">
        <f>'对齐'!C380/MAX('对齐'!C$2:'对齐'!C380)-1</f>
        <v/>
      </c>
      <c r="I380">
        <f>IF(ROW()-2&gt;='参数'!$B$2,STDEV(OFFSET(F380,1-'参数'!$B$2,0,'参数'!$B$2,1))*SQRT('参数'!$B$3),"")</f>
        <v/>
      </c>
    </row>
    <row r="381">
      <c r="A381">
        <f>'对齐'!A381</f>
        <v/>
      </c>
      <c r="B381">
        <f>'对齐'!B381/'对齐'!B380-1</f>
        <v/>
      </c>
      <c r="C381">
        <f>'对齐'!B381/'对齐'!B$2*100</f>
        <v/>
      </c>
      <c r="D381">
        <f>'对齐'!B381/MAX('对齐'!B$2:'对齐'!B381)-1</f>
        <v/>
      </c>
      <c r="E381">
        <f>IF(ROW()-2&gt;='参数'!$B$2,STDEV(OFFSET(B381,1-'参数'!$B$2,0,'参数'!$B$2,1))*SQRT('参数'!$B$3),"")</f>
        <v/>
      </c>
      <c r="F381">
        <f>'对齐'!C381/'对齐'!C380-1</f>
        <v/>
      </c>
      <c r="G381">
        <f>'对齐'!C381/'对齐'!C$2*100</f>
        <v/>
      </c>
      <c r="H381">
        <f>'对齐'!C381/MAX('对齐'!C$2:'对齐'!C381)-1</f>
        <v/>
      </c>
      <c r="I381">
        <f>IF(ROW()-2&gt;='参数'!$B$2,STDEV(OFFSET(F381,1-'参数'!$B$2,0,'参数'!$B$2,1))*SQRT('参数'!$B$3),"")</f>
        <v/>
      </c>
    </row>
    <row r="382">
      <c r="A382">
        <f>'对齐'!A382</f>
        <v/>
      </c>
      <c r="B382">
        <f>'对齐'!B382/'对齐'!B381-1</f>
        <v/>
      </c>
      <c r="C382">
        <f>'对齐'!B382/'对齐'!B$2*100</f>
        <v/>
      </c>
      <c r="D382">
        <f>'对齐'!B382/MAX('对齐'!B$2:'对齐'!B382)-1</f>
        <v/>
      </c>
      <c r="E382">
        <f>IF(ROW()-2&gt;='参数'!$B$2,STDEV(OFFSET(B382,1-'参数'!$B$2,0,'参数'!$B$2,1))*SQRT('参数'!$B$3),"")</f>
        <v/>
      </c>
      <c r="F382">
        <f>'对齐'!C382/'对齐'!C381-1</f>
        <v/>
      </c>
      <c r="G382">
        <f>'对齐'!C382/'对齐'!C$2*100</f>
        <v/>
      </c>
      <c r="H382">
        <f>'对齐'!C382/MAX('对齐'!C$2:'对齐'!C382)-1</f>
        <v/>
      </c>
      <c r="I382">
        <f>IF(ROW()-2&gt;='参数'!$B$2,STDEV(OFFSET(F382,1-'参数'!$B$2,0,'参数'!$B$2,1))*SQRT('参数'!$B$3),"")</f>
        <v/>
      </c>
    </row>
    <row r="383">
      <c r="A383">
        <f>'对齐'!A383</f>
        <v/>
      </c>
      <c r="B383">
        <f>'对齐'!B383/'对齐'!B382-1</f>
        <v/>
      </c>
      <c r="C383">
        <f>'对齐'!B383/'对齐'!B$2*100</f>
        <v/>
      </c>
      <c r="D383">
        <f>'对齐'!B383/MAX('对齐'!B$2:'对齐'!B383)-1</f>
        <v/>
      </c>
      <c r="E383">
        <f>IF(ROW()-2&gt;='参数'!$B$2,STDEV(OFFSET(B383,1-'参数'!$B$2,0,'参数'!$B$2,1))*SQRT('参数'!$B$3),"")</f>
        <v/>
      </c>
      <c r="F383">
        <f>'对齐'!C383/'对齐'!C382-1</f>
        <v/>
      </c>
      <c r="G383">
        <f>'对齐'!C383/'对齐'!C$2*100</f>
        <v/>
      </c>
      <c r="H383">
        <f>'对齐'!C383/MAX('对齐'!C$2:'对齐'!C383)-1</f>
        <v/>
      </c>
      <c r="I383">
        <f>IF(ROW()-2&gt;='参数'!$B$2,STDEV(OFFSET(F383,1-'参数'!$B$2,0,'参数'!$B$2,1))*SQRT('参数'!$B$3),"")</f>
        <v/>
      </c>
    </row>
    <row r="384">
      <c r="A384">
        <f>'对齐'!A384</f>
        <v/>
      </c>
      <c r="B384">
        <f>'对齐'!B384/'对齐'!B383-1</f>
        <v/>
      </c>
      <c r="C384">
        <f>'对齐'!B384/'对齐'!B$2*100</f>
        <v/>
      </c>
      <c r="D384">
        <f>'对齐'!B384/MAX('对齐'!B$2:'对齐'!B384)-1</f>
        <v/>
      </c>
      <c r="E384">
        <f>IF(ROW()-2&gt;='参数'!$B$2,STDEV(OFFSET(B384,1-'参数'!$B$2,0,'参数'!$B$2,1))*SQRT('参数'!$B$3),"")</f>
        <v/>
      </c>
      <c r="F384">
        <f>'对齐'!C384/'对齐'!C383-1</f>
        <v/>
      </c>
      <c r="G384">
        <f>'对齐'!C384/'对齐'!C$2*100</f>
        <v/>
      </c>
      <c r="H384">
        <f>'对齐'!C384/MAX('对齐'!C$2:'对齐'!C384)-1</f>
        <v/>
      </c>
      <c r="I384">
        <f>IF(ROW()-2&gt;='参数'!$B$2,STDEV(OFFSET(F384,1-'参数'!$B$2,0,'参数'!$B$2,1))*SQRT('参数'!$B$3),"")</f>
        <v/>
      </c>
    </row>
    <row r="385">
      <c r="A385">
        <f>'对齐'!A385</f>
        <v/>
      </c>
      <c r="B385">
        <f>'对齐'!B385/'对齐'!B384-1</f>
        <v/>
      </c>
      <c r="C385">
        <f>'对齐'!B385/'对齐'!B$2*100</f>
        <v/>
      </c>
      <c r="D385">
        <f>'对齐'!B385/MAX('对齐'!B$2:'对齐'!B385)-1</f>
        <v/>
      </c>
      <c r="E385">
        <f>IF(ROW()-2&gt;='参数'!$B$2,STDEV(OFFSET(B385,1-'参数'!$B$2,0,'参数'!$B$2,1))*SQRT('参数'!$B$3),"")</f>
        <v/>
      </c>
      <c r="F385">
        <f>'对齐'!C385/'对齐'!C384-1</f>
        <v/>
      </c>
      <c r="G385">
        <f>'对齐'!C385/'对齐'!C$2*100</f>
        <v/>
      </c>
      <c r="H385">
        <f>'对齐'!C385/MAX('对齐'!C$2:'对齐'!C385)-1</f>
        <v/>
      </c>
      <c r="I385">
        <f>IF(ROW()-2&gt;='参数'!$B$2,STDEV(OFFSET(F385,1-'参数'!$B$2,0,'参数'!$B$2,1))*SQRT('参数'!$B$3),"")</f>
        <v/>
      </c>
    </row>
    <row r="386">
      <c r="A386">
        <f>'对齐'!A386</f>
        <v/>
      </c>
      <c r="B386">
        <f>'对齐'!B386/'对齐'!B385-1</f>
        <v/>
      </c>
      <c r="C386">
        <f>'对齐'!B386/'对齐'!B$2*100</f>
        <v/>
      </c>
      <c r="D386">
        <f>'对齐'!B386/MAX('对齐'!B$2:'对齐'!B386)-1</f>
        <v/>
      </c>
      <c r="E386">
        <f>IF(ROW()-2&gt;='参数'!$B$2,STDEV(OFFSET(B386,1-'参数'!$B$2,0,'参数'!$B$2,1))*SQRT('参数'!$B$3),"")</f>
        <v/>
      </c>
      <c r="F386">
        <f>'对齐'!C386/'对齐'!C385-1</f>
        <v/>
      </c>
      <c r="G386">
        <f>'对齐'!C386/'对齐'!C$2*100</f>
        <v/>
      </c>
      <c r="H386">
        <f>'对齐'!C386/MAX('对齐'!C$2:'对齐'!C386)-1</f>
        <v/>
      </c>
      <c r="I386">
        <f>IF(ROW()-2&gt;='参数'!$B$2,STDEV(OFFSET(F386,1-'参数'!$B$2,0,'参数'!$B$2,1))*SQRT('参数'!$B$3),"")</f>
        <v/>
      </c>
    </row>
    <row r="387">
      <c r="A387">
        <f>'对齐'!A387</f>
        <v/>
      </c>
      <c r="B387">
        <f>'对齐'!B387/'对齐'!B386-1</f>
        <v/>
      </c>
      <c r="C387">
        <f>'对齐'!B387/'对齐'!B$2*100</f>
        <v/>
      </c>
      <c r="D387">
        <f>'对齐'!B387/MAX('对齐'!B$2:'对齐'!B387)-1</f>
        <v/>
      </c>
      <c r="E387">
        <f>IF(ROW()-2&gt;='参数'!$B$2,STDEV(OFFSET(B387,1-'参数'!$B$2,0,'参数'!$B$2,1))*SQRT('参数'!$B$3),"")</f>
        <v/>
      </c>
      <c r="F387">
        <f>'对齐'!C387/'对齐'!C386-1</f>
        <v/>
      </c>
      <c r="G387">
        <f>'对齐'!C387/'对齐'!C$2*100</f>
        <v/>
      </c>
      <c r="H387">
        <f>'对齐'!C387/MAX('对齐'!C$2:'对齐'!C387)-1</f>
        <v/>
      </c>
      <c r="I387">
        <f>IF(ROW()-2&gt;='参数'!$B$2,STDEV(OFFSET(F387,1-'参数'!$B$2,0,'参数'!$B$2,1))*SQRT('参数'!$B$3),"")</f>
        <v/>
      </c>
    </row>
    <row r="388">
      <c r="A388">
        <f>'对齐'!A388</f>
        <v/>
      </c>
      <c r="B388">
        <f>'对齐'!B388/'对齐'!B387-1</f>
        <v/>
      </c>
      <c r="C388">
        <f>'对齐'!B388/'对齐'!B$2*100</f>
        <v/>
      </c>
      <c r="D388">
        <f>'对齐'!B388/MAX('对齐'!B$2:'对齐'!B388)-1</f>
        <v/>
      </c>
      <c r="E388">
        <f>IF(ROW()-2&gt;='参数'!$B$2,STDEV(OFFSET(B388,1-'参数'!$B$2,0,'参数'!$B$2,1))*SQRT('参数'!$B$3),"")</f>
        <v/>
      </c>
      <c r="F388">
        <f>'对齐'!C388/'对齐'!C387-1</f>
        <v/>
      </c>
      <c r="G388">
        <f>'对齐'!C388/'对齐'!C$2*100</f>
        <v/>
      </c>
      <c r="H388">
        <f>'对齐'!C388/MAX('对齐'!C$2:'对齐'!C388)-1</f>
        <v/>
      </c>
      <c r="I388">
        <f>IF(ROW()-2&gt;='参数'!$B$2,STDEV(OFFSET(F388,1-'参数'!$B$2,0,'参数'!$B$2,1))*SQRT('参数'!$B$3),"")</f>
        <v/>
      </c>
    </row>
    <row r="389">
      <c r="A389">
        <f>'对齐'!A389</f>
        <v/>
      </c>
      <c r="B389">
        <f>'对齐'!B389/'对齐'!B388-1</f>
        <v/>
      </c>
      <c r="C389">
        <f>'对齐'!B389/'对齐'!B$2*100</f>
        <v/>
      </c>
      <c r="D389">
        <f>'对齐'!B389/MAX('对齐'!B$2:'对齐'!B389)-1</f>
        <v/>
      </c>
      <c r="E389">
        <f>IF(ROW()-2&gt;='参数'!$B$2,STDEV(OFFSET(B389,1-'参数'!$B$2,0,'参数'!$B$2,1))*SQRT('参数'!$B$3),"")</f>
        <v/>
      </c>
      <c r="F389">
        <f>'对齐'!C389/'对齐'!C388-1</f>
        <v/>
      </c>
      <c r="G389">
        <f>'对齐'!C389/'对齐'!C$2*100</f>
        <v/>
      </c>
      <c r="H389">
        <f>'对齐'!C389/MAX('对齐'!C$2:'对齐'!C389)-1</f>
        <v/>
      </c>
      <c r="I389">
        <f>IF(ROW()-2&gt;='参数'!$B$2,STDEV(OFFSET(F389,1-'参数'!$B$2,0,'参数'!$B$2,1))*SQRT('参数'!$B$3),"")</f>
        <v/>
      </c>
    </row>
    <row r="390">
      <c r="A390">
        <f>'对齐'!A390</f>
        <v/>
      </c>
      <c r="B390">
        <f>'对齐'!B390/'对齐'!B389-1</f>
        <v/>
      </c>
      <c r="C390">
        <f>'对齐'!B390/'对齐'!B$2*100</f>
        <v/>
      </c>
      <c r="D390">
        <f>'对齐'!B390/MAX('对齐'!B$2:'对齐'!B390)-1</f>
        <v/>
      </c>
      <c r="E390">
        <f>IF(ROW()-2&gt;='参数'!$B$2,STDEV(OFFSET(B390,1-'参数'!$B$2,0,'参数'!$B$2,1))*SQRT('参数'!$B$3),"")</f>
        <v/>
      </c>
      <c r="F390">
        <f>'对齐'!C390/'对齐'!C389-1</f>
        <v/>
      </c>
      <c r="G390">
        <f>'对齐'!C390/'对齐'!C$2*100</f>
        <v/>
      </c>
      <c r="H390">
        <f>'对齐'!C390/MAX('对齐'!C$2:'对齐'!C390)-1</f>
        <v/>
      </c>
      <c r="I390">
        <f>IF(ROW()-2&gt;='参数'!$B$2,STDEV(OFFSET(F390,1-'参数'!$B$2,0,'参数'!$B$2,1))*SQRT('参数'!$B$3),"")</f>
        <v/>
      </c>
    </row>
    <row r="391">
      <c r="A391">
        <f>'对齐'!A391</f>
        <v/>
      </c>
      <c r="B391">
        <f>'对齐'!B391/'对齐'!B390-1</f>
        <v/>
      </c>
      <c r="C391">
        <f>'对齐'!B391/'对齐'!B$2*100</f>
        <v/>
      </c>
      <c r="D391">
        <f>'对齐'!B391/MAX('对齐'!B$2:'对齐'!B391)-1</f>
        <v/>
      </c>
      <c r="E391">
        <f>IF(ROW()-2&gt;='参数'!$B$2,STDEV(OFFSET(B391,1-'参数'!$B$2,0,'参数'!$B$2,1))*SQRT('参数'!$B$3),"")</f>
        <v/>
      </c>
      <c r="F391">
        <f>'对齐'!C391/'对齐'!C390-1</f>
        <v/>
      </c>
      <c r="G391">
        <f>'对齐'!C391/'对齐'!C$2*100</f>
        <v/>
      </c>
      <c r="H391">
        <f>'对齐'!C391/MAX('对齐'!C$2:'对齐'!C391)-1</f>
        <v/>
      </c>
      <c r="I391">
        <f>IF(ROW()-2&gt;='参数'!$B$2,STDEV(OFFSET(F391,1-'参数'!$B$2,0,'参数'!$B$2,1))*SQRT('参数'!$B$3),"")</f>
        <v/>
      </c>
    </row>
    <row r="392">
      <c r="A392">
        <f>'对齐'!A392</f>
        <v/>
      </c>
      <c r="B392">
        <f>'对齐'!B392/'对齐'!B391-1</f>
        <v/>
      </c>
      <c r="C392">
        <f>'对齐'!B392/'对齐'!B$2*100</f>
        <v/>
      </c>
      <c r="D392">
        <f>'对齐'!B392/MAX('对齐'!B$2:'对齐'!B392)-1</f>
        <v/>
      </c>
      <c r="E392">
        <f>IF(ROW()-2&gt;='参数'!$B$2,STDEV(OFFSET(B392,1-'参数'!$B$2,0,'参数'!$B$2,1))*SQRT('参数'!$B$3),"")</f>
        <v/>
      </c>
      <c r="F392">
        <f>'对齐'!C392/'对齐'!C391-1</f>
        <v/>
      </c>
      <c r="G392">
        <f>'对齐'!C392/'对齐'!C$2*100</f>
        <v/>
      </c>
      <c r="H392">
        <f>'对齐'!C392/MAX('对齐'!C$2:'对齐'!C392)-1</f>
        <v/>
      </c>
      <c r="I392">
        <f>IF(ROW()-2&gt;='参数'!$B$2,STDEV(OFFSET(F392,1-'参数'!$B$2,0,'参数'!$B$2,1))*SQRT('参数'!$B$3),"")</f>
        <v/>
      </c>
    </row>
    <row r="393">
      <c r="A393">
        <f>'对齐'!A393</f>
        <v/>
      </c>
      <c r="B393">
        <f>'对齐'!B393/'对齐'!B392-1</f>
        <v/>
      </c>
      <c r="C393">
        <f>'对齐'!B393/'对齐'!B$2*100</f>
        <v/>
      </c>
      <c r="D393">
        <f>'对齐'!B393/MAX('对齐'!B$2:'对齐'!B393)-1</f>
        <v/>
      </c>
      <c r="E393">
        <f>IF(ROW()-2&gt;='参数'!$B$2,STDEV(OFFSET(B393,1-'参数'!$B$2,0,'参数'!$B$2,1))*SQRT('参数'!$B$3),"")</f>
        <v/>
      </c>
      <c r="F393">
        <f>'对齐'!C393/'对齐'!C392-1</f>
        <v/>
      </c>
      <c r="G393">
        <f>'对齐'!C393/'对齐'!C$2*100</f>
        <v/>
      </c>
      <c r="H393">
        <f>'对齐'!C393/MAX('对齐'!C$2:'对齐'!C393)-1</f>
        <v/>
      </c>
      <c r="I393">
        <f>IF(ROW()-2&gt;='参数'!$B$2,STDEV(OFFSET(F393,1-'参数'!$B$2,0,'参数'!$B$2,1))*SQRT('参数'!$B$3),"")</f>
        <v/>
      </c>
    </row>
    <row r="394">
      <c r="A394">
        <f>'对齐'!A394</f>
        <v/>
      </c>
      <c r="B394">
        <f>'对齐'!B394/'对齐'!B393-1</f>
        <v/>
      </c>
      <c r="C394">
        <f>'对齐'!B394/'对齐'!B$2*100</f>
        <v/>
      </c>
      <c r="D394">
        <f>'对齐'!B394/MAX('对齐'!B$2:'对齐'!B394)-1</f>
        <v/>
      </c>
      <c r="E394">
        <f>IF(ROW()-2&gt;='参数'!$B$2,STDEV(OFFSET(B394,1-'参数'!$B$2,0,'参数'!$B$2,1))*SQRT('参数'!$B$3),"")</f>
        <v/>
      </c>
      <c r="F394">
        <f>'对齐'!C394/'对齐'!C393-1</f>
        <v/>
      </c>
      <c r="G394">
        <f>'对齐'!C394/'对齐'!C$2*100</f>
        <v/>
      </c>
      <c r="H394">
        <f>'对齐'!C394/MAX('对齐'!C$2:'对齐'!C394)-1</f>
        <v/>
      </c>
      <c r="I394">
        <f>IF(ROW()-2&gt;='参数'!$B$2,STDEV(OFFSET(F394,1-'参数'!$B$2,0,'参数'!$B$2,1))*SQRT('参数'!$B$3),"")</f>
        <v/>
      </c>
    </row>
    <row r="395">
      <c r="A395">
        <f>'对齐'!A395</f>
        <v/>
      </c>
      <c r="B395">
        <f>'对齐'!B395/'对齐'!B394-1</f>
        <v/>
      </c>
      <c r="C395">
        <f>'对齐'!B395/'对齐'!B$2*100</f>
        <v/>
      </c>
      <c r="D395">
        <f>'对齐'!B395/MAX('对齐'!B$2:'对齐'!B395)-1</f>
        <v/>
      </c>
      <c r="E395">
        <f>IF(ROW()-2&gt;='参数'!$B$2,STDEV(OFFSET(B395,1-'参数'!$B$2,0,'参数'!$B$2,1))*SQRT('参数'!$B$3),"")</f>
        <v/>
      </c>
      <c r="F395">
        <f>'对齐'!C395/'对齐'!C394-1</f>
        <v/>
      </c>
      <c r="G395">
        <f>'对齐'!C395/'对齐'!C$2*100</f>
        <v/>
      </c>
      <c r="H395">
        <f>'对齐'!C395/MAX('对齐'!C$2:'对齐'!C395)-1</f>
        <v/>
      </c>
      <c r="I395">
        <f>IF(ROW()-2&gt;='参数'!$B$2,STDEV(OFFSET(F395,1-'参数'!$B$2,0,'参数'!$B$2,1))*SQRT('参数'!$B$3),"")</f>
        <v/>
      </c>
    </row>
    <row r="396">
      <c r="A396">
        <f>'对齐'!A396</f>
        <v/>
      </c>
      <c r="B396">
        <f>'对齐'!B396/'对齐'!B395-1</f>
        <v/>
      </c>
      <c r="C396">
        <f>'对齐'!B396/'对齐'!B$2*100</f>
        <v/>
      </c>
      <c r="D396">
        <f>'对齐'!B396/MAX('对齐'!B$2:'对齐'!B396)-1</f>
        <v/>
      </c>
      <c r="E396">
        <f>IF(ROW()-2&gt;='参数'!$B$2,STDEV(OFFSET(B396,1-'参数'!$B$2,0,'参数'!$B$2,1))*SQRT('参数'!$B$3),"")</f>
        <v/>
      </c>
      <c r="F396">
        <f>'对齐'!C396/'对齐'!C395-1</f>
        <v/>
      </c>
      <c r="G396">
        <f>'对齐'!C396/'对齐'!C$2*100</f>
        <v/>
      </c>
      <c r="H396">
        <f>'对齐'!C396/MAX('对齐'!C$2:'对齐'!C396)-1</f>
        <v/>
      </c>
      <c r="I396">
        <f>IF(ROW()-2&gt;='参数'!$B$2,STDEV(OFFSET(F396,1-'参数'!$B$2,0,'参数'!$B$2,1))*SQRT('参数'!$B$3),"")</f>
        <v/>
      </c>
    </row>
    <row r="397">
      <c r="A397">
        <f>'对齐'!A397</f>
        <v/>
      </c>
      <c r="B397">
        <f>'对齐'!B397/'对齐'!B396-1</f>
        <v/>
      </c>
      <c r="C397">
        <f>'对齐'!B397/'对齐'!B$2*100</f>
        <v/>
      </c>
      <c r="D397">
        <f>'对齐'!B397/MAX('对齐'!B$2:'对齐'!B397)-1</f>
        <v/>
      </c>
      <c r="E397">
        <f>IF(ROW()-2&gt;='参数'!$B$2,STDEV(OFFSET(B397,1-'参数'!$B$2,0,'参数'!$B$2,1))*SQRT('参数'!$B$3),"")</f>
        <v/>
      </c>
      <c r="F397">
        <f>'对齐'!C397/'对齐'!C396-1</f>
        <v/>
      </c>
      <c r="G397">
        <f>'对齐'!C397/'对齐'!C$2*100</f>
        <v/>
      </c>
      <c r="H397">
        <f>'对齐'!C397/MAX('对齐'!C$2:'对齐'!C397)-1</f>
        <v/>
      </c>
      <c r="I397">
        <f>IF(ROW()-2&gt;='参数'!$B$2,STDEV(OFFSET(F397,1-'参数'!$B$2,0,'参数'!$B$2,1))*SQRT('参数'!$B$3),"")</f>
        <v/>
      </c>
    </row>
    <row r="398">
      <c r="A398">
        <f>'对齐'!A398</f>
        <v/>
      </c>
      <c r="B398">
        <f>'对齐'!B398/'对齐'!B397-1</f>
        <v/>
      </c>
      <c r="C398">
        <f>'对齐'!B398/'对齐'!B$2*100</f>
        <v/>
      </c>
      <c r="D398">
        <f>'对齐'!B398/MAX('对齐'!B$2:'对齐'!B398)-1</f>
        <v/>
      </c>
      <c r="E398">
        <f>IF(ROW()-2&gt;='参数'!$B$2,STDEV(OFFSET(B398,1-'参数'!$B$2,0,'参数'!$B$2,1))*SQRT('参数'!$B$3),"")</f>
        <v/>
      </c>
      <c r="F398">
        <f>'对齐'!C398/'对齐'!C397-1</f>
        <v/>
      </c>
      <c r="G398">
        <f>'对齐'!C398/'对齐'!C$2*100</f>
        <v/>
      </c>
      <c r="H398">
        <f>'对齐'!C398/MAX('对齐'!C$2:'对齐'!C398)-1</f>
        <v/>
      </c>
      <c r="I398">
        <f>IF(ROW()-2&gt;='参数'!$B$2,STDEV(OFFSET(F398,1-'参数'!$B$2,0,'参数'!$B$2,1))*SQRT('参数'!$B$3),"")</f>
        <v/>
      </c>
    </row>
    <row r="399">
      <c r="A399">
        <f>'对齐'!A399</f>
        <v/>
      </c>
      <c r="B399">
        <f>'对齐'!B399/'对齐'!B398-1</f>
        <v/>
      </c>
      <c r="C399">
        <f>'对齐'!B399/'对齐'!B$2*100</f>
        <v/>
      </c>
      <c r="D399">
        <f>'对齐'!B399/MAX('对齐'!B$2:'对齐'!B399)-1</f>
        <v/>
      </c>
      <c r="E399">
        <f>IF(ROW()-2&gt;='参数'!$B$2,STDEV(OFFSET(B399,1-'参数'!$B$2,0,'参数'!$B$2,1))*SQRT('参数'!$B$3),"")</f>
        <v/>
      </c>
      <c r="F399">
        <f>'对齐'!C399/'对齐'!C398-1</f>
        <v/>
      </c>
      <c r="G399">
        <f>'对齐'!C399/'对齐'!C$2*100</f>
        <v/>
      </c>
      <c r="H399">
        <f>'对齐'!C399/MAX('对齐'!C$2:'对齐'!C399)-1</f>
        <v/>
      </c>
      <c r="I399">
        <f>IF(ROW()-2&gt;='参数'!$B$2,STDEV(OFFSET(F399,1-'参数'!$B$2,0,'参数'!$B$2,1))*SQRT('参数'!$B$3),"")</f>
        <v/>
      </c>
    </row>
    <row r="400">
      <c r="A400">
        <f>'对齐'!A400</f>
        <v/>
      </c>
      <c r="B400">
        <f>'对齐'!B400/'对齐'!B399-1</f>
        <v/>
      </c>
      <c r="C400">
        <f>'对齐'!B400/'对齐'!B$2*100</f>
        <v/>
      </c>
      <c r="D400">
        <f>'对齐'!B400/MAX('对齐'!B$2:'对齐'!B400)-1</f>
        <v/>
      </c>
      <c r="E400">
        <f>IF(ROW()-2&gt;='参数'!$B$2,STDEV(OFFSET(B400,1-'参数'!$B$2,0,'参数'!$B$2,1))*SQRT('参数'!$B$3),"")</f>
        <v/>
      </c>
      <c r="F400">
        <f>'对齐'!C400/'对齐'!C399-1</f>
        <v/>
      </c>
      <c r="G400">
        <f>'对齐'!C400/'对齐'!C$2*100</f>
        <v/>
      </c>
      <c r="H400">
        <f>'对齐'!C400/MAX('对齐'!C$2:'对齐'!C400)-1</f>
        <v/>
      </c>
      <c r="I400">
        <f>IF(ROW()-2&gt;='参数'!$B$2,STDEV(OFFSET(F400,1-'参数'!$B$2,0,'参数'!$B$2,1))*SQRT('参数'!$B$3),"")</f>
        <v/>
      </c>
    </row>
    <row r="401">
      <c r="A401">
        <f>'对齐'!A401</f>
        <v/>
      </c>
      <c r="B401">
        <f>'对齐'!B401/'对齐'!B400-1</f>
        <v/>
      </c>
      <c r="C401">
        <f>'对齐'!B401/'对齐'!B$2*100</f>
        <v/>
      </c>
      <c r="D401">
        <f>'对齐'!B401/MAX('对齐'!B$2:'对齐'!B401)-1</f>
        <v/>
      </c>
      <c r="E401">
        <f>IF(ROW()-2&gt;='参数'!$B$2,STDEV(OFFSET(B401,1-'参数'!$B$2,0,'参数'!$B$2,1))*SQRT('参数'!$B$3),"")</f>
        <v/>
      </c>
      <c r="F401">
        <f>'对齐'!C401/'对齐'!C400-1</f>
        <v/>
      </c>
      <c r="G401">
        <f>'对齐'!C401/'对齐'!C$2*100</f>
        <v/>
      </c>
      <c r="H401">
        <f>'对齐'!C401/MAX('对齐'!C$2:'对齐'!C401)-1</f>
        <v/>
      </c>
      <c r="I401">
        <f>IF(ROW()-2&gt;='参数'!$B$2,STDEV(OFFSET(F401,1-'参数'!$B$2,0,'参数'!$B$2,1))*SQRT('参数'!$B$3),"")</f>
        <v/>
      </c>
    </row>
    <row r="402">
      <c r="A402">
        <f>'对齐'!A402</f>
        <v/>
      </c>
      <c r="B402">
        <f>'对齐'!B402/'对齐'!B401-1</f>
        <v/>
      </c>
      <c r="C402">
        <f>'对齐'!B402/'对齐'!B$2*100</f>
        <v/>
      </c>
      <c r="D402">
        <f>'对齐'!B402/MAX('对齐'!B$2:'对齐'!B402)-1</f>
        <v/>
      </c>
      <c r="E402">
        <f>IF(ROW()-2&gt;='参数'!$B$2,STDEV(OFFSET(B402,1-'参数'!$B$2,0,'参数'!$B$2,1))*SQRT('参数'!$B$3),"")</f>
        <v/>
      </c>
      <c r="F402">
        <f>'对齐'!C402/'对齐'!C401-1</f>
        <v/>
      </c>
      <c r="G402">
        <f>'对齐'!C402/'对齐'!C$2*100</f>
        <v/>
      </c>
      <c r="H402">
        <f>'对齐'!C402/MAX('对齐'!C$2:'对齐'!C402)-1</f>
        <v/>
      </c>
      <c r="I402">
        <f>IF(ROW()-2&gt;='参数'!$B$2,STDEV(OFFSET(F402,1-'参数'!$B$2,0,'参数'!$B$2,1))*SQRT('参数'!$B$3),"")</f>
        <v/>
      </c>
    </row>
    <row r="403">
      <c r="A403">
        <f>'对齐'!A403</f>
        <v/>
      </c>
      <c r="B403">
        <f>'对齐'!B403/'对齐'!B402-1</f>
        <v/>
      </c>
      <c r="C403">
        <f>'对齐'!B403/'对齐'!B$2*100</f>
        <v/>
      </c>
      <c r="D403">
        <f>'对齐'!B403/MAX('对齐'!B$2:'对齐'!B403)-1</f>
        <v/>
      </c>
      <c r="E403">
        <f>IF(ROW()-2&gt;='参数'!$B$2,STDEV(OFFSET(B403,1-'参数'!$B$2,0,'参数'!$B$2,1))*SQRT('参数'!$B$3),"")</f>
        <v/>
      </c>
      <c r="F403">
        <f>'对齐'!C403/'对齐'!C402-1</f>
        <v/>
      </c>
      <c r="G403">
        <f>'对齐'!C403/'对齐'!C$2*100</f>
        <v/>
      </c>
      <c r="H403">
        <f>'对齐'!C403/MAX('对齐'!C$2:'对齐'!C403)-1</f>
        <v/>
      </c>
      <c r="I403">
        <f>IF(ROW()-2&gt;='参数'!$B$2,STDEV(OFFSET(F403,1-'参数'!$B$2,0,'参数'!$B$2,1))*SQRT('参数'!$B$3),"")</f>
        <v/>
      </c>
    </row>
    <row r="404">
      <c r="A404">
        <f>'对齐'!A404</f>
        <v/>
      </c>
      <c r="B404">
        <f>'对齐'!B404/'对齐'!B403-1</f>
        <v/>
      </c>
      <c r="C404">
        <f>'对齐'!B404/'对齐'!B$2*100</f>
        <v/>
      </c>
      <c r="D404">
        <f>'对齐'!B404/MAX('对齐'!B$2:'对齐'!B404)-1</f>
        <v/>
      </c>
      <c r="E404">
        <f>IF(ROW()-2&gt;='参数'!$B$2,STDEV(OFFSET(B404,1-'参数'!$B$2,0,'参数'!$B$2,1))*SQRT('参数'!$B$3),"")</f>
        <v/>
      </c>
      <c r="F404">
        <f>'对齐'!C404/'对齐'!C403-1</f>
        <v/>
      </c>
      <c r="G404">
        <f>'对齐'!C404/'对齐'!C$2*100</f>
        <v/>
      </c>
      <c r="H404">
        <f>'对齐'!C404/MAX('对齐'!C$2:'对齐'!C404)-1</f>
        <v/>
      </c>
      <c r="I404">
        <f>IF(ROW()-2&gt;='参数'!$B$2,STDEV(OFFSET(F404,1-'参数'!$B$2,0,'参数'!$B$2,1))*SQRT('参数'!$B$3),"")</f>
        <v/>
      </c>
    </row>
    <row r="405">
      <c r="A405">
        <f>'对齐'!A405</f>
        <v/>
      </c>
      <c r="B405">
        <f>'对齐'!B405/'对齐'!B404-1</f>
        <v/>
      </c>
      <c r="C405">
        <f>'对齐'!B405/'对齐'!B$2*100</f>
        <v/>
      </c>
      <c r="D405">
        <f>'对齐'!B405/MAX('对齐'!B$2:'对齐'!B405)-1</f>
        <v/>
      </c>
      <c r="E405">
        <f>IF(ROW()-2&gt;='参数'!$B$2,STDEV(OFFSET(B405,1-'参数'!$B$2,0,'参数'!$B$2,1))*SQRT('参数'!$B$3),"")</f>
        <v/>
      </c>
      <c r="F405">
        <f>'对齐'!C405/'对齐'!C404-1</f>
        <v/>
      </c>
      <c r="G405">
        <f>'对齐'!C405/'对齐'!C$2*100</f>
        <v/>
      </c>
      <c r="H405">
        <f>'对齐'!C405/MAX('对齐'!C$2:'对齐'!C405)-1</f>
        <v/>
      </c>
      <c r="I405">
        <f>IF(ROW()-2&gt;='参数'!$B$2,STDEV(OFFSET(F405,1-'参数'!$B$2,0,'参数'!$B$2,1))*SQRT('参数'!$B$3),"")</f>
        <v/>
      </c>
    </row>
    <row r="406">
      <c r="A406">
        <f>'对齐'!A406</f>
        <v/>
      </c>
      <c r="B406">
        <f>'对齐'!B406/'对齐'!B405-1</f>
        <v/>
      </c>
      <c r="C406">
        <f>'对齐'!B406/'对齐'!B$2*100</f>
        <v/>
      </c>
      <c r="D406">
        <f>'对齐'!B406/MAX('对齐'!B$2:'对齐'!B406)-1</f>
        <v/>
      </c>
      <c r="E406">
        <f>IF(ROW()-2&gt;='参数'!$B$2,STDEV(OFFSET(B406,1-'参数'!$B$2,0,'参数'!$B$2,1))*SQRT('参数'!$B$3),"")</f>
        <v/>
      </c>
      <c r="F406">
        <f>'对齐'!C406/'对齐'!C405-1</f>
        <v/>
      </c>
      <c r="G406">
        <f>'对齐'!C406/'对齐'!C$2*100</f>
        <v/>
      </c>
      <c r="H406">
        <f>'对齐'!C406/MAX('对齐'!C$2:'对齐'!C406)-1</f>
        <v/>
      </c>
      <c r="I406">
        <f>IF(ROW()-2&gt;='参数'!$B$2,STDEV(OFFSET(F406,1-'参数'!$B$2,0,'参数'!$B$2,1))*SQRT('参数'!$B$3),"")</f>
        <v/>
      </c>
    </row>
    <row r="407">
      <c r="A407">
        <f>'对齐'!A407</f>
        <v/>
      </c>
      <c r="B407">
        <f>'对齐'!B407/'对齐'!B406-1</f>
        <v/>
      </c>
      <c r="C407">
        <f>'对齐'!B407/'对齐'!B$2*100</f>
        <v/>
      </c>
      <c r="D407">
        <f>'对齐'!B407/MAX('对齐'!B$2:'对齐'!B407)-1</f>
        <v/>
      </c>
      <c r="E407">
        <f>IF(ROW()-2&gt;='参数'!$B$2,STDEV(OFFSET(B407,1-'参数'!$B$2,0,'参数'!$B$2,1))*SQRT('参数'!$B$3),"")</f>
        <v/>
      </c>
      <c r="F407">
        <f>'对齐'!C407/'对齐'!C406-1</f>
        <v/>
      </c>
      <c r="G407">
        <f>'对齐'!C407/'对齐'!C$2*100</f>
        <v/>
      </c>
      <c r="H407">
        <f>'对齐'!C407/MAX('对齐'!C$2:'对齐'!C407)-1</f>
        <v/>
      </c>
      <c r="I407">
        <f>IF(ROW()-2&gt;='参数'!$B$2,STDEV(OFFSET(F407,1-'参数'!$B$2,0,'参数'!$B$2,1))*SQRT('参数'!$B$3),"")</f>
        <v/>
      </c>
    </row>
    <row r="408">
      <c r="A408">
        <f>'对齐'!A408</f>
        <v/>
      </c>
      <c r="B408">
        <f>'对齐'!B408/'对齐'!B407-1</f>
        <v/>
      </c>
      <c r="C408">
        <f>'对齐'!B408/'对齐'!B$2*100</f>
        <v/>
      </c>
      <c r="D408">
        <f>'对齐'!B408/MAX('对齐'!B$2:'对齐'!B408)-1</f>
        <v/>
      </c>
      <c r="E408">
        <f>IF(ROW()-2&gt;='参数'!$B$2,STDEV(OFFSET(B408,1-'参数'!$B$2,0,'参数'!$B$2,1))*SQRT('参数'!$B$3),"")</f>
        <v/>
      </c>
      <c r="F408">
        <f>'对齐'!C408/'对齐'!C407-1</f>
        <v/>
      </c>
      <c r="G408">
        <f>'对齐'!C408/'对齐'!C$2*100</f>
        <v/>
      </c>
      <c r="H408">
        <f>'对齐'!C408/MAX('对齐'!C$2:'对齐'!C408)-1</f>
        <v/>
      </c>
      <c r="I408">
        <f>IF(ROW()-2&gt;='参数'!$B$2,STDEV(OFFSET(F408,1-'参数'!$B$2,0,'参数'!$B$2,1))*SQRT('参数'!$B$3),"")</f>
        <v/>
      </c>
    </row>
    <row r="409">
      <c r="A409">
        <f>'对齐'!A409</f>
        <v/>
      </c>
      <c r="B409">
        <f>'对齐'!B409/'对齐'!B408-1</f>
        <v/>
      </c>
      <c r="C409">
        <f>'对齐'!B409/'对齐'!B$2*100</f>
        <v/>
      </c>
      <c r="D409">
        <f>'对齐'!B409/MAX('对齐'!B$2:'对齐'!B409)-1</f>
        <v/>
      </c>
      <c r="E409">
        <f>IF(ROW()-2&gt;='参数'!$B$2,STDEV(OFFSET(B409,1-'参数'!$B$2,0,'参数'!$B$2,1))*SQRT('参数'!$B$3),"")</f>
        <v/>
      </c>
      <c r="F409">
        <f>'对齐'!C409/'对齐'!C408-1</f>
        <v/>
      </c>
      <c r="G409">
        <f>'对齐'!C409/'对齐'!C$2*100</f>
        <v/>
      </c>
      <c r="H409">
        <f>'对齐'!C409/MAX('对齐'!C$2:'对齐'!C409)-1</f>
        <v/>
      </c>
      <c r="I409">
        <f>IF(ROW()-2&gt;='参数'!$B$2,STDEV(OFFSET(F409,1-'参数'!$B$2,0,'参数'!$B$2,1))*SQRT('参数'!$B$3),"")</f>
        <v/>
      </c>
    </row>
    <row r="410">
      <c r="A410">
        <f>'对齐'!A410</f>
        <v/>
      </c>
      <c r="B410">
        <f>'对齐'!B410/'对齐'!B409-1</f>
        <v/>
      </c>
      <c r="C410">
        <f>'对齐'!B410/'对齐'!B$2*100</f>
        <v/>
      </c>
      <c r="D410">
        <f>'对齐'!B410/MAX('对齐'!B$2:'对齐'!B410)-1</f>
        <v/>
      </c>
      <c r="E410">
        <f>IF(ROW()-2&gt;='参数'!$B$2,STDEV(OFFSET(B410,1-'参数'!$B$2,0,'参数'!$B$2,1))*SQRT('参数'!$B$3),"")</f>
        <v/>
      </c>
      <c r="F410">
        <f>'对齐'!C410/'对齐'!C409-1</f>
        <v/>
      </c>
      <c r="G410">
        <f>'对齐'!C410/'对齐'!C$2*100</f>
        <v/>
      </c>
      <c r="H410">
        <f>'对齐'!C410/MAX('对齐'!C$2:'对齐'!C410)-1</f>
        <v/>
      </c>
      <c r="I410">
        <f>IF(ROW()-2&gt;='参数'!$B$2,STDEV(OFFSET(F410,1-'参数'!$B$2,0,'参数'!$B$2,1))*SQRT('参数'!$B$3),"")</f>
        <v/>
      </c>
    </row>
    <row r="411">
      <c r="A411">
        <f>'对齐'!A411</f>
        <v/>
      </c>
      <c r="B411">
        <f>'对齐'!B411/'对齐'!B410-1</f>
        <v/>
      </c>
      <c r="C411">
        <f>'对齐'!B411/'对齐'!B$2*100</f>
        <v/>
      </c>
      <c r="D411">
        <f>'对齐'!B411/MAX('对齐'!B$2:'对齐'!B411)-1</f>
        <v/>
      </c>
      <c r="E411">
        <f>IF(ROW()-2&gt;='参数'!$B$2,STDEV(OFFSET(B411,1-'参数'!$B$2,0,'参数'!$B$2,1))*SQRT('参数'!$B$3),"")</f>
        <v/>
      </c>
      <c r="F411">
        <f>'对齐'!C411/'对齐'!C410-1</f>
        <v/>
      </c>
      <c r="G411">
        <f>'对齐'!C411/'对齐'!C$2*100</f>
        <v/>
      </c>
      <c r="H411">
        <f>'对齐'!C411/MAX('对齐'!C$2:'对齐'!C411)-1</f>
        <v/>
      </c>
      <c r="I411">
        <f>IF(ROW()-2&gt;='参数'!$B$2,STDEV(OFFSET(F411,1-'参数'!$B$2,0,'参数'!$B$2,1))*SQRT('参数'!$B$3),"")</f>
        <v/>
      </c>
    </row>
    <row r="412">
      <c r="A412">
        <f>'对齐'!A412</f>
        <v/>
      </c>
      <c r="B412">
        <f>'对齐'!B412/'对齐'!B411-1</f>
        <v/>
      </c>
      <c r="C412">
        <f>'对齐'!B412/'对齐'!B$2*100</f>
        <v/>
      </c>
      <c r="D412">
        <f>'对齐'!B412/MAX('对齐'!B$2:'对齐'!B412)-1</f>
        <v/>
      </c>
      <c r="E412">
        <f>IF(ROW()-2&gt;='参数'!$B$2,STDEV(OFFSET(B412,1-'参数'!$B$2,0,'参数'!$B$2,1))*SQRT('参数'!$B$3),"")</f>
        <v/>
      </c>
      <c r="F412">
        <f>'对齐'!C412/'对齐'!C411-1</f>
        <v/>
      </c>
      <c r="G412">
        <f>'对齐'!C412/'对齐'!C$2*100</f>
        <v/>
      </c>
      <c r="H412">
        <f>'对齐'!C412/MAX('对齐'!C$2:'对齐'!C412)-1</f>
        <v/>
      </c>
      <c r="I412">
        <f>IF(ROW()-2&gt;='参数'!$B$2,STDEV(OFFSET(F412,1-'参数'!$B$2,0,'参数'!$B$2,1))*SQRT('参数'!$B$3),"")</f>
        <v/>
      </c>
    </row>
    <row r="413">
      <c r="A413">
        <f>'对齐'!A413</f>
        <v/>
      </c>
      <c r="B413">
        <f>'对齐'!B413/'对齐'!B412-1</f>
        <v/>
      </c>
      <c r="C413">
        <f>'对齐'!B413/'对齐'!B$2*100</f>
        <v/>
      </c>
      <c r="D413">
        <f>'对齐'!B413/MAX('对齐'!B$2:'对齐'!B413)-1</f>
        <v/>
      </c>
      <c r="E413">
        <f>IF(ROW()-2&gt;='参数'!$B$2,STDEV(OFFSET(B413,1-'参数'!$B$2,0,'参数'!$B$2,1))*SQRT('参数'!$B$3),"")</f>
        <v/>
      </c>
      <c r="F413">
        <f>'对齐'!C413/'对齐'!C412-1</f>
        <v/>
      </c>
      <c r="G413">
        <f>'对齐'!C413/'对齐'!C$2*100</f>
        <v/>
      </c>
      <c r="H413">
        <f>'对齐'!C413/MAX('对齐'!C$2:'对齐'!C413)-1</f>
        <v/>
      </c>
      <c r="I413">
        <f>IF(ROW()-2&gt;='参数'!$B$2,STDEV(OFFSET(F413,1-'参数'!$B$2,0,'参数'!$B$2,1))*SQRT('参数'!$B$3),"")</f>
        <v/>
      </c>
    </row>
    <row r="414">
      <c r="A414">
        <f>'对齐'!A414</f>
        <v/>
      </c>
      <c r="B414">
        <f>'对齐'!B414/'对齐'!B413-1</f>
        <v/>
      </c>
      <c r="C414">
        <f>'对齐'!B414/'对齐'!B$2*100</f>
        <v/>
      </c>
      <c r="D414">
        <f>'对齐'!B414/MAX('对齐'!B$2:'对齐'!B414)-1</f>
        <v/>
      </c>
      <c r="E414">
        <f>IF(ROW()-2&gt;='参数'!$B$2,STDEV(OFFSET(B414,1-'参数'!$B$2,0,'参数'!$B$2,1))*SQRT('参数'!$B$3),"")</f>
        <v/>
      </c>
      <c r="F414">
        <f>'对齐'!C414/'对齐'!C413-1</f>
        <v/>
      </c>
      <c r="G414">
        <f>'对齐'!C414/'对齐'!C$2*100</f>
        <v/>
      </c>
      <c r="H414">
        <f>'对齐'!C414/MAX('对齐'!C$2:'对齐'!C414)-1</f>
        <v/>
      </c>
      <c r="I414">
        <f>IF(ROW()-2&gt;='参数'!$B$2,STDEV(OFFSET(F414,1-'参数'!$B$2,0,'参数'!$B$2,1))*SQRT('参数'!$B$3),"")</f>
        <v/>
      </c>
    </row>
    <row r="415">
      <c r="A415">
        <f>'对齐'!A415</f>
        <v/>
      </c>
      <c r="B415">
        <f>'对齐'!B415/'对齐'!B414-1</f>
        <v/>
      </c>
      <c r="C415">
        <f>'对齐'!B415/'对齐'!B$2*100</f>
        <v/>
      </c>
      <c r="D415">
        <f>'对齐'!B415/MAX('对齐'!B$2:'对齐'!B415)-1</f>
        <v/>
      </c>
      <c r="E415">
        <f>IF(ROW()-2&gt;='参数'!$B$2,STDEV(OFFSET(B415,1-'参数'!$B$2,0,'参数'!$B$2,1))*SQRT('参数'!$B$3),"")</f>
        <v/>
      </c>
      <c r="F415">
        <f>'对齐'!C415/'对齐'!C414-1</f>
        <v/>
      </c>
      <c r="G415">
        <f>'对齐'!C415/'对齐'!C$2*100</f>
        <v/>
      </c>
      <c r="H415">
        <f>'对齐'!C415/MAX('对齐'!C$2:'对齐'!C415)-1</f>
        <v/>
      </c>
      <c r="I415">
        <f>IF(ROW()-2&gt;='参数'!$B$2,STDEV(OFFSET(F415,1-'参数'!$B$2,0,'参数'!$B$2,1))*SQRT('参数'!$B$3),"")</f>
        <v/>
      </c>
    </row>
    <row r="416">
      <c r="A416">
        <f>'对齐'!A416</f>
        <v/>
      </c>
      <c r="B416">
        <f>'对齐'!B416/'对齐'!B415-1</f>
        <v/>
      </c>
      <c r="C416">
        <f>'对齐'!B416/'对齐'!B$2*100</f>
        <v/>
      </c>
      <c r="D416">
        <f>'对齐'!B416/MAX('对齐'!B$2:'对齐'!B416)-1</f>
        <v/>
      </c>
      <c r="E416">
        <f>IF(ROW()-2&gt;='参数'!$B$2,STDEV(OFFSET(B416,1-'参数'!$B$2,0,'参数'!$B$2,1))*SQRT('参数'!$B$3),"")</f>
        <v/>
      </c>
      <c r="F416">
        <f>'对齐'!C416/'对齐'!C415-1</f>
        <v/>
      </c>
      <c r="G416">
        <f>'对齐'!C416/'对齐'!C$2*100</f>
        <v/>
      </c>
      <c r="H416">
        <f>'对齐'!C416/MAX('对齐'!C$2:'对齐'!C416)-1</f>
        <v/>
      </c>
      <c r="I416">
        <f>IF(ROW()-2&gt;='参数'!$B$2,STDEV(OFFSET(F416,1-'参数'!$B$2,0,'参数'!$B$2,1))*SQRT('参数'!$B$3),"")</f>
        <v/>
      </c>
    </row>
    <row r="417">
      <c r="A417">
        <f>'对齐'!A417</f>
        <v/>
      </c>
      <c r="B417">
        <f>'对齐'!B417/'对齐'!B416-1</f>
        <v/>
      </c>
      <c r="C417">
        <f>'对齐'!B417/'对齐'!B$2*100</f>
        <v/>
      </c>
      <c r="D417">
        <f>'对齐'!B417/MAX('对齐'!B$2:'对齐'!B417)-1</f>
        <v/>
      </c>
      <c r="E417">
        <f>IF(ROW()-2&gt;='参数'!$B$2,STDEV(OFFSET(B417,1-'参数'!$B$2,0,'参数'!$B$2,1))*SQRT('参数'!$B$3),"")</f>
        <v/>
      </c>
      <c r="F417">
        <f>'对齐'!C417/'对齐'!C416-1</f>
        <v/>
      </c>
      <c r="G417">
        <f>'对齐'!C417/'对齐'!C$2*100</f>
        <v/>
      </c>
      <c r="H417">
        <f>'对齐'!C417/MAX('对齐'!C$2:'对齐'!C417)-1</f>
        <v/>
      </c>
      <c r="I417">
        <f>IF(ROW()-2&gt;='参数'!$B$2,STDEV(OFFSET(F417,1-'参数'!$B$2,0,'参数'!$B$2,1))*SQRT('参数'!$B$3),"")</f>
        <v/>
      </c>
    </row>
    <row r="418">
      <c r="A418">
        <f>'对齐'!A418</f>
        <v/>
      </c>
      <c r="B418">
        <f>'对齐'!B418/'对齐'!B417-1</f>
        <v/>
      </c>
      <c r="C418">
        <f>'对齐'!B418/'对齐'!B$2*100</f>
        <v/>
      </c>
      <c r="D418">
        <f>'对齐'!B418/MAX('对齐'!B$2:'对齐'!B418)-1</f>
        <v/>
      </c>
      <c r="E418">
        <f>IF(ROW()-2&gt;='参数'!$B$2,STDEV(OFFSET(B418,1-'参数'!$B$2,0,'参数'!$B$2,1))*SQRT('参数'!$B$3),"")</f>
        <v/>
      </c>
      <c r="F418">
        <f>'对齐'!C418/'对齐'!C417-1</f>
        <v/>
      </c>
      <c r="G418">
        <f>'对齐'!C418/'对齐'!C$2*100</f>
        <v/>
      </c>
      <c r="H418">
        <f>'对齐'!C418/MAX('对齐'!C$2:'对齐'!C418)-1</f>
        <v/>
      </c>
      <c r="I418">
        <f>IF(ROW()-2&gt;='参数'!$B$2,STDEV(OFFSET(F418,1-'参数'!$B$2,0,'参数'!$B$2,1))*SQRT('参数'!$B$3),"")</f>
        <v/>
      </c>
    </row>
    <row r="419">
      <c r="A419">
        <f>'对齐'!A419</f>
        <v/>
      </c>
      <c r="B419">
        <f>'对齐'!B419/'对齐'!B418-1</f>
        <v/>
      </c>
      <c r="C419">
        <f>'对齐'!B419/'对齐'!B$2*100</f>
        <v/>
      </c>
      <c r="D419">
        <f>'对齐'!B419/MAX('对齐'!B$2:'对齐'!B419)-1</f>
        <v/>
      </c>
      <c r="E419">
        <f>IF(ROW()-2&gt;='参数'!$B$2,STDEV(OFFSET(B419,1-'参数'!$B$2,0,'参数'!$B$2,1))*SQRT('参数'!$B$3),"")</f>
        <v/>
      </c>
      <c r="F419">
        <f>'对齐'!C419/'对齐'!C418-1</f>
        <v/>
      </c>
      <c r="G419">
        <f>'对齐'!C419/'对齐'!C$2*100</f>
        <v/>
      </c>
      <c r="H419">
        <f>'对齐'!C419/MAX('对齐'!C$2:'对齐'!C419)-1</f>
        <v/>
      </c>
      <c r="I419">
        <f>IF(ROW()-2&gt;='参数'!$B$2,STDEV(OFFSET(F419,1-'参数'!$B$2,0,'参数'!$B$2,1))*SQRT('参数'!$B$3),"")</f>
        <v/>
      </c>
    </row>
    <row r="420">
      <c r="A420">
        <f>'对齐'!A420</f>
        <v/>
      </c>
      <c r="B420">
        <f>'对齐'!B420/'对齐'!B419-1</f>
        <v/>
      </c>
      <c r="C420">
        <f>'对齐'!B420/'对齐'!B$2*100</f>
        <v/>
      </c>
      <c r="D420">
        <f>'对齐'!B420/MAX('对齐'!B$2:'对齐'!B420)-1</f>
        <v/>
      </c>
      <c r="E420">
        <f>IF(ROW()-2&gt;='参数'!$B$2,STDEV(OFFSET(B420,1-'参数'!$B$2,0,'参数'!$B$2,1))*SQRT('参数'!$B$3),"")</f>
        <v/>
      </c>
      <c r="F420">
        <f>'对齐'!C420/'对齐'!C419-1</f>
        <v/>
      </c>
      <c r="G420">
        <f>'对齐'!C420/'对齐'!C$2*100</f>
        <v/>
      </c>
      <c r="H420">
        <f>'对齐'!C420/MAX('对齐'!C$2:'对齐'!C420)-1</f>
        <v/>
      </c>
      <c r="I420">
        <f>IF(ROW()-2&gt;='参数'!$B$2,STDEV(OFFSET(F420,1-'参数'!$B$2,0,'参数'!$B$2,1))*SQRT('参数'!$B$3),"")</f>
        <v/>
      </c>
    </row>
    <row r="421">
      <c r="A421">
        <f>'对齐'!A421</f>
        <v/>
      </c>
      <c r="B421">
        <f>'对齐'!B421/'对齐'!B420-1</f>
        <v/>
      </c>
      <c r="C421">
        <f>'对齐'!B421/'对齐'!B$2*100</f>
        <v/>
      </c>
      <c r="D421">
        <f>'对齐'!B421/MAX('对齐'!B$2:'对齐'!B421)-1</f>
        <v/>
      </c>
      <c r="E421">
        <f>IF(ROW()-2&gt;='参数'!$B$2,STDEV(OFFSET(B421,1-'参数'!$B$2,0,'参数'!$B$2,1))*SQRT('参数'!$B$3),"")</f>
        <v/>
      </c>
      <c r="F421">
        <f>'对齐'!C421/'对齐'!C420-1</f>
        <v/>
      </c>
      <c r="G421">
        <f>'对齐'!C421/'对齐'!C$2*100</f>
        <v/>
      </c>
      <c r="H421">
        <f>'对齐'!C421/MAX('对齐'!C$2:'对齐'!C421)-1</f>
        <v/>
      </c>
      <c r="I421">
        <f>IF(ROW()-2&gt;='参数'!$B$2,STDEV(OFFSET(F421,1-'参数'!$B$2,0,'参数'!$B$2,1))*SQRT('参数'!$B$3),"")</f>
        <v/>
      </c>
    </row>
    <row r="422">
      <c r="A422">
        <f>'对齐'!A422</f>
        <v/>
      </c>
      <c r="B422">
        <f>'对齐'!B422/'对齐'!B421-1</f>
        <v/>
      </c>
      <c r="C422">
        <f>'对齐'!B422/'对齐'!B$2*100</f>
        <v/>
      </c>
      <c r="D422">
        <f>'对齐'!B422/MAX('对齐'!B$2:'对齐'!B422)-1</f>
        <v/>
      </c>
      <c r="E422">
        <f>IF(ROW()-2&gt;='参数'!$B$2,STDEV(OFFSET(B422,1-'参数'!$B$2,0,'参数'!$B$2,1))*SQRT('参数'!$B$3),"")</f>
        <v/>
      </c>
      <c r="F422">
        <f>'对齐'!C422/'对齐'!C421-1</f>
        <v/>
      </c>
      <c r="G422">
        <f>'对齐'!C422/'对齐'!C$2*100</f>
        <v/>
      </c>
      <c r="H422">
        <f>'对齐'!C422/MAX('对齐'!C$2:'对齐'!C422)-1</f>
        <v/>
      </c>
      <c r="I422">
        <f>IF(ROW()-2&gt;='参数'!$B$2,STDEV(OFFSET(F422,1-'参数'!$B$2,0,'参数'!$B$2,1))*SQRT('参数'!$B$3),"")</f>
        <v/>
      </c>
    </row>
    <row r="423">
      <c r="A423">
        <f>'对齐'!A423</f>
        <v/>
      </c>
      <c r="B423">
        <f>'对齐'!B423/'对齐'!B422-1</f>
        <v/>
      </c>
      <c r="C423">
        <f>'对齐'!B423/'对齐'!B$2*100</f>
        <v/>
      </c>
      <c r="D423">
        <f>'对齐'!B423/MAX('对齐'!B$2:'对齐'!B423)-1</f>
        <v/>
      </c>
      <c r="E423">
        <f>IF(ROW()-2&gt;='参数'!$B$2,STDEV(OFFSET(B423,1-'参数'!$B$2,0,'参数'!$B$2,1))*SQRT('参数'!$B$3),"")</f>
        <v/>
      </c>
      <c r="F423">
        <f>'对齐'!C423/'对齐'!C422-1</f>
        <v/>
      </c>
      <c r="G423">
        <f>'对齐'!C423/'对齐'!C$2*100</f>
        <v/>
      </c>
      <c r="H423">
        <f>'对齐'!C423/MAX('对齐'!C$2:'对齐'!C423)-1</f>
        <v/>
      </c>
      <c r="I423">
        <f>IF(ROW()-2&gt;='参数'!$B$2,STDEV(OFFSET(F423,1-'参数'!$B$2,0,'参数'!$B$2,1))*SQRT('参数'!$B$3),"")</f>
        <v/>
      </c>
    </row>
    <row r="424">
      <c r="A424">
        <f>'对齐'!A424</f>
        <v/>
      </c>
      <c r="B424">
        <f>'对齐'!B424/'对齐'!B423-1</f>
        <v/>
      </c>
      <c r="C424">
        <f>'对齐'!B424/'对齐'!B$2*100</f>
        <v/>
      </c>
      <c r="D424">
        <f>'对齐'!B424/MAX('对齐'!B$2:'对齐'!B424)-1</f>
        <v/>
      </c>
      <c r="E424">
        <f>IF(ROW()-2&gt;='参数'!$B$2,STDEV(OFFSET(B424,1-'参数'!$B$2,0,'参数'!$B$2,1))*SQRT('参数'!$B$3),"")</f>
        <v/>
      </c>
      <c r="F424">
        <f>'对齐'!C424/'对齐'!C423-1</f>
        <v/>
      </c>
      <c r="G424">
        <f>'对齐'!C424/'对齐'!C$2*100</f>
        <v/>
      </c>
      <c r="H424">
        <f>'对齐'!C424/MAX('对齐'!C$2:'对齐'!C424)-1</f>
        <v/>
      </c>
      <c r="I424">
        <f>IF(ROW()-2&gt;='参数'!$B$2,STDEV(OFFSET(F424,1-'参数'!$B$2,0,'参数'!$B$2,1))*SQRT('参数'!$B$3),"")</f>
        <v/>
      </c>
    </row>
    <row r="425">
      <c r="A425">
        <f>'对齐'!A425</f>
        <v/>
      </c>
      <c r="B425">
        <f>'对齐'!B425/'对齐'!B424-1</f>
        <v/>
      </c>
      <c r="C425">
        <f>'对齐'!B425/'对齐'!B$2*100</f>
        <v/>
      </c>
      <c r="D425">
        <f>'对齐'!B425/MAX('对齐'!B$2:'对齐'!B425)-1</f>
        <v/>
      </c>
      <c r="E425">
        <f>IF(ROW()-2&gt;='参数'!$B$2,STDEV(OFFSET(B425,1-'参数'!$B$2,0,'参数'!$B$2,1))*SQRT('参数'!$B$3),"")</f>
        <v/>
      </c>
      <c r="F425">
        <f>'对齐'!C425/'对齐'!C424-1</f>
        <v/>
      </c>
      <c r="G425">
        <f>'对齐'!C425/'对齐'!C$2*100</f>
        <v/>
      </c>
      <c r="H425">
        <f>'对齐'!C425/MAX('对齐'!C$2:'对齐'!C425)-1</f>
        <v/>
      </c>
      <c r="I425">
        <f>IF(ROW()-2&gt;='参数'!$B$2,STDEV(OFFSET(F425,1-'参数'!$B$2,0,'参数'!$B$2,1))*SQRT('参数'!$B$3),"")</f>
        <v/>
      </c>
    </row>
    <row r="426">
      <c r="A426">
        <f>'对齐'!A426</f>
        <v/>
      </c>
      <c r="B426">
        <f>'对齐'!B426/'对齐'!B425-1</f>
        <v/>
      </c>
      <c r="C426">
        <f>'对齐'!B426/'对齐'!B$2*100</f>
        <v/>
      </c>
      <c r="D426">
        <f>'对齐'!B426/MAX('对齐'!B$2:'对齐'!B426)-1</f>
        <v/>
      </c>
      <c r="E426">
        <f>IF(ROW()-2&gt;='参数'!$B$2,STDEV(OFFSET(B426,1-'参数'!$B$2,0,'参数'!$B$2,1))*SQRT('参数'!$B$3),"")</f>
        <v/>
      </c>
      <c r="F426">
        <f>'对齐'!C426/'对齐'!C425-1</f>
        <v/>
      </c>
      <c r="G426">
        <f>'对齐'!C426/'对齐'!C$2*100</f>
        <v/>
      </c>
      <c r="H426">
        <f>'对齐'!C426/MAX('对齐'!C$2:'对齐'!C426)-1</f>
        <v/>
      </c>
      <c r="I426">
        <f>IF(ROW()-2&gt;='参数'!$B$2,STDEV(OFFSET(F426,1-'参数'!$B$2,0,'参数'!$B$2,1))*SQRT('参数'!$B$3),"")</f>
        <v/>
      </c>
    </row>
    <row r="427">
      <c r="A427">
        <f>'对齐'!A427</f>
        <v/>
      </c>
      <c r="B427">
        <f>'对齐'!B427/'对齐'!B426-1</f>
        <v/>
      </c>
      <c r="C427">
        <f>'对齐'!B427/'对齐'!B$2*100</f>
        <v/>
      </c>
      <c r="D427">
        <f>'对齐'!B427/MAX('对齐'!B$2:'对齐'!B427)-1</f>
        <v/>
      </c>
      <c r="E427">
        <f>IF(ROW()-2&gt;='参数'!$B$2,STDEV(OFFSET(B427,1-'参数'!$B$2,0,'参数'!$B$2,1))*SQRT('参数'!$B$3),"")</f>
        <v/>
      </c>
      <c r="F427">
        <f>'对齐'!C427/'对齐'!C426-1</f>
        <v/>
      </c>
      <c r="G427">
        <f>'对齐'!C427/'对齐'!C$2*100</f>
        <v/>
      </c>
      <c r="H427">
        <f>'对齐'!C427/MAX('对齐'!C$2:'对齐'!C427)-1</f>
        <v/>
      </c>
      <c r="I427">
        <f>IF(ROW()-2&gt;='参数'!$B$2,STDEV(OFFSET(F427,1-'参数'!$B$2,0,'参数'!$B$2,1))*SQRT('参数'!$B$3),"")</f>
        <v/>
      </c>
    </row>
    <row r="428">
      <c r="A428">
        <f>'对齐'!A428</f>
        <v/>
      </c>
      <c r="B428">
        <f>'对齐'!B428/'对齐'!B427-1</f>
        <v/>
      </c>
      <c r="C428">
        <f>'对齐'!B428/'对齐'!B$2*100</f>
        <v/>
      </c>
      <c r="D428">
        <f>'对齐'!B428/MAX('对齐'!B$2:'对齐'!B428)-1</f>
        <v/>
      </c>
      <c r="E428">
        <f>IF(ROW()-2&gt;='参数'!$B$2,STDEV(OFFSET(B428,1-'参数'!$B$2,0,'参数'!$B$2,1))*SQRT('参数'!$B$3),"")</f>
        <v/>
      </c>
      <c r="F428">
        <f>'对齐'!C428/'对齐'!C427-1</f>
        <v/>
      </c>
      <c r="G428">
        <f>'对齐'!C428/'对齐'!C$2*100</f>
        <v/>
      </c>
      <c r="H428">
        <f>'对齐'!C428/MAX('对齐'!C$2:'对齐'!C428)-1</f>
        <v/>
      </c>
      <c r="I428">
        <f>IF(ROW()-2&gt;='参数'!$B$2,STDEV(OFFSET(F428,1-'参数'!$B$2,0,'参数'!$B$2,1))*SQRT('参数'!$B$3),"")</f>
        <v/>
      </c>
    </row>
    <row r="429">
      <c r="A429">
        <f>'对齐'!A429</f>
        <v/>
      </c>
      <c r="B429">
        <f>'对齐'!B429/'对齐'!B428-1</f>
        <v/>
      </c>
      <c r="C429">
        <f>'对齐'!B429/'对齐'!B$2*100</f>
        <v/>
      </c>
      <c r="D429">
        <f>'对齐'!B429/MAX('对齐'!B$2:'对齐'!B429)-1</f>
        <v/>
      </c>
      <c r="E429">
        <f>IF(ROW()-2&gt;='参数'!$B$2,STDEV(OFFSET(B429,1-'参数'!$B$2,0,'参数'!$B$2,1))*SQRT('参数'!$B$3),"")</f>
        <v/>
      </c>
      <c r="F429">
        <f>'对齐'!C429/'对齐'!C428-1</f>
        <v/>
      </c>
      <c r="G429">
        <f>'对齐'!C429/'对齐'!C$2*100</f>
        <v/>
      </c>
      <c r="H429">
        <f>'对齐'!C429/MAX('对齐'!C$2:'对齐'!C429)-1</f>
        <v/>
      </c>
      <c r="I429">
        <f>IF(ROW()-2&gt;='参数'!$B$2,STDEV(OFFSET(F429,1-'参数'!$B$2,0,'参数'!$B$2,1))*SQRT('参数'!$B$3),"")</f>
        <v/>
      </c>
    </row>
    <row r="430">
      <c r="A430">
        <f>'对齐'!A430</f>
        <v/>
      </c>
      <c r="B430">
        <f>'对齐'!B430/'对齐'!B429-1</f>
        <v/>
      </c>
      <c r="C430">
        <f>'对齐'!B430/'对齐'!B$2*100</f>
        <v/>
      </c>
      <c r="D430">
        <f>'对齐'!B430/MAX('对齐'!B$2:'对齐'!B430)-1</f>
        <v/>
      </c>
      <c r="E430">
        <f>IF(ROW()-2&gt;='参数'!$B$2,STDEV(OFFSET(B430,1-'参数'!$B$2,0,'参数'!$B$2,1))*SQRT('参数'!$B$3),"")</f>
        <v/>
      </c>
      <c r="F430">
        <f>'对齐'!C430/'对齐'!C429-1</f>
        <v/>
      </c>
      <c r="G430">
        <f>'对齐'!C430/'对齐'!C$2*100</f>
        <v/>
      </c>
      <c r="H430">
        <f>'对齐'!C430/MAX('对齐'!C$2:'对齐'!C430)-1</f>
        <v/>
      </c>
      <c r="I430">
        <f>IF(ROW()-2&gt;='参数'!$B$2,STDEV(OFFSET(F430,1-'参数'!$B$2,0,'参数'!$B$2,1))*SQRT('参数'!$B$3),"")</f>
        <v/>
      </c>
    </row>
    <row r="431">
      <c r="A431">
        <f>'对齐'!A431</f>
        <v/>
      </c>
      <c r="B431">
        <f>'对齐'!B431/'对齐'!B430-1</f>
        <v/>
      </c>
      <c r="C431">
        <f>'对齐'!B431/'对齐'!B$2*100</f>
        <v/>
      </c>
      <c r="D431">
        <f>'对齐'!B431/MAX('对齐'!B$2:'对齐'!B431)-1</f>
        <v/>
      </c>
      <c r="E431">
        <f>IF(ROW()-2&gt;='参数'!$B$2,STDEV(OFFSET(B431,1-'参数'!$B$2,0,'参数'!$B$2,1))*SQRT('参数'!$B$3),"")</f>
        <v/>
      </c>
      <c r="F431">
        <f>'对齐'!C431/'对齐'!C430-1</f>
        <v/>
      </c>
      <c r="G431">
        <f>'对齐'!C431/'对齐'!C$2*100</f>
        <v/>
      </c>
      <c r="H431">
        <f>'对齐'!C431/MAX('对齐'!C$2:'对齐'!C431)-1</f>
        <v/>
      </c>
      <c r="I431">
        <f>IF(ROW()-2&gt;='参数'!$B$2,STDEV(OFFSET(F431,1-'参数'!$B$2,0,'参数'!$B$2,1))*SQRT('参数'!$B$3),"")</f>
        <v/>
      </c>
    </row>
    <row r="432">
      <c r="A432">
        <f>'对齐'!A432</f>
        <v/>
      </c>
      <c r="B432">
        <f>'对齐'!B432/'对齐'!B431-1</f>
        <v/>
      </c>
      <c r="C432">
        <f>'对齐'!B432/'对齐'!B$2*100</f>
        <v/>
      </c>
      <c r="D432">
        <f>'对齐'!B432/MAX('对齐'!B$2:'对齐'!B432)-1</f>
        <v/>
      </c>
      <c r="E432">
        <f>IF(ROW()-2&gt;='参数'!$B$2,STDEV(OFFSET(B432,1-'参数'!$B$2,0,'参数'!$B$2,1))*SQRT('参数'!$B$3),"")</f>
        <v/>
      </c>
      <c r="F432">
        <f>'对齐'!C432/'对齐'!C431-1</f>
        <v/>
      </c>
      <c r="G432">
        <f>'对齐'!C432/'对齐'!C$2*100</f>
        <v/>
      </c>
      <c r="H432">
        <f>'对齐'!C432/MAX('对齐'!C$2:'对齐'!C432)-1</f>
        <v/>
      </c>
      <c r="I432">
        <f>IF(ROW()-2&gt;='参数'!$B$2,STDEV(OFFSET(F432,1-'参数'!$B$2,0,'参数'!$B$2,1))*SQRT('参数'!$B$3),"")</f>
        <v/>
      </c>
    </row>
    <row r="433">
      <c r="A433">
        <f>'对齐'!A433</f>
        <v/>
      </c>
      <c r="B433">
        <f>'对齐'!B433/'对齐'!B432-1</f>
        <v/>
      </c>
      <c r="C433">
        <f>'对齐'!B433/'对齐'!B$2*100</f>
        <v/>
      </c>
      <c r="D433">
        <f>'对齐'!B433/MAX('对齐'!B$2:'对齐'!B433)-1</f>
        <v/>
      </c>
      <c r="E433">
        <f>IF(ROW()-2&gt;='参数'!$B$2,STDEV(OFFSET(B433,1-'参数'!$B$2,0,'参数'!$B$2,1))*SQRT('参数'!$B$3),"")</f>
        <v/>
      </c>
      <c r="F433">
        <f>'对齐'!C433/'对齐'!C432-1</f>
        <v/>
      </c>
      <c r="G433">
        <f>'对齐'!C433/'对齐'!C$2*100</f>
        <v/>
      </c>
      <c r="H433">
        <f>'对齐'!C433/MAX('对齐'!C$2:'对齐'!C433)-1</f>
        <v/>
      </c>
      <c r="I433">
        <f>IF(ROW()-2&gt;='参数'!$B$2,STDEV(OFFSET(F433,1-'参数'!$B$2,0,'参数'!$B$2,1))*SQRT('参数'!$B$3),"")</f>
        <v/>
      </c>
    </row>
    <row r="434">
      <c r="A434">
        <f>'对齐'!A434</f>
        <v/>
      </c>
      <c r="B434">
        <f>'对齐'!B434/'对齐'!B433-1</f>
        <v/>
      </c>
      <c r="C434">
        <f>'对齐'!B434/'对齐'!B$2*100</f>
        <v/>
      </c>
      <c r="D434">
        <f>'对齐'!B434/MAX('对齐'!B$2:'对齐'!B434)-1</f>
        <v/>
      </c>
      <c r="E434">
        <f>IF(ROW()-2&gt;='参数'!$B$2,STDEV(OFFSET(B434,1-'参数'!$B$2,0,'参数'!$B$2,1))*SQRT('参数'!$B$3),"")</f>
        <v/>
      </c>
      <c r="F434">
        <f>'对齐'!C434/'对齐'!C433-1</f>
        <v/>
      </c>
      <c r="G434">
        <f>'对齐'!C434/'对齐'!C$2*100</f>
        <v/>
      </c>
      <c r="H434">
        <f>'对齐'!C434/MAX('对齐'!C$2:'对齐'!C434)-1</f>
        <v/>
      </c>
      <c r="I434">
        <f>IF(ROW()-2&gt;='参数'!$B$2,STDEV(OFFSET(F434,1-'参数'!$B$2,0,'参数'!$B$2,1))*SQRT('参数'!$B$3),"")</f>
        <v/>
      </c>
    </row>
    <row r="435">
      <c r="A435">
        <f>'对齐'!A435</f>
        <v/>
      </c>
      <c r="B435">
        <f>'对齐'!B435/'对齐'!B434-1</f>
        <v/>
      </c>
      <c r="C435">
        <f>'对齐'!B435/'对齐'!B$2*100</f>
        <v/>
      </c>
      <c r="D435">
        <f>'对齐'!B435/MAX('对齐'!B$2:'对齐'!B435)-1</f>
        <v/>
      </c>
      <c r="E435">
        <f>IF(ROW()-2&gt;='参数'!$B$2,STDEV(OFFSET(B435,1-'参数'!$B$2,0,'参数'!$B$2,1))*SQRT('参数'!$B$3),"")</f>
        <v/>
      </c>
      <c r="F435">
        <f>'对齐'!C435/'对齐'!C434-1</f>
        <v/>
      </c>
      <c r="G435">
        <f>'对齐'!C435/'对齐'!C$2*100</f>
        <v/>
      </c>
      <c r="H435">
        <f>'对齐'!C435/MAX('对齐'!C$2:'对齐'!C435)-1</f>
        <v/>
      </c>
      <c r="I435">
        <f>IF(ROW()-2&gt;='参数'!$B$2,STDEV(OFFSET(F435,1-'参数'!$B$2,0,'参数'!$B$2,1))*SQRT('参数'!$B$3),"")</f>
        <v/>
      </c>
    </row>
    <row r="436">
      <c r="A436">
        <f>'对齐'!A436</f>
        <v/>
      </c>
      <c r="B436">
        <f>'对齐'!B436/'对齐'!B435-1</f>
        <v/>
      </c>
      <c r="C436">
        <f>'对齐'!B436/'对齐'!B$2*100</f>
        <v/>
      </c>
      <c r="D436">
        <f>'对齐'!B436/MAX('对齐'!B$2:'对齐'!B436)-1</f>
        <v/>
      </c>
      <c r="E436">
        <f>IF(ROW()-2&gt;='参数'!$B$2,STDEV(OFFSET(B436,1-'参数'!$B$2,0,'参数'!$B$2,1))*SQRT('参数'!$B$3),"")</f>
        <v/>
      </c>
      <c r="F436">
        <f>'对齐'!C436/'对齐'!C435-1</f>
        <v/>
      </c>
      <c r="G436">
        <f>'对齐'!C436/'对齐'!C$2*100</f>
        <v/>
      </c>
      <c r="H436">
        <f>'对齐'!C436/MAX('对齐'!C$2:'对齐'!C436)-1</f>
        <v/>
      </c>
      <c r="I436">
        <f>IF(ROW()-2&gt;='参数'!$B$2,STDEV(OFFSET(F436,1-'参数'!$B$2,0,'参数'!$B$2,1))*SQRT('参数'!$B$3),"")</f>
        <v/>
      </c>
    </row>
    <row r="437">
      <c r="A437">
        <f>'对齐'!A437</f>
        <v/>
      </c>
      <c r="B437">
        <f>'对齐'!B437/'对齐'!B436-1</f>
        <v/>
      </c>
      <c r="C437">
        <f>'对齐'!B437/'对齐'!B$2*100</f>
        <v/>
      </c>
      <c r="D437">
        <f>'对齐'!B437/MAX('对齐'!B$2:'对齐'!B437)-1</f>
        <v/>
      </c>
      <c r="E437">
        <f>IF(ROW()-2&gt;='参数'!$B$2,STDEV(OFFSET(B437,1-'参数'!$B$2,0,'参数'!$B$2,1))*SQRT('参数'!$B$3),"")</f>
        <v/>
      </c>
      <c r="F437">
        <f>'对齐'!C437/'对齐'!C436-1</f>
        <v/>
      </c>
      <c r="G437">
        <f>'对齐'!C437/'对齐'!C$2*100</f>
        <v/>
      </c>
      <c r="H437">
        <f>'对齐'!C437/MAX('对齐'!C$2:'对齐'!C437)-1</f>
        <v/>
      </c>
      <c r="I437">
        <f>IF(ROW()-2&gt;='参数'!$B$2,STDEV(OFFSET(F437,1-'参数'!$B$2,0,'参数'!$B$2,1))*SQRT('参数'!$B$3),"")</f>
        <v/>
      </c>
    </row>
    <row r="438">
      <c r="A438">
        <f>'对齐'!A438</f>
        <v/>
      </c>
      <c r="B438">
        <f>'对齐'!B438/'对齐'!B437-1</f>
        <v/>
      </c>
      <c r="C438">
        <f>'对齐'!B438/'对齐'!B$2*100</f>
        <v/>
      </c>
      <c r="D438">
        <f>'对齐'!B438/MAX('对齐'!B$2:'对齐'!B438)-1</f>
        <v/>
      </c>
      <c r="E438">
        <f>IF(ROW()-2&gt;='参数'!$B$2,STDEV(OFFSET(B438,1-'参数'!$B$2,0,'参数'!$B$2,1))*SQRT('参数'!$B$3),"")</f>
        <v/>
      </c>
      <c r="F438">
        <f>'对齐'!C438/'对齐'!C437-1</f>
        <v/>
      </c>
      <c r="G438">
        <f>'对齐'!C438/'对齐'!C$2*100</f>
        <v/>
      </c>
      <c r="H438">
        <f>'对齐'!C438/MAX('对齐'!C$2:'对齐'!C438)-1</f>
        <v/>
      </c>
      <c r="I438">
        <f>IF(ROW()-2&gt;='参数'!$B$2,STDEV(OFFSET(F438,1-'参数'!$B$2,0,'参数'!$B$2,1))*SQRT('参数'!$B$3),"")</f>
        <v/>
      </c>
    </row>
    <row r="439">
      <c r="A439">
        <f>'对齐'!A439</f>
        <v/>
      </c>
      <c r="B439">
        <f>'对齐'!B439/'对齐'!B438-1</f>
        <v/>
      </c>
      <c r="C439">
        <f>'对齐'!B439/'对齐'!B$2*100</f>
        <v/>
      </c>
      <c r="D439">
        <f>'对齐'!B439/MAX('对齐'!B$2:'对齐'!B439)-1</f>
        <v/>
      </c>
      <c r="E439">
        <f>IF(ROW()-2&gt;='参数'!$B$2,STDEV(OFFSET(B439,1-'参数'!$B$2,0,'参数'!$B$2,1))*SQRT('参数'!$B$3),"")</f>
        <v/>
      </c>
      <c r="F439">
        <f>'对齐'!C439/'对齐'!C438-1</f>
        <v/>
      </c>
      <c r="G439">
        <f>'对齐'!C439/'对齐'!C$2*100</f>
        <v/>
      </c>
      <c r="H439">
        <f>'对齐'!C439/MAX('对齐'!C$2:'对齐'!C439)-1</f>
        <v/>
      </c>
      <c r="I439">
        <f>IF(ROW()-2&gt;='参数'!$B$2,STDEV(OFFSET(F439,1-'参数'!$B$2,0,'参数'!$B$2,1))*SQRT('参数'!$B$3),"")</f>
        <v/>
      </c>
    </row>
    <row r="440">
      <c r="A440">
        <f>'对齐'!A440</f>
        <v/>
      </c>
      <c r="B440">
        <f>'对齐'!B440/'对齐'!B439-1</f>
        <v/>
      </c>
      <c r="C440">
        <f>'对齐'!B440/'对齐'!B$2*100</f>
        <v/>
      </c>
      <c r="D440">
        <f>'对齐'!B440/MAX('对齐'!B$2:'对齐'!B440)-1</f>
        <v/>
      </c>
      <c r="E440">
        <f>IF(ROW()-2&gt;='参数'!$B$2,STDEV(OFFSET(B440,1-'参数'!$B$2,0,'参数'!$B$2,1))*SQRT('参数'!$B$3),"")</f>
        <v/>
      </c>
      <c r="F440">
        <f>'对齐'!C440/'对齐'!C439-1</f>
        <v/>
      </c>
      <c r="G440">
        <f>'对齐'!C440/'对齐'!C$2*100</f>
        <v/>
      </c>
      <c r="H440">
        <f>'对齐'!C440/MAX('对齐'!C$2:'对齐'!C440)-1</f>
        <v/>
      </c>
      <c r="I440">
        <f>IF(ROW()-2&gt;='参数'!$B$2,STDEV(OFFSET(F440,1-'参数'!$B$2,0,'参数'!$B$2,1))*SQRT('参数'!$B$3),"")</f>
        <v/>
      </c>
    </row>
    <row r="441">
      <c r="A441">
        <f>'对齐'!A441</f>
        <v/>
      </c>
      <c r="B441">
        <f>'对齐'!B441/'对齐'!B440-1</f>
        <v/>
      </c>
      <c r="C441">
        <f>'对齐'!B441/'对齐'!B$2*100</f>
        <v/>
      </c>
      <c r="D441">
        <f>'对齐'!B441/MAX('对齐'!B$2:'对齐'!B441)-1</f>
        <v/>
      </c>
      <c r="E441">
        <f>IF(ROW()-2&gt;='参数'!$B$2,STDEV(OFFSET(B441,1-'参数'!$B$2,0,'参数'!$B$2,1))*SQRT('参数'!$B$3),"")</f>
        <v/>
      </c>
      <c r="F441">
        <f>'对齐'!C441/'对齐'!C440-1</f>
        <v/>
      </c>
      <c r="G441">
        <f>'对齐'!C441/'对齐'!C$2*100</f>
        <v/>
      </c>
      <c r="H441">
        <f>'对齐'!C441/MAX('对齐'!C$2:'对齐'!C441)-1</f>
        <v/>
      </c>
      <c r="I441">
        <f>IF(ROW()-2&gt;='参数'!$B$2,STDEV(OFFSET(F441,1-'参数'!$B$2,0,'参数'!$B$2,1))*SQRT('参数'!$B$3),"")</f>
        <v/>
      </c>
    </row>
    <row r="442">
      <c r="A442">
        <f>'对齐'!A442</f>
        <v/>
      </c>
      <c r="B442">
        <f>'对齐'!B442/'对齐'!B441-1</f>
        <v/>
      </c>
      <c r="C442">
        <f>'对齐'!B442/'对齐'!B$2*100</f>
        <v/>
      </c>
      <c r="D442">
        <f>'对齐'!B442/MAX('对齐'!B$2:'对齐'!B442)-1</f>
        <v/>
      </c>
      <c r="E442">
        <f>IF(ROW()-2&gt;='参数'!$B$2,STDEV(OFFSET(B442,1-'参数'!$B$2,0,'参数'!$B$2,1))*SQRT('参数'!$B$3),"")</f>
        <v/>
      </c>
      <c r="F442">
        <f>'对齐'!C442/'对齐'!C441-1</f>
        <v/>
      </c>
      <c r="G442">
        <f>'对齐'!C442/'对齐'!C$2*100</f>
        <v/>
      </c>
      <c r="H442">
        <f>'对齐'!C442/MAX('对齐'!C$2:'对齐'!C442)-1</f>
        <v/>
      </c>
      <c r="I442">
        <f>IF(ROW()-2&gt;='参数'!$B$2,STDEV(OFFSET(F442,1-'参数'!$B$2,0,'参数'!$B$2,1))*SQRT('参数'!$B$3),"")</f>
        <v/>
      </c>
    </row>
    <row r="443">
      <c r="A443">
        <f>'对齐'!A443</f>
        <v/>
      </c>
      <c r="B443">
        <f>'对齐'!B443/'对齐'!B442-1</f>
        <v/>
      </c>
      <c r="C443">
        <f>'对齐'!B443/'对齐'!B$2*100</f>
        <v/>
      </c>
      <c r="D443">
        <f>'对齐'!B443/MAX('对齐'!B$2:'对齐'!B443)-1</f>
        <v/>
      </c>
      <c r="E443">
        <f>IF(ROW()-2&gt;='参数'!$B$2,STDEV(OFFSET(B443,1-'参数'!$B$2,0,'参数'!$B$2,1))*SQRT('参数'!$B$3),"")</f>
        <v/>
      </c>
      <c r="F443">
        <f>'对齐'!C443/'对齐'!C442-1</f>
        <v/>
      </c>
      <c r="G443">
        <f>'对齐'!C443/'对齐'!C$2*100</f>
        <v/>
      </c>
      <c r="H443">
        <f>'对齐'!C443/MAX('对齐'!C$2:'对齐'!C443)-1</f>
        <v/>
      </c>
      <c r="I443">
        <f>IF(ROW()-2&gt;='参数'!$B$2,STDEV(OFFSET(F443,1-'参数'!$B$2,0,'参数'!$B$2,1))*SQRT('参数'!$B$3),"")</f>
        <v/>
      </c>
    </row>
    <row r="444">
      <c r="A444">
        <f>'对齐'!A444</f>
        <v/>
      </c>
      <c r="B444">
        <f>'对齐'!B444/'对齐'!B443-1</f>
        <v/>
      </c>
      <c r="C444">
        <f>'对齐'!B444/'对齐'!B$2*100</f>
        <v/>
      </c>
      <c r="D444">
        <f>'对齐'!B444/MAX('对齐'!B$2:'对齐'!B444)-1</f>
        <v/>
      </c>
      <c r="E444">
        <f>IF(ROW()-2&gt;='参数'!$B$2,STDEV(OFFSET(B444,1-'参数'!$B$2,0,'参数'!$B$2,1))*SQRT('参数'!$B$3),"")</f>
        <v/>
      </c>
      <c r="F444">
        <f>'对齐'!C444/'对齐'!C443-1</f>
        <v/>
      </c>
      <c r="G444">
        <f>'对齐'!C444/'对齐'!C$2*100</f>
        <v/>
      </c>
      <c r="H444">
        <f>'对齐'!C444/MAX('对齐'!C$2:'对齐'!C444)-1</f>
        <v/>
      </c>
      <c r="I444">
        <f>IF(ROW()-2&gt;='参数'!$B$2,STDEV(OFFSET(F444,1-'参数'!$B$2,0,'参数'!$B$2,1))*SQRT('参数'!$B$3),"")</f>
        <v/>
      </c>
    </row>
    <row r="445">
      <c r="A445">
        <f>'对齐'!A445</f>
        <v/>
      </c>
      <c r="B445">
        <f>'对齐'!B445/'对齐'!B444-1</f>
        <v/>
      </c>
      <c r="C445">
        <f>'对齐'!B445/'对齐'!B$2*100</f>
        <v/>
      </c>
      <c r="D445">
        <f>'对齐'!B445/MAX('对齐'!B$2:'对齐'!B445)-1</f>
        <v/>
      </c>
      <c r="E445">
        <f>IF(ROW()-2&gt;='参数'!$B$2,STDEV(OFFSET(B445,1-'参数'!$B$2,0,'参数'!$B$2,1))*SQRT('参数'!$B$3),"")</f>
        <v/>
      </c>
      <c r="F445">
        <f>'对齐'!C445/'对齐'!C444-1</f>
        <v/>
      </c>
      <c r="G445">
        <f>'对齐'!C445/'对齐'!C$2*100</f>
        <v/>
      </c>
      <c r="H445">
        <f>'对齐'!C445/MAX('对齐'!C$2:'对齐'!C445)-1</f>
        <v/>
      </c>
      <c r="I445">
        <f>IF(ROW()-2&gt;='参数'!$B$2,STDEV(OFFSET(F445,1-'参数'!$B$2,0,'参数'!$B$2,1))*SQRT('参数'!$B$3),"")</f>
        <v/>
      </c>
    </row>
    <row r="446">
      <c r="A446">
        <f>'对齐'!A446</f>
        <v/>
      </c>
      <c r="B446">
        <f>'对齐'!B446/'对齐'!B445-1</f>
        <v/>
      </c>
      <c r="C446">
        <f>'对齐'!B446/'对齐'!B$2*100</f>
        <v/>
      </c>
      <c r="D446">
        <f>'对齐'!B446/MAX('对齐'!B$2:'对齐'!B446)-1</f>
        <v/>
      </c>
      <c r="E446">
        <f>IF(ROW()-2&gt;='参数'!$B$2,STDEV(OFFSET(B446,1-'参数'!$B$2,0,'参数'!$B$2,1))*SQRT('参数'!$B$3),"")</f>
        <v/>
      </c>
      <c r="F446">
        <f>'对齐'!C446/'对齐'!C445-1</f>
        <v/>
      </c>
      <c r="G446">
        <f>'对齐'!C446/'对齐'!C$2*100</f>
        <v/>
      </c>
      <c r="H446">
        <f>'对齐'!C446/MAX('对齐'!C$2:'对齐'!C446)-1</f>
        <v/>
      </c>
      <c r="I446">
        <f>IF(ROW()-2&gt;='参数'!$B$2,STDEV(OFFSET(F446,1-'参数'!$B$2,0,'参数'!$B$2,1))*SQRT('参数'!$B$3),"")</f>
        <v/>
      </c>
    </row>
    <row r="447">
      <c r="A447">
        <f>'对齐'!A447</f>
        <v/>
      </c>
      <c r="B447">
        <f>'对齐'!B447/'对齐'!B446-1</f>
        <v/>
      </c>
      <c r="C447">
        <f>'对齐'!B447/'对齐'!B$2*100</f>
        <v/>
      </c>
      <c r="D447">
        <f>'对齐'!B447/MAX('对齐'!B$2:'对齐'!B447)-1</f>
        <v/>
      </c>
      <c r="E447">
        <f>IF(ROW()-2&gt;='参数'!$B$2,STDEV(OFFSET(B447,1-'参数'!$B$2,0,'参数'!$B$2,1))*SQRT('参数'!$B$3),"")</f>
        <v/>
      </c>
      <c r="F447">
        <f>'对齐'!C447/'对齐'!C446-1</f>
        <v/>
      </c>
      <c r="G447">
        <f>'对齐'!C447/'对齐'!C$2*100</f>
        <v/>
      </c>
      <c r="H447">
        <f>'对齐'!C447/MAX('对齐'!C$2:'对齐'!C447)-1</f>
        <v/>
      </c>
      <c r="I447">
        <f>IF(ROW()-2&gt;='参数'!$B$2,STDEV(OFFSET(F447,1-'参数'!$B$2,0,'参数'!$B$2,1))*SQRT('参数'!$B$3),"")</f>
        <v/>
      </c>
    </row>
    <row r="448">
      <c r="A448">
        <f>'对齐'!A448</f>
        <v/>
      </c>
      <c r="B448">
        <f>'对齐'!B448/'对齐'!B447-1</f>
        <v/>
      </c>
      <c r="C448">
        <f>'对齐'!B448/'对齐'!B$2*100</f>
        <v/>
      </c>
      <c r="D448">
        <f>'对齐'!B448/MAX('对齐'!B$2:'对齐'!B448)-1</f>
        <v/>
      </c>
      <c r="E448">
        <f>IF(ROW()-2&gt;='参数'!$B$2,STDEV(OFFSET(B448,1-'参数'!$B$2,0,'参数'!$B$2,1))*SQRT('参数'!$B$3),"")</f>
        <v/>
      </c>
      <c r="F448">
        <f>'对齐'!C448/'对齐'!C447-1</f>
        <v/>
      </c>
      <c r="G448">
        <f>'对齐'!C448/'对齐'!C$2*100</f>
        <v/>
      </c>
      <c r="H448">
        <f>'对齐'!C448/MAX('对齐'!C$2:'对齐'!C448)-1</f>
        <v/>
      </c>
      <c r="I448">
        <f>IF(ROW()-2&gt;='参数'!$B$2,STDEV(OFFSET(F448,1-'参数'!$B$2,0,'参数'!$B$2,1))*SQRT('参数'!$B$3),"")</f>
        <v/>
      </c>
    </row>
    <row r="449">
      <c r="A449">
        <f>'对齐'!A449</f>
        <v/>
      </c>
      <c r="B449">
        <f>'对齐'!B449/'对齐'!B448-1</f>
        <v/>
      </c>
      <c r="C449">
        <f>'对齐'!B449/'对齐'!B$2*100</f>
        <v/>
      </c>
      <c r="D449">
        <f>'对齐'!B449/MAX('对齐'!B$2:'对齐'!B449)-1</f>
        <v/>
      </c>
      <c r="E449">
        <f>IF(ROW()-2&gt;='参数'!$B$2,STDEV(OFFSET(B449,1-'参数'!$B$2,0,'参数'!$B$2,1))*SQRT('参数'!$B$3),"")</f>
        <v/>
      </c>
      <c r="F449">
        <f>'对齐'!C449/'对齐'!C448-1</f>
        <v/>
      </c>
      <c r="G449">
        <f>'对齐'!C449/'对齐'!C$2*100</f>
        <v/>
      </c>
      <c r="H449">
        <f>'对齐'!C449/MAX('对齐'!C$2:'对齐'!C449)-1</f>
        <v/>
      </c>
      <c r="I449">
        <f>IF(ROW()-2&gt;='参数'!$B$2,STDEV(OFFSET(F449,1-'参数'!$B$2,0,'参数'!$B$2,1))*SQRT('参数'!$B$3),"")</f>
        <v/>
      </c>
    </row>
    <row r="450">
      <c r="A450">
        <f>'对齐'!A450</f>
        <v/>
      </c>
      <c r="B450">
        <f>'对齐'!B450/'对齐'!B449-1</f>
        <v/>
      </c>
      <c r="C450">
        <f>'对齐'!B450/'对齐'!B$2*100</f>
        <v/>
      </c>
      <c r="D450">
        <f>'对齐'!B450/MAX('对齐'!B$2:'对齐'!B450)-1</f>
        <v/>
      </c>
      <c r="E450">
        <f>IF(ROW()-2&gt;='参数'!$B$2,STDEV(OFFSET(B450,1-'参数'!$B$2,0,'参数'!$B$2,1))*SQRT('参数'!$B$3),"")</f>
        <v/>
      </c>
      <c r="F450">
        <f>'对齐'!C450/'对齐'!C449-1</f>
        <v/>
      </c>
      <c r="G450">
        <f>'对齐'!C450/'对齐'!C$2*100</f>
        <v/>
      </c>
      <c r="H450">
        <f>'对齐'!C450/MAX('对齐'!C$2:'对齐'!C450)-1</f>
        <v/>
      </c>
      <c r="I450">
        <f>IF(ROW()-2&gt;='参数'!$B$2,STDEV(OFFSET(F450,1-'参数'!$B$2,0,'参数'!$B$2,1))*SQRT('参数'!$B$3),"")</f>
        <v/>
      </c>
    </row>
    <row r="451">
      <c r="A451">
        <f>'对齐'!A451</f>
        <v/>
      </c>
      <c r="B451">
        <f>'对齐'!B451/'对齐'!B450-1</f>
        <v/>
      </c>
      <c r="C451">
        <f>'对齐'!B451/'对齐'!B$2*100</f>
        <v/>
      </c>
      <c r="D451">
        <f>'对齐'!B451/MAX('对齐'!B$2:'对齐'!B451)-1</f>
        <v/>
      </c>
      <c r="E451">
        <f>IF(ROW()-2&gt;='参数'!$B$2,STDEV(OFFSET(B451,1-'参数'!$B$2,0,'参数'!$B$2,1))*SQRT('参数'!$B$3),"")</f>
        <v/>
      </c>
      <c r="F451">
        <f>'对齐'!C451/'对齐'!C450-1</f>
        <v/>
      </c>
      <c r="G451">
        <f>'对齐'!C451/'对齐'!C$2*100</f>
        <v/>
      </c>
      <c r="H451">
        <f>'对齐'!C451/MAX('对齐'!C$2:'对齐'!C451)-1</f>
        <v/>
      </c>
      <c r="I451">
        <f>IF(ROW()-2&gt;='参数'!$B$2,STDEV(OFFSET(F451,1-'参数'!$B$2,0,'参数'!$B$2,1))*SQRT('参数'!$B$3),"")</f>
        <v/>
      </c>
    </row>
    <row r="452">
      <c r="A452">
        <f>'对齐'!A452</f>
        <v/>
      </c>
      <c r="B452">
        <f>'对齐'!B452/'对齐'!B451-1</f>
        <v/>
      </c>
      <c r="C452">
        <f>'对齐'!B452/'对齐'!B$2*100</f>
        <v/>
      </c>
      <c r="D452">
        <f>'对齐'!B452/MAX('对齐'!B$2:'对齐'!B452)-1</f>
        <v/>
      </c>
      <c r="E452">
        <f>IF(ROW()-2&gt;='参数'!$B$2,STDEV(OFFSET(B452,1-'参数'!$B$2,0,'参数'!$B$2,1))*SQRT('参数'!$B$3),"")</f>
        <v/>
      </c>
      <c r="F452">
        <f>'对齐'!C452/'对齐'!C451-1</f>
        <v/>
      </c>
      <c r="G452">
        <f>'对齐'!C452/'对齐'!C$2*100</f>
        <v/>
      </c>
      <c r="H452">
        <f>'对齐'!C452/MAX('对齐'!C$2:'对齐'!C452)-1</f>
        <v/>
      </c>
      <c r="I452">
        <f>IF(ROW()-2&gt;='参数'!$B$2,STDEV(OFFSET(F452,1-'参数'!$B$2,0,'参数'!$B$2,1))*SQRT('参数'!$B$3),"")</f>
        <v/>
      </c>
    </row>
    <row r="453">
      <c r="A453">
        <f>'对齐'!A453</f>
        <v/>
      </c>
      <c r="B453">
        <f>'对齐'!B453/'对齐'!B452-1</f>
        <v/>
      </c>
      <c r="C453">
        <f>'对齐'!B453/'对齐'!B$2*100</f>
        <v/>
      </c>
      <c r="D453">
        <f>'对齐'!B453/MAX('对齐'!B$2:'对齐'!B453)-1</f>
        <v/>
      </c>
      <c r="E453">
        <f>IF(ROW()-2&gt;='参数'!$B$2,STDEV(OFFSET(B453,1-'参数'!$B$2,0,'参数'!$B$2,1))*SQRT('参数'!$B$3),"")</f>
        <v/>
      </c>
      <c r="F453">
        <f>'对齐'!C453/'对齐'!C452-1</f>
        <v/>
      </c>
      <c r="G453">
        <f>'对齐'!C453/'对齐'!C$2*100</f>
        <v/>
      </c>
      <c r="H453">
        <f>'对齐'!C453/MAX('对齐'!C$2:'对齐'!C453)-1</f>
        <v/>
      </c>
      <c r="I453">
        <f>IF(ROW()-2&gt;='参数'!$B$2,STDEV(OFFSET(F453,1-'参数'!$B$2,0,'参数'!$B$2,1))*SQRT('参数'!$B$3),"")</f>
        <v/>
      </c>
    </row>
    <row r="454">
      <c r="A454">
        <f>'对齐'!A454</f>
        <v/>
      </c>
      <c r="B454">
        <f>'对齐'!B454/'对齐'!B453-1</f>
        <v/>
      </c>
      <c r="C454">
        <f>'对齐'!B454/'对齐'!B$2*100</f>
        <v/>
      </c>
      <c r="D454">
        <f>'对齐'!B454/MAX('对齐'!B$2:'对齐'!B454)-1</f>
        <v/>
      </c>
      <c r="E454">
        <f>IF(ROW()-2&gt;='参数'!$B$2,STDEV(OFFSET(B454,1-'参数'!$B$2,0,'参数'!$B$2,1))*SQRT('参数'!$B$3),"")</f>
        <v/>
      </c>
      <c r="F454">
        <f>'对齐'!C454/'对齐'!C453-1</f>
        <v/>
      </c>
      <c r="G454">
        <f>'对齐'!C454/'对齐'!C$2*100</f>
        <v/>
      </c>
      <c r="H454">
        <f>'对齐'!C454/MAX('对齐'!C$2:'对齐'!C454)-1</f>
        <v/>
      </c>
      <c r="I454">
        <f>IF(ROW()-2&gt;='参数'!$B$2,STDEV(OFFSET(F454,1-'参数'!$B$2,0,'参数'!$B$2,1))*SQRT('参数'!$B$3),"")</f>
        <v/>
      </c>
    </row>
    <row r="455">
      <c r="A455">
        <f>'对齐'!A455</f>
        <v/>
      </c>
      <c r="B455">
        <f>'对齐'!B455/'对齐'!B454-1</f>
        <v/>
      </c>
      <c r="C455">
        <f>'对齐'!B455/'对齐'!B$2*100</f>
        <v/>
      </c>
      <c r="D455">
        <f>'对齐'!B455/MAX('对齐'!B$2:'对齐'!B455)-1</f>
        <v/>
      </c>
      <c r="E455">
        <f>IF(ROW()-2&gt;='参数'!$B$2,STDEV(OFFSET(B455,1-'参数'!$B$2,0,'参数'!$B$2,1))*SQRT('参数'!$B$3),"")</f>
        <v/>
      </c>
      <c r="F455">
        <f>'对齐'!C455/'对齐'!C454-1</f>
        <v/>
      </c>
      <c r="G455">
        <f>'对齐'!C455/'对齐'!C$2*100</f>
        <v/>
      </c>
      <c r="H455">
        <f>'对齐'!C455/MAX('对齐'!C$2:'对齐'!C455)-1</f>
        <v/>
      </c>
      <c r="I455">
        <f>IF(ROW()-2&gt;='参数'!$B$2,STDEV(OFFSET(F455,1-'参数'!$B$2,0,'参数'!$B$2,1))*SQRT('参数'!$B$3),"")</f>
        <v/>
      </c>
    </row>
    <row r="456">
      <c r="A456">
        <f>'对齐'!A456</f>
        <v/>
      </c>
      <c r="B456">
        <f>'对齐'!B456/'对齐'!B455-1</f>
        <v/>
      </c>
      <c r="C456">
        <f>'对齐'!B456/'对齐'!B$2*100</f>
        <v/>
      </c>
      <c r="D456">
        <f>'对齐'!B456/MAX('对齐'!B$2:'对齐'!B456)-1</f>
        <v/>
      </c>
      <c r="E456">
        <f>IF(ROW()-2&gt;='参数'!$B$2,STDEV(OFFSET(B456,1-'参数'!$B$2,0,'参数'!$B$2,1))*SQRT('参数'!$B$3),"")</f>
        <v/>
      </c>
      <c r="F456">
        <f>'对齐'!C456/'对齐'!C455-1</f>
        <v/>
      </c>
      <c r="G456">
        <f>'对齐'!C456/'对齐'!C$2*100</f>
        <v/>
      </c>
      <c r="H456">
        <f>'对齐'!C456/MAX('对齐'!C$2:'对齐'!C456)-1</f>
        <v/>
      </c>
      <c r="I456">
        <f>IF(ROW()-2&gt;='参数'!$B$2,STDEV(OFFSET(F456,1-'参数'!$B$2,0,'参数'!$B$2,1))*SQRT('参数'!$B$3),"")</f>
        <v/>
      </c>
    </row>
    <row r="457">
      <c r="A457">
        <f>'对齐'!A457</f>
        <v/>
      </c>
      <c r="B457">
        <f>'对齐'!B457/'对齐'!B456-1</f>
        <v/>
      </c>
      <c r="C457">
        <f>'对齐'!B457/'对齐'!B$2*100</f>
        <v/>
      </c>
      <c r="D457">
        <f>'对齐'!B457/MAX('对齐'!B$2:'对齐'!B457)-1</f>
        <v/>
      </c>
      <c r="E457">
        <f>IF(ROW()-2&gt;='参数'!$B$2,STDEV(OFFSET(B457,1-'参数'!$B$2,0,'参数'!$B$2,1))*SQRT('参数'!$B$3),"")</f>
        <v/>
      </c>
      <c r="F457">
        <f>'对齐'!C457/'对齐'!C456-1</f>
        <v/>
      </c>
      <c r="G457">
        <f>'对齐'!C457/'对齐'!C$2*100</f>
        <v/>
      </c>
      <c r="H457">
        <f>'对齐'!C457/MAX('对齐'!C$2:'对齐'!C457)-1</f>
        <v/>
      </c>
      <c r="I457">
        <f>IF(ROW()-2&gt;='参数'!$B$2,STDEV(OFFSET(F457,1-'参数'!$B$2,0,'参数'!$B$2,1))*SQRT('参数'!$B$3),"")</f>
        <v/>
      </c>
    </row>
    <row r="458">
      <c r="A458">
        <f>'对齐'!A458</f>
        <v/>
      </c>
      <c r="B458">
        <f>'对齐'!B458/'对齐'!B457-1</f>
        <v/>
      </c>
      <c r="C458">
        <f>'对齐'!B458/'对齐'!B$2*100</f>
        <v/>
      </c>
      <c r="D458">
        <f>'对齐'!B458/MAX('对齐'!B$2:'对齐'!B458)-1</f>
        <v/>
      </c>
      <c r="E458">
        <f>IF(ROW()-2&gt;='参数'!$B$2,STDEV(OFFSET(B458,1-'参数'!$B$2,0,'参数'!$B$2,1))*SQRT('参数'!$B$3),"")</f>
        <v/>
      </c>
      <c r="F458">
        <f>'对齐'!C458/'对齐'!C457-1</f>
        <v/>
      </c>
      <c r="G458">
        <f>'对齐'!C458/'对齐'!C$2*100</f>
        <v/>
      </c>
      <c r="H458">
        <f>'对齐'!C458/MAX('对齐'!C$2:'对齐'!C458)-1</f>
        <v/>
      </c>
      <c r="I458">
        <f>IF(ROW()-2&gt;='参数'!$B$2,STDEV(OFFSET(F458,1-'参数'!$B$2,0,'参数'!$B$2,1))*SQRT('参数'!$B$3),"")</f>
        <v/>
      </c>
    </row>
    <row r="459">
      <c r="A459">
        <f>'对齐'!A459</f>
        <v/>
      </c>
      <c r="B459">
        <f>'对齐'!B459/'对齐'!B458-1</f>
        <v/>
      </c>
      <c r="C459">
        <f>'对齐'!B459/'对齐'!B$2*100</f>
        <v/>
      </c>
      <c r="D459">
        <f>'对齐'!B459/MAX('对齐'!B$2:'对齐'!B459)-1</f>
        <v/>
      </c>
      <c r="E459">
        <f>IF(ROW()-2&gt;='参数'!$B$2,STDEV(OFFSET(B459,1-'参数'!$B$2,0,'参数'!$B$2,1))*SQRT('参数'!$B$3),"")</f>
        <v/>
      </c>
      <c r="F459">
        <f>'对齐'!C459/'对齐'!C458-1</f>
        <v/>
      </c>
      <c r="G459">
        <f>'对齐'!C459/'对齐'!C$2*100</f>
        <v/>
      </c>
      <c r="H459">
        <f>'对齐'!C459/MAX('对齐'!C$2:'对齐'!C459)-1</f>
        <v/>
      </c>
      <c r="I459">
        <f>IF(ROW()-2&gt;='参数'!$B$2,STDEV(OFFSET(F459,1-'参数'!$B$2,0,'参数'!$B$2,1))*SQRT('参数'!$B$3),"")</f>
        <v/>
      </c>
    </row>
    <row r="460">
      <c r="A460">
        <f>'对齐'!A460</f>
        <v/>
      </c>
      <c r="B460">
        <f>'对齐'!B460/'对齐'!B459-1</f>
        <v/>
      </c>
      <c r="C460">
        <f>'对齐'!B460/'对齐'!B$2*100</f>
        <v/>
      </c>
      <c r="D460">
        <f>'对齐'!B460/MAX('对齐'!B$2:'对齐'!B460)-1</f>
        <v/>
      </c>
      <c r="E460">
        <f>IF(ROW()-2&gt;='参数'!$B$2,STDEV(OFFSET(B460,1-'参数'!$B$2,0,'参数'!$B$2,1))*SQRT('参数'!$B$3),"")</f>
        <v/>
      </c>
      <c r="F460">
        <f>'对齐'!C460/'对齐'!C459-1</f>
        <v/>
      </c>
      <c r="G460">
        <f>'对齐'!C460/'对齐'!C$2*100</f>
        <v/>
      </c>
      <c r="H460">
        <f>'对齐'!C460/MAX('对齐'!C$2:'对齐'!C460)-1</f>
        <v/>
      </c>
      <c r="I460">
        <f>IF(ROW()-2&gt;='参数'!$B$2,STDEV(OFFSET(F460,1-'参数'!$B$2,0,'参数'!$B$2,1))*SQRT('参数'!$B$3),"")</f>
        <v/>
      </c>
    </row>
    <row r="461">
      <c r="A461">
        <f>'对齐'!A461</f>
        <v/>
      </c>
      <c r="B461">
        <f>'对齐'!B461/'对齐'!B460-1</f>
        <v/>
      </c>
      <c r="C461">
        <f>'对齐'!B461/'对齐'!B$2*100</f>
        <v/>
      </c>
      <c r="D461">
        <f>'对齐'!B461/MAX('对齐'!B$2:'对齐'!B461)-1</f>
        <v/>
      </c>
      <c r="E461">
        <f>IF(ROW()-2&gt;='参数'!$B$2,STDEV(OFFSET(B461,1-'参数'!$B$2,0,'参数'!$B$2,1))*SQRT('参数'!$B$3),"")</f>
        <v/>
      </c>
      <c r="F461">
        <f>'对齐'!C461/'对齐'!C460-1</f>
        <v/>
      </c>
      <c r="G461">
        <f>'对齐'!C461/'对齐'!C$2*100</f>
        <v/>
      </c>
      <c r="H461">
        <f>'对齐'!C461/MAX('对齐'!C$2:'对齐'!C461)-1</f>
        <v/>
      </c>
      <c r="I461">
        <f>IF(ROW()-2&gt;='参数'!$B$2,STDEV(OFFSET(F461,1-'参数'!$B$2,0,'参数'!$B$2,1))*SQRT('参数'!$B$3),"")</f>
        <v/>
      </c>
    </row>
    <row r="462">
      <c r="A462">
        <f>'对齐'!A462</f>
        <v/>
      </c>
      <c r="B462">
        <f>'对齐'!B462/'对齐'!B461-1</f>
        <v/>
      </c>
      <c r="C462">
        <f>'对齐'!B462/'对齐'!B$2*100</f>
        <v/>
      </c>
      <c r="D462">
        <f>'对齐'!B462/MAX('对齐'!B$2:'对齐'!B462)-1</f>
        <v/>
      </c>
      <c r="E462">
        <f>IF(ROW()-2&gt;='参数'!$B$2,STDEV(OFFSET(B462,1-'参数'!$B$2,0,'参数'!$B$2,1))*SQRT('参数'!$B$3),"")</f>
        <v/>
      </c>
      <c r="F462">
        <f>'对齐'!C462/'对齐'!C461-1</f>
        <v/>
      </c>
      <c r="G462">
        <f>'对齐'!C462/'对齐'!C$2*100</f>
        <v/>
      </c>
      <c r="H462">
        <f>'对齐'!C462/MAX('对齐'!C$2:'对齐'!C462)-1</f>
        <v/>
      </c>
      <c r="I462">
        <f>IF(ROW()-2&gt;='参数'!$B$2,STDEV(OFFSET(F462,1-'参数'!$B$2,0,'参数'!$B$2,1))*SQRT('参数'!$B$3),"")</f>
        <v/>
      </c>
    </row>
    <row r="463">
      <c r="A463">
        <f>'对齐'!A463</f>
        <v/>
      </c>
      <c r="B463">
        <f>'对齐'!B463/'对齐'!B462-1</f>
        <v/>
      </c>
      <c r="C463">
        <f>'对齐'!B463/'对齐'!B$2*100</f>
        <v/>
      </c>
      <c r="D463">
        <f>'对齐'!B463/MAX('对齐'!B$2:'对齐'!B463)-1</f>
        <v/>
      </c>
      <c r="E463">
        <f>IF(ROW()-2&gt;='参数'!$B$2,STDEV(OFFSET(B463,1-'参数'!$B$2,0,'参数'!$B$2,1))*SQRT('参数'!$B$3),"")</f>
        <v/>
      </c>
      <c r="F463">
        <f>'对齐'!C463/'对齐'!C462-1</f>
        <v/>
      </c>
      <c r="G463">
        <f>'对齐'!C463/'对齐'!C$2*100</f>
        <v/>
      </c>
      <c r="H463">
        <f>'对齐'!C463/MAX('对齐'!C$2:'对齐'!C463)-1</f>
        <v/>
      </c>
      <c r="I463">
        <f>IF(ROW()-2&gt;='参数'!$B$2,STDEV(OFFSET(F463,1-'参数'!$B$2,0,'参数'!$B$2,1))*SQRT('参数'!$B$3),"")</f>
        <v/>
      </c>
    </row>
    <row r="464">
      <c r="A464">
        <f>'对齐'!A464</f>
        <v/>
      </c>
      <c r="B464">
        <f>'对齐'!B464/'对齐'!B463-1</f>
        <v/>
      </c>
      <c r="C464">
        <f>'对齐'!B464/'对齐'!B$2*100</f>
        <v/>
      </c>
      <c r="D464">
        <f>'对齐'!B464/MAX('对齐'!B$2:'对齐'!B464)-1</f>
        <v/>
      </c>
      <c r="E464">
        <f>IF(ROW()-2&gt;='参数'!$B$2,STDEV(OFFSET(B464,1-'参数'!$B$2,0,'参数'!$B$2,1))*SQRT('参数'!$B$3),"")</f>
        <v/>
      </c>
      <c r="F464">
        <f>'对齐'!C464/'对齐'!C463-1</f>
        <v/>
      </c>
      <c r="G464">
        <f>'对齐'!C464/'对齐'!C$2*100</f>
        <v/>
      </c>
      <c r="H464">
        <f>'对齐'!C464/MAX('对齐'!C$2:'对齐'!C464)-1</f>
        <v/>
      </c>
      <c r="I464">
        <f>IF(ROW()-2&gt;='参数'!$B$2,STDEV(OFFSET(F464,1-'参数'!$B$2,0,'参数'!$B$2,1))*SQRT('参数'!$B$3),"")</f>
        <v/>
      </c>
    </row>
    <row r="465">
      <c r="A465">
        <f>'对齐'!A465</f>
        <v/>
      </c>
      <c r="B465">
        <f>'对齐'!B465/'对齐'!B464-1</f>
        <v/>
      </c>
      <c r="C465">
        <f>'对齐'!B465/'对齐'!B$2*100</f>
        <v/>
      </c>
      <c r="D465">
        <f>'对齐'!B465/MAX('对齐'!B$2:'对齐'!B465)-1</f>
        <v/>
      </c>
      <c r="E465">
        <f>IF(ROW()-2&gt;='参数'!$B$2,STDEV(OFFSET(B465,1-'参数'!$B$2,0,'参数'!$B$2,1))*SQRT('参数'!$B$3),"")</f>
        <v/>
      </c>
      <c r="F465">
        <f>'对齐'!C465/'对齐'!C464-1</f>
        <v/>
      </c>
      <c r="G465">
        <f>'对齐'!C465/'对齐'!C$2*100</f>
        <v/>
      </c>
      <c r="H465">
        <f>'对齐'!C465/MAX('对齐'!C$2:'对齐'!C465)-1</f>
        <v/>
      </c>
      <c r="I465">
        <f>IF(ROW()-2&gt;='参数'!$B$2,STDEV(OFFSET(F465,1-'参数'!$B$2,0,'参数'!$B$2,1))*SQRT('参数'!$B$3),"")</f>
        <v/>
      </c>
    </row>
    <row r="466">
      <c r="A466">
        <f>'对齐'!A466</f>
        <v/>
      </c>
      <c r="B466">
        <f>'对齐'!B466/'对齐'!B465-1</f>
        <v/>
      </c>
      <c r="C466">
        <f>'对齐'!B466/'对齐'!B$2*100</f>
        <v/>
      </c>
      <c r="D466">
        <f>'对齐'!B466/MAX('对齐'!B$2:'对齐'!B466)-1</f>
        <v/>
      </c>
      <c r="E466">
        <f>IF(ROW()-2&gt;='参数'!$B$2,STDEV(OFFSET(B466,1-'参数'!$B$2,0,'参数'!$B$2,1))*SQRT('参数'!$B$3),"")</f>
        <v/>
      </c>
      <c r="F466">
        <f>'对齐'!C466/'对齐'!C465-1</f>
        <v/>
      </c>
      <c r="G466">
        <f>'对齐'!C466/'对齐'!C$2*100</f>
        <v/>
      </c>
      <c r="H466">
        <f>'对齐'!C466/MAX('对齐'!C$2:'对齐'!C466)-1</f>
        <v/>
      </c>
      <c r="I466">
        <f>IF(ROW()-2&gt;='参数'!$B$2,STDEV(OFFSET(F466,1-'参数'!$B$2,0,'参数'!$B$2,1))*SQRT('参数'!$B$3),"")</f>
        <v/>
      </c>
    </row>
    <row r="467">
      <c r="A467">
        <f>'对齐'!A467</f>
        <v/>
      </c>
      <c r="B467">
        <f>'对齐'!B467/'对齐'!B466-1</f>
        <v/>
      </c>
      <c r="C467">
        <f>'对齐'!B467/'对齐'!B$2*100</f>
        <v/>
      </c>
      <c r="D467">
        <f>'对齐'!B467/MAX('对齐'!B$2:'对齐'!B467)-1</f>
        <v/>
      </c>
      <c r="E467">
        <f>IF(ROW()-2&gt;='参数'!$B$2,STDEV(OFFSET(B467,1-'参数'!$B$2,0,'参数'!$B$2,1))*SQRT('参数'!$B$3),"")</f>
        <v/>
      </c>
      <c r="F467">
        <f>'对齐'!C467/'对齐'!C466-1</f>
        <v/>
      </c>
      <c r="G467">
        <f>'对齐'!C467/'对齐'!C$2*100</f>
        <v/>
      </c>
      <c r="H467">
        <f>'对齐'!C467/MAX('对齐'!C$2:'对齐'!C467)-1</f>
        <v/>
      </c>
      <c r="I467">
        <f>IF(ROW()-2&gt;='参数'!$B$2,STDEV(OFFSET(F467,1-'参数'!$B$2,0,'参数'!$B$2,1))*SQRT('参数'!$B$3),"")</f>
        <v/>
      </c>
    </row>
    <row r="468">
      <c r="A468">
        <f>'对齐'!A468</f>
        <v/>
      </c>
      <c r="B468">
        <f>'对齐'!B468/'对齐'!B467-1</f>
        <v/>
      </c>
      <c r="C468">
        <f>'对齐'!B468/'对齐'!B$2*100</f>
        <v/>
      </c>
      <c r="D468">
        <f>'对齐'!B468/MAX('对齐'!B$2:'对齐'!B468)-1</f>
        <v/>
      </c>
      <c r="E468">
        <f>IF(ROW()-2&gt;='参数'!$B$2,STDEV(OFFSET(B468,1-'参数'!$B$2,0,'参数'!$B$2,1))*SQRT('参数'!$B$3),"")</f>
        <v/>
      </c>
      <c r="F468">
        <f>'对齐'!C468/'对齐'!C467-1</f>
        <v/>
      </c>
      <c r="G468">
        <f>'对齐'!C468/'对齐'!C$2*100</f>
        <v/>
      </c>
      <c r="H468">
        <f>'对齐'!C468/MAX('对齐'!C$2:'对齐'!C468)-1</f>
        <v/>
      </c>
      <c r="I468">
        <f>IF(ROW()-2&gt;='参数'!$B$2,STDEV(OFFSET(F468,1-'参数'!$B$2,0,'参数'!$B$2,1))*SQRT('参数'!$B$3),"")</f>
        <v/>
      </c>
    </row>
    <row r="469">
      <c r="A469">
        <f>'对齐'!A469</f>
        <v/>
      </c>
      <c r="B469">
        <f>'对齐'!B469/'对齐'!B468-1</f>
        <v/>
      </c>
      <c r="C469">
        <f>'对齐'!B469/'对齐'!B$2*100</f>
        <v/>
      </c>
      <c r="D469">
        <f>'对齐'!B469/MAX('对齐'!B$2:'对齐'!B469)-1</f>
        <v/>
      </c>
      <c r="E469">
        <f>IF(ROW()-2&gt;='参数'!$B$2,STDEV(OFFSET(B469,1-'参数'!$B$2,0,'参数'!$B$2,1))*SQRT('参数'!$B$3),"")</f>
        <v/>
      </c>
      <c r="F469">
        <f>'对齐'!C469/'对齐'!C468-1</f>
        <v/>
      </c>
      <c r="G469">
        <f>'对齐'!C469/'对齐'!C$2*100</f>
        <v/>
      </c>
      <c r="H469">
        <f>'对齐'!C469/MAX('对齐'!C$2:'对齐'!C469)-1</f>
        <v/>
      </c>
      <c r="I469">
        <f>IF(ROW()-2&gt;='参数'!$B$2,STDEV(OFFSET(F469,1-'参数'!$B$2,0,'参数'!$B$2,1))*SQRT('参数'!$B$3),"")</f>
        <v/>
      </c>
    </row>
    <row r="470">
      <c r="A470">
        <f>'对齐'!A470</f>
        <v/>
      </c>
      <c r="B470">
        <f>'对齐'!B470/'对齐'!B469-1</f>
        <v/>
      </c>
      <c r="C470">
        <f>'对齐'!B470/'对齐'!B$2*100</f>
        <v/>
      </c>
      <c r="D470">
        <f>'对齐'!B470/MAX('对齐'!B$2:'对齐'!B470)-1</f>
        <v/>
      </c>
      <c r="E470">
        <f>IF(ROW()-2&gt;='参数'!$B$2,STDEV(OFFSET(B470,1-'参数'!$B$2,0,'参数'!$B$2,1))*SQRT('参数'!$B$3),"")</f>
        <v/>
      </c>
      <c r="F470">
        <f>'对齐'!C470/'对齐'!C469-1</f>
        <v/>
      </c>
      <c r="G470">
        <f>'对齐'!C470/'对齐'!C$2*100</f>
        <v/>
      </c>
      <c r="H470">
        <f>'对齐'!C470/MAX('对齐'!C$2:'对齐'!C470)-1</f>
        <v/>
      </c>
      <c r="I470">
        <f>IF(ROW()-2&gt;='参数'!$B$2,STDEV(OFFSET(F470,1-'参数'!$B$2,0,'参数'!$B$2,1))*SQRT('参数'!$B$3),"")</f>
        <v/>
      </c>
    </row>
    <row r="471">
      <c r="A471">
        <f>'对齐'!A471</f>
        <v/>
      </c>
      <c r="B471">
        <f>'对齐'!B471/'对齐'!B470-1</f>
        <v/>
      </c>
      <c r="C471">
        <f>'对齐'!B471/'对齐'!B$2*100</f>
        <v/>
      </c>
      <c r="D471">
        <f>'对齐'!B471/MAX('对齐'!B$2:'对齐'!B471)-1</f>
        <v/>
      </c>
      <c r="E471">
        <f>IF(ROW()-2&gt;='参数'!$B$2,STDEV(OFFSET(B471,1-'参数'!$B$2,0,'参数'!$B$2,1))*SQRT('参数'!$B$3),"")</f>
        <v/>
      </c>
      <c r="F471">
        <f>'对齐'!C471/'对齐'!C470-1</f>
        <v/>
      </c>
      <c r="G471">
        <f>'对齐'!C471/'对齐'!C$2*100</f>
        <v/>
      </c>
      <c r="H471">
        <f>'对齐'!C471/MAX('对齐'!C$2:'对齐'!C471)-1</f>
        <v/>
      </c>
      <c r="I471">
        <f>IF(ROW()-2&gt;='参数'!$B$2,STDEV(OFFSET(F471,1-'参数'!$B$2,0,'参数'!$B$2,1))*SQRT('参数'!$B$3),"")</f>
        <v/>
      </c>
    </row>
    <row r="472">
      <c r="A472">
        <f>'对齐'!A472</f>
        <v/>
      </c>
      <c r="B472">
        <f>'对齐'!B472/'对齐'!B471-1</f>
        <v/>
      </c>
      <c r="C472">
        <f>'对齐'!B472/'对齐'!B$2*100</f>
        <v/>
      </c>
      <c r="D472">
        <f>'对齐'!B472/MAX('对齐'!B$2:'对齐'!B472)-1</f>
        <v/>
      </c>
      <c r="E472">
        <f>IF(ROW()-2&gt;='参数'!$B$2,STDEV(OFFSET(B472,1-'参数'!$B$2,0,'参数'!$B$2,1))*SQRT('参数'!$B$3),"")</f>
        <v/>
      </c>
      <c r="F472">
        <f>'对齐'!C472/'对齐'!C471-1</f>
        <v/>
      </c>
      <c r="G472">
        <f>'对齐'!C472/'对齐'!C$2*100</f>
        <v/>
      </c>
      <c r="H472">
        <f>'对齐'!C472/MAX('对齐'!C$2:'对齐'!C472)-1</f>
        <v/>
      </c>
      <c r="I472">
        <f>IF(ROW()-2&gt;='参数'!$B$2,STDEV(OFFSET(F472,1-'参数'!$B$2,0,'参数'!$B$2,1))*SQRT('参数'!$B$3),"")</f>
        <v/>
      </c>
    </row>
    <row r="473">
      <c r="A473">
        <f>'对齐'!A473</f>
        <v/>
      </c>
      <c r="B473">
        <f>'对齐'!B473/'对齐'!B472-1</f>
        <v/>
      </c>
      <c r="C473">
        <f>'对齐'!B473/'对齐'!B$2*100</f>
        <v/>
      </c>
      <c r="D473">
        <f>'对齐'!B473/MAX('对齐'!B$2:'对齐'!B473)-1</f>
        <v/>
      </c>
      <c r="E473">
        <f>IF(ROW()-2&gt;='参数'!$B$2,STDEV(OFFSET(B473,1-'参数'!$B$2,0,'参数'!$B$2,1))*SQRT('参数'!$B$3),"")</f>
        <v/>
      </c>
      <c r="F473">
        <f>'对齐'!C473/'对齐'!C472-1</f>
        <v/>
      </c>
      <c r="G473">
        <f>'对齐'!C473/'对齐'!C$2*100</f>
        <v/>
      </c>
      <c r="H473">
        <f>'对齐'!C473/MAX('对齐'!C$2:'对齐'!C473)-1</f>
        <v/>
      </c>
      <c r="I473">
        <f>IF(ROW()-2&gt;='参数'!$B$2,STDEV(OFFSET(F473,1-'参数'!$B$2,0,'参数'!$B$2,1))*SQRT('参数'!$B$3),"")</f>
        <v/>
      </c>
    </row>
    <row r="474">
      <c r="A474">
        <f>'对齐'!A474</f>
        <v/>
      </c>
      <c r="B474">
        <f>'对齐'!B474/'对齐'!B473-1</f>
        <v/>
      </c>
      <c r="C474">
        <f>'对齐'!B474/'对齐'!B$2*100</f>
        <v/>
      </c>
      <c r="D474">
        <f>'对齐'!B474/MAX('对齐'!B$2:'对齐'!B474)-1</f>
        <v/>
      </c>
      <c r="E474">
        <f>IF(ROW()-2&gt;='参数'!$B$2,STDEV(OFFSET(B474,1-'参数'!$B$2,0,'参数'!$B$2,1))*SQRT('参数'!$B$3),"")</f>
        <v/>
      </c>
      <c r="F474">
        <f>'对齐'!C474/'对齐'!C473-1</f>
        <v/>
      </c>
      <c r="G474">
        <f>'对齐'!C474/'对齐'!C$2*100</f>
        <v/>
      </c>
      <c r="H474">
        <f>'对齐'!C474/MAX('对齐'!C$2:'对齐'!C474)-1</f>
        <v/>
      </c>
      <c r="I474">
        <f>IF(ROW()-2&gt;='参数'!$B$2,STDEV(OFFSET(F474,1-'参数'!$B$2,0,'参数'!$B$2,1))*SQRT('参数'!$B$3),"")</f>
        <v/>
      </c>
    </row>
    <row r="475">
      <c r="A475">
        <f>'对齐'!A475</f>
        <v/>
      </c>
      <c r="B475">
        <f>'对齐'!B475/'对齐'!B474-1</f>
        <v/>
      </c>
      <c r="C475">
        <f>'对齐'!B475/'对齐'!B$2*100</f>
        <v/>
      </c>
      <c r="D475">
        <f>'对齐'!B475/MAX('对齐'!B$2:'对齐'!B475)-1</f>
        <v/>
      </c>
      <c r="E475">
        <f>IF(ROW()-2&gt;='参数'!$B$2,STDEV(OFFSET(B475,1-'参数'!$B$2,0,'参数'!$B$2,1))*SQRT('参数'!$B$3),"")</f>
        <v/>
      </c>
      <c r="F475">
        <f>'对齐'!C475/'对齐'!C474-1</f>
        <v/>
      </c>
      <c r="G475">
        <f>'对齐'!C475/'对齐'!C$2*100</f>
        <v/>
      </c>
      <c r="H475">
        <f>'对齐'!C475/MAX('对齐'!C$2:'对齐'!C475)-1</f>
        <v/>
      </c>
      <c r="I475">
        <f>IF(ROW()-2&gt;='参数'!$B$2,STDEV(OFFSET(F475,1-'参数'!$B$2,0,'参数'!$B$2,1))*SQRT('参数'!$B$3),"")</f>
        <v/>
      </c>
    </row>
    <row r="476">
      <c r="A476">
        <f>'对齐'!A476</f>
        <v/>
      </c>
      <c r="B476">
        <f>'对齐'!B476/'对齐'!B475-1</f>
        <v/>
      </c>
      <c r="C476">
        <f>'对齐'!B476/'对齐'!B$2*100</f>
        <v/>
      </c>
      <c r="D476">
        <f>'对齐'!B476/MAX('对齐'!B$2:'对齐'!B476)-1</f>
        <v/>
      </c>
      <c r="E476">
        <f>IF(ROW()-2&gt;='参数'!$B$2,STDEV(OFFSET(B476,1-'参数'!$B$2,0,'参数'!$B$2,1))*SQRT('参数'!$B$3),"")</f>
        <v/>
      </c>
      <c r="F476">
        <f>'对齐'!C476/'对齐'!C475-1</f>
        <v/>
      </c>
      <c r="G476">
        <f>'对齐'!C476/'对齐'!C$2*100</f>
        <v/>
      </c>
      <c r="H476">
        <f>'对齐'!C476/MAX('对齐'!C$2:'对齐'!C476)-1</f>
        <v/>
      </c>
      <c r="I476">
        <f>IF(ROW()-2&gt;='参数'!$B$2,STDEV(OFFSET(F476,1-'参数'!$B$2,0,'参数'!$B$2,1))*SQRT('参数'!$B$3),"")</f>
        <v/>
      </c>
    </row>
    <row r="477">
      <c r="A477">
        <f>'对齐'!A477</f>
        <v/>
      </c>
      <c r="B477">
        <f>'对齐'!B477/'对齐'!B476-1</f>
        <v/>
      </c>
      <c r="C477">
        <f>'对齐'!B477/'对齐'!B$2*100</f>
        <v/>
      </c>
      <c r="D477">
        <f>'对齐'!B477/MAX('对齐'!B$2:'对齐'!B477)-1</f>
        <v/>
      </c>
      <c r="E477">
        <f>IF(ROW()-2&gt;='参数'!$B$2,STDEV(OFFSET(B477,1-'参数'!$B$2,0,'参数'!$B$2,1))*SQRT('参数'!$B$3),"")</f>
        <v/>
      </c>
      <c r="F477">
        <f>'对齐'!C477/'对齐'!C476-1</f>
        <v/>
      </c>
      <c r="G477">
        <f>'对齐'!C477/'对齐'!C$2*100</f>
        <v/>
      </c>
      <c r="H477">
        <f>'对齐'!C477/MAX('对齐'!C$2:'对齐'!C477)-1</f>
        <v/>
      </c>
      <c r="I477">
        <f>IF(ROW()-2&gt;='参数'!$B$2,STDEV(OFFSET(F477,1-'参数'!$B$2,0,'参数'!$B$2,1))*SQRT('参数'!$B$3),"")</f>
        <v/>
      </c>
    </row>
    <row r="478">
      <c r="A478">
        <f>'对齐'!A478</f>
        <v/>
      </c>
      <c r="B478">
        <f>'对齐'!B478/'对齐'!B477-1</f>
        <v/>
      </c>
      <c r="C478">
        <f>'对齐'!B478/'对齐'!B$2*100</f>
        <v/>
      </c>
      <c r="D478">
        <f>'对齐'!B478/MAX('对齐'!B$2:'对齐'!B478)-1</f>
        <v/>
      </c>
      <c r="E478">
        <f>IF(ROW()-2&gt;='参数'!$B$2,STDEV(OFFSET(B478,1-'参数'!$B$2,0,'参数'!$B$2,1))*SQRT('参数'!$B$3),"")</f>
        <v/>
      </c>
      <c r="F478">
        <f>'对齐'!C478/'对齐'!C477-1</f>
        <v/>
      </c>
      <c r="G478">
        <f>'对齐'!C478/'对齐'!C$2*100</f>
        <v/>
      </c>
      <c r="H478">
        <f>'对齐'!C478/MAX('对齐'!C$2:'对齐'!C478)-1</f>
        <v/>
      </c>
      <c r="I478">
        <f>IF(ROW()-2&gt;='参数'!$B$2,STDEV(OFFSET(F478,1-'参数'!$B$2,0,'参数'!$B$2,1))*SQRT('参数'!$B$3),"")</f>
        <v/>
      </c>
    </row>
    <row r="479">
      <c r="A479">
        <f>'对齐'!A479</f>
        <v/>
      </c>
      <c r="B479">
        <f>'对齐'!B479/'对齐'!B478-1</f>
        <v/>
      </c>
      <c r="C479">
        <f>'对齐'!B479/'对齐'!B$2*100</f>
        <v/>
      </c>
      <c r="D479">
        <f>'对齐'!B479/MAX('对齐'!B$2:'对齐'!B479)-1</f>
        <v/>
      </c>
      <c r="E479">
        <f>IF(ROW()-2&gt;='参数'!$B$2,STDEV(OFFSET(B479,1-'参数'!$B$2,0,'参数'!$B$2,1))*SQRT('参数'!$B$3),"")</f>
        <v/>
      </c>
      <c r="F479">
        <f>'对齐'!C479/'对齐'!C478-1</f>
        <v/>
      </c>
      <c r="G479">
        <f>'对齐'!C479/'对齐'!C$2*100</f>
        <v/>
      </c>
      <c r="H479">
        <f>'对齐'!C479/MAX('对齐'!C$2:'对齐'!C479)-1</f>
        <v/>
      </c>
      <c r="I479">
        <f>IF(ROW()-2&gt;='参数'!$B$2,STDEV(OFFSET(F479,1-'参数'!$B$2,0,'参数'!$B$2,1))*SQRT('参数'!$B$3),"")</f>
        <v/>
      </c>
    </row>
    <row r="480">
      <c r="A480">
        <f>'对齐'!A480</f>
        <v/>
      </c>
      <c r="B480">
        <f>'对齐'!B480/'对齐'!B479-1</f>
        <v/>
      </c>
      <c r="C480">
        <f>'对齐'!B480/'对齐'!B$2*100</f>
        <v/>
      </c>
      <c r="D480">
        <f>'对齐'!B480/MAX('对齐'!B$2:'对齐'!B480)-1</f>
        <v/>
      </c>
      <c r="E480">
        <f>IF(ROW()-2&gt;='参数'!$B$2,STDEV(OFFSET(B480,1-'参数'!$B$2,0,'参数'!$B$2,1))*SQRT('参数'!$B$3),"")</f>
        <v/>
      </c>
      <c r="F480">
        <f>'对齐'!C480/'对齐'!C479-1</f>
        <v/>
      </c>
      <c r="G480">
        <f>'对齐'!C480/'对齐'!C$2*100</f>
        <v/>
      </c>
      <c r="H480">
        <f>'对齐'!C480/MAX('对齐'!C$2:'对齐'!C480)-1</f>
        <v/>
      </c>
      <c r="I480">
        <f>IF(ROW()-2&gt;='参数'!$B$2,STDEV(OFFSET(F480,1-'参数'!$B$2,0,'参数'!$B$2,1))*SQRT('参数'!$B$3),"")</f>
        <v/>
      </c>
    </row>
    <row r="481">
      <c r="A481">
        <f>'对齐'!A481</f>
        <v/>
      </c>
      <c r="B481">
        <f>'对齐'!B481/'对齐'!B480-1</f>
        <v/>
      </c>
      <c r="C481">
        <f>'对齐'!B481/'对齐'!B$2*100</f>
        <v/>
      </c>
      <c r="D481">
        <f>'对齐'!B481/MAX('对齐'!B$2:'对齐'!B481)-1</f>
        <v/>
      </c>
      <c r="E481">
        <f>IF(ROW()-2&gt;='参数'!$B$2,STDEV(OFFSET(B481,1-'参数'!$B$2,0,'参数'!$B$2,1))*SQRT('参数'!$B$3),"")</f>
        <v/>
      </c>
      <c r="F481">
        <f>'对齐'!C481/'对齐'!C480-1</f>
        <v/>
      </c>
      <c r="G481">
        <f>'对齐'!C481/'对齐'!C$2*100</f>
        <v/>
      </c>
      <c r="H481">
        <f>'对齐'!C481/MAX('对齐'!C$2:'对齐'!C481)-1</f>
        <v/>
      </c>
      <c r="I481">
        <f>IF(ROW()-2&gt;='参数'!$B$2,STDEV(OFFSET(F481,1-'参数'!$B$2,0,'参数'!$B$2,1))*SQRT('参数'!$B$3),"")</f>
        <v/>
      </c>
    </row>
    <row r="482">
      <c r="A482">
        <f>'对齐'!A482</f>
        <v/>
      </c>
      <c r="B482">
        <f>'对齐'!B482/'对齐'!B481-1</f>
        <v/>
      </c>
      <c r="C482">
        <f>'对齐'!B482/'对齐'!B$2*100</f>
        <v/>
      </c>
      <c r="D482">
        <f>'对齐'!B482/MAX('对齐'!B$2:'对齐'!B482)-1</f>
        <v/>
      </c>
      <c r="E482">
        <f>IF(ROW()-2&gt;='参数'!$B$2,STDEV(OFFSET(B482,1-'参数'!$B$2,0,'参数'!$B$2,1))*SQRT('参数'!$B$3),"")</f>
        <v/>
      </c>
      <c r="F482">
        <f>'对齐'!C482/'对齐'!C481-1</f>
        <v/>
      </c>
      <c r="G482">
        <f>'对齐'!C482/'对齐'!C$2*100</f>
        <v/>
      </c>
      <c r="H482">
        <f>'对齐'!C482/MAX('对齐'!C$2:'对齐'!C482)-1</f>
        <v/>
      </c>
      <c r="I482">
        <f>IF(ROW()-2&gt;='参数'!$B$2,STDEV(OFFSET(F482,1-'参数'!$B$2,0,'参数'!$B$2,1))*SQRT('参数'!$B$3),"")</f>
        <v/>
      </c>
    </row>
    <row r="483">
      <c r="A483">
        <f>'对齐'!A483</f>
        <v/>
      </c>
      <c r="B483">
        <f>'对齐'!B483/'对齐'!B482-1</f>
        <v/>
      </c>
      <c r="C483">
        <f>'对齐'!B483/'对齐'!B$2*100</f>
        <v/>
      </c>
      <c r="D483">
        <f>'对齐'!B483/MAX('对齐'!B$2:'对齐'!B483)-1</f>
        <v/>
      </c>
      <c r="E483">
        <f>IF(ROW()-2&gt;='参数'!$B$2,STDEV(OFFSET(B483,1-'参数'!$B$2,0,'参数'!$B$2,1))*SQRT('参数'!$B$3),"")</f>
        <v/>
      </c>
      <c r="F483">
        <f>'对齐'!C483/'对齐'!C482-1</f>
        <v/>
      </c>
      <c r="G483">
        <f>'对齐'!C483/'对齐'!C$2*100</f>
        <v/>
      </c>
      <c r="H483">
        <f>'对齐'!C483/MAX('对齐'!C$2:'对齐'!C483)-1</f>
        <v/>
      </c>
      <c r="I483">
        <f>IF(ROW()-2&gt;='参数'!$B$2,STDEV(OFFSET(F483,1-'参数'!$B$2,0,'参数'!$B$2,1))*SQRT('参数'!$B$3),"")</f>
        <v/>
      </c>
    </row>
    <row r="484">
      <c r="A484">
        <f>'对齐'!A484</f>
        <v/>
      </c>
      <c r="B484">
        <f>'对齐'!B484/'对齐'!B483-1</f>
        <v/>
      </c>
      <c r="C484">
        <f>'对齐'!B484/'对齐'!B$2*100</f>
        <v/>
      </c>
      <c r="D484">
        <f>'对齐'!B484/MAX('对齐'!B$2:'对齐'!B484)-1</f>
        <v/>
      </c>
      <c r="E484">
        <f>IF(ROW()-2&gt;='参数'!$B$2,STDEV(OFFSET(B484,1-'参数'!$B$2,0,'参数'!$B$2,1))*SQRT('参数'!$B$3),"")</f>
        <v/>
      </c>
      <c r="F484">
        <f>'对齐'!C484/'对齐'!C483-1</f>
        <v/>
      </c>
      <c r="G484">
        <f>'对齐'!C484/'对齐'!C$2*100</f>
        <v/>
      </c>
      <c r="H484">
        <f>'对齐'!C484/MAX('对齐'!C$2:'对齐'!C484)-1</f>
        <v/>
      </c>
      <c r="I484">
        <f>IF(ROW()-2&gt;='参数'!$B$2,STDEV(OFFSET(F484,1-'参数'!$B$2,0,'参数'!$B$2,1))*SQRT('参数'!$B$3),"")</f>
        <v/>
      </c>
    </row>
    <row r="485">
      <c r="A485">
        <f>'对齐'!A485</f>
        <v/>
      </c>
      <c r="B485">
        <f>'对齐'!B485/'对齐'!B484-1</f>
        <v/>
      </c>
      <c r="C485">
        <f>'对齐'!B485/'对齐'!B$2*100</f>
        <v/>
      </c>
      <c r="D485">
        <f>'对齐'!B485/MAX('对齐'!B$2:'对齐'!B485)-1</f>
        <v/>
      </c>
      <c r="E485">
        <f>IF(ROW()-2&gt;='参数'!$B$2,STDEV(OFFSET(B485,1-'参数'!$B$2,0,'参数'!$B$2,1))*SQRT('参数'!$B$3),"")</f>
        <v/>
      </c>
      <c r="F485">
        <f>'对齐'!C485/'对齐'!C484-1</f>
        <v/>
      </c>
      <c r="G485">
        <f>'对齐'!C485/'对齐'!C$2*100</f>
        <v/>
      </c>
      <c r="H485">
        <f>'对齐'!C485/MAX('对齐'!C$2:'对齐'!C485)-1</f>
        <v/>
      </c>
      <c r="I485">
        <f>IF(ROW()-2&gt;='参数'!$B$2,STDEV(OFFSET(F485,1-'参数'!$B$2,0,'参数'!$B$2,1))*SQRT('参数'!$B$3),"")</f>
        <v/>
      </c>
    </row>
    <row r="486">
      <c r="A486">
        <f>'对齐'!A486</f>
        <v/>
      </c>
      <c r="B486">
        <f>'对齐'!B486/'对齐'!B485-1</f>
        <v/>
      </c>
      <c r="C486">
        <f>'对齐'!B486/'对齐'!B$2*100</f>
        <v/>
      </c>
      <c r="D486">
        <f>'对齐'!B486/MAX('对齐'!B$2:'对齐'!B486)-1</f>
        <v/>
      </c>
      <c r="E486">
        <f>IF(ROW()-2&gt;='参数'!$B$2,STDEV(OFFSET(B486,1-'参数'!$B$2,0,'参数'!$B$2,1))*SQRT('参数'!$B$3),"")</f>
        <v/>
      </c>
      <c r="F486">
        <f>'对齐'!C486/'对齐'!C485-1</f>
        <v/>
      </c>
      <c r="G486">
        <f>'对齐'!C486/'对齐'!C$2*100</f>
        <v/>
      </c>
      <c r="H486">
        <f>'对齐'!C486/MAX('对齐'!C$2:'对齐'!C486)-1</f>
        <v/>
      </c>
      <c r="I486">
        <f>IF(ROW()-2&gt;='参数'!$B$2,STDEV(OFFSET(F486,1-'参数'!$B$2,0,'参数'!$B$2,1))*SQRT('参数'!$B$3),"")</f>
        <v/>
      </c>
    </row>
    <row r="487">
      <c r="A487">
        <f>'对齐'!A487</f>
        <v/>
      </c>
      <c r="B487">
        <f>'对齐'!B487/'对齐'!B486-1</f>
        <v/>
      </c>
      <c r="C487">
        <f>'对齐'!B487/'对齐'!B$2*100</f>
        <v/>
      </c>
      <c r="D487">
        <f>'对齐'!B487/MAX('对齐'!B$2:'对齐'!B487)-1</f>
        <v/>
      </c>
      <c r="E487">
        <f>IF(ROW()-2&gt;='参数'!$B$2,STDEV(OFFSET(B487,1-'参数'!$B$2,0,'参数'!$B$2,1))*SQRT('参数'!$B$3),"")</f>
        <v/>
      </c>
      <c r="F487">
        <f>'对齐'!C487/'对齐'!C486-1</f>
        <v/>
      </c>
      <c r="G487">
        <f>'对齐'!C487/'对齐'!C$2*100</f>
        <v/>
      </c>
      <c r="H487">
        <f>'对齐'!C487/MAX('对齐'!C$2:'对齐'!C487)-1</f>
        <v/>
      </c>
      <c r="I487">
        <f>IF(ROW()-2&gt;='参数'!$B$2,STDEV(OFFSET(F487,1-'参数'!$B$2,0,'参数'!$B$2,1))*SQRT('参数'!$B$3),"")</f>
        <v/>
      </c>
    </row>
    <row r="488">
      <c r="A488">
        <f>'对齐'!A488</f>
        <v/>
      </c>
      <c r="B488">
        <f>'对齐'!B488/'对齐'!B487-1</f>
        <v/>
      </c>
      <c r="C488">
        <f>'对齐'!B488/'对齐'!B$2*100</f>
        <v/>
      </c>
      <c r="D488">
        <f>'对齐'!B488/MAX('对齐'!B$2:'对齐'!B488)-1</f>
        <v/>
      </c>
      <c r="E488">
        <f>IF(ROW()-2&gt;='参数'!$B$2,STDEV(OFFSET(B488,1-'参数'!$B$2,0,'参数'!$B$2,1))*SQRT('参数'!$B$3),"")</f>
        <v/>
      </c>
      <c r="F488">
        <f>'对齐'!C488/'对齐'!C487-1</f>
        <v/>
      </c>
      <c r="G488">
        <f>'对齐'!C488/'对齐'!C$2*100</f>
        <v/>
      </c>
      <c r="H488">
        <f>'对齐'!C488/MAX('对齐'!C$2:'对齐'!C488)-1</f>
        <v/>
      </c>
      <c r="I488">
        <f>IF(ROW()-2&gt;='参数'!$B$2,STDEV(OFFSET(F488,1-'参数'!$B$2,0,'参数'!$B$2,1))*SQRT('参数'!$B$3),"")</f>
        <v/>
      </c>
    </row>
    <row r="489">
      <c r="A489">
        <f>'对齐'!A489</f>
        <v/>
      </c>
      <c r="B489">
        <f>'对齐'!B489/'对齐'!B488-1</f>
        <v/>
      </c>
      <c r="C489">
        <f>'对齐'!B489/'对齐'!B$2*100</f>
        <v/>
      </c>
      <c r="D489">
        <f>'对齐'!B489/MAX('对齐'!B$2:'对齐'!B489)-1</f>
        <v/>
      </c>
      <c r="E489">
        <f>IF(ROW()-2&gt;='参数'!$B$2,STDEV(OFFSET(B489,1-'参数'!$B$2,0,'参数'!$B$2,1))*SQRT('参数'!$B$3),"")</f>
        <v/>
      </c>
      <c r="F489">
        <f>'对齐'!C489/'对齐'!C488-1</f>
        <v/>
      </c>
      <c r="G489">
        <f>'对齐'!C489/'对齐'!C$2*100</f>
        <v/>
      </c>
      <c r="H489">
        <f>'对齐'!C489/MAX('对齐'!C$2:'对齐'!C489)-1</f>
        <v/>
      </c>
      <c r="I489">
        <f>IF(ROW()-2&gt;='参数'!$B$2,STDEV(OFFSET(F489,1-'参数'!$B$2,0,'参数'!$B$2,1))*SQRT('参数'!$B$3),"")</f>
        <v/>
      </c>
    </row>
    <row r="490">
      <c r="A490">
        <f>'对齐'!A490</f>
        <v/>
      </c>
      <c r="B490">
        <f>'对齐'!B490/'对齐'!B489-1</f>
        <v/>
      </c>
      <c r="C490">
        <f>'对齐'!B490/'对齐'!B$2*100</f>
        <v/>
      </c>
      <c r="D490">
        <f>'对齐'!B490/MAX('对齐'!B$2:'对齐'!B490)-1</f>
        <v/>
      </c>
      <c r="E490">
        <f>IF(ROW()-2&gt;='参数'!$B$2,STDEV(OFFSET(B490,1-'参数'!$B$2,0,'参数'!$B$2,1))*SQRT('参数'!$B$3),"")</f>
        <v/>
      </c>
      <c r="F490">
        <f>'对齐'!C490/'对齐'!C489-1</f>
        <v/>
      </c>
      <c r="G490">
        <f>'对齐'!C490/'对齐'!C$2*100</f>
        <v/>
      </c>
      <c r="H490">
        <f>'对齐'!C490/MAX('对齐'!C$2:'对齐'!C490)-1</f>
        <v/>
      </c>
      <c r="I490">
        <f>IF(ROW()-2&gt;='参数'!$B$2,STDEV(OFFSET(F490,1-'参数'!$B$2,0,'参数'!$B$2,1))*SQRT('参数'!$B$3),"")</f>
        <v/>
      </c>
    </row>
    <row r="491">
      <c r="A491">
        <f>'对齐'!A491</f>
        <v/>
      </c>
      <c r="B491">
        <f>'对齐'!B491/'对齐'!B490-1</f>
        <v/>
      </c>
      <c r="C491">
        <f>'对齐'!B491/'对齐'!B$2*100</f>
        <v/>
      </c>
      <c r="D491">
        <f>'对齐'!B491/MAX('对齐'!B$2:'对齐'!B491)-1</f>
        <v/>
      </c>
      <c r="E491">
        <f>IF(ROW()-2&gt;='参数'!$B$2,STDEV(OFFSET(B491,1-'参数'!$B$2,0,'参数'!$B$2,1))*SQRT('参数'!$B$3),"")</f>
        <v/>
      </c>
      <c r="F491">
        <f>'对齐'!C491/'对齐'!C490-1</f>
        <v/>
      </c>
      <c r="G491">
        <f>'对齐'!C491/'对齐'!C$2*100</f>
        <v/>
      </c>
      <c r="H491">
        <f>'对齐'!C491/MAX('对齐'!C$2:'对齐'!C491)-1</f>
        <v/>
      </c>
      <c r="I491">
        <f>IF(ROW()-2&gt;='参数'!$B$2,STDEV(OFFSET(F491,1-'参数'!$B$2,0,'参数'!$B$2,1))*SQRT('参数'!$B$3),"")</f>
        <v/>
      </c>
    </row>
    <row r="492">
      <c r="A492">
        <f>'对齐'!A492</f>
        <v/>
      </c>
      <c r="B492">
        <f>'对齐'!B492/'对齐'!B491-1</f>
        <v/>
      </c>
      <c r="C492">
        <f>'对齐'!B492/'对齐'!B$2*100</f>
        <v/>
      </c>
      <c r="D492">
        <f>'对齐'!B492/MAX('对齐'!B$2:'对齐'!B492)-1</f>
        <v/>
      </c>
      <c r="E492">
        <f>IF(ROW()-2&gt;='参数'!$B$2,STDEV(OFFSET(B492,1-'参数'!$B$2,0,'参数'!$B$2,1))*SQRT('参数'!$B$3),"")</f>
        <v/>
      </c>
      <c r="F492">
        <f>'对齐'!C492/'对齐'!C491-1</f>
        <v/>
      </c>
      <c r="G492">
        <f>'对齐'!C492/'对齐'!C$2*100</f>
        <v/>
      </c>
      <c r="H492">
        <f>'对齐'!C492/MAX('对齐'!C$2:'对齐'!C492)-1</f>
        <v/>
      </c>
      <c r="I492">
        <f>IF(ROW()-2&gt;='参数'!$B$2,STDEV(OFFSET(F492,1-'参数'!$B$2,0,'参数'!$B$2,1))*SQRT('参数'!$B$3),"")</f>
        <v/>
      </c>
    </row>
    <row r="493">
      <c r="A493">
        <f>'对齐'!A493</f>
        <v/>
      </c>
      <c r="B493">
        <f>'对齐'!B493/'对齐'!B492-1</f>
        <v/>
      </c>
      <c r="C493">
        <f>'对齐'!B493/'对齐'!B$2*100</f>
        <v/>
      </c>
      <c r="D493">
        <f>'对齐'!B493/MAX('对齐'!B$2:'对齐'!B493)-1</f>
        <v/>
      </c>
      <c r="E493">
        <f>IF(ROW()-2&gt;='参数'!$B$2,STDEV(OFFSET(B493,1-'参数'!$B$2,0,'参数'!$B$2,1))*SQRT('参数'!$B$3),"")</f>
        <v/>
      </c>
      <c r="F493">
        <f>'对齐'!C493/'对齐'!C492-1</f>
        <v/>
      </c>
      <c r="G493">
        <f>'对齐'!C493/'对齐'!C$2*100</f>
        <v/>
      </c>
      <c r="H493">
        <f>'对齐'!C493/MAX('对齐'!C$2:'对齐'!C493)-1</f>
        <v/>
      </c>
      <c r="I493">
        <f>IF(ROW()-2&gt;='参数'!$B$2,STDEV(OFFSET(F493,1-'参数'!$B$2,0,'参数'!$B$2,1))*SQRT('参数'!$B$3),"")</f>
        <v/>
      </c>
    </row>
    <row r="494">
      <c r="A494">
        <f>'对齐'!A494</f>
        <v/>
      </c>
      <c r="B494">
        <f>'对齐'!B494/'对齐'!B493-1</f>
        <v/>
      </c>
      <c r="C494">
        <f>'对齐'!B494/'对齐'!B$2*100</f>
        <v/>
      </c>
      <c r="D494">
        <f>'对齐'!B494/MAX('对齐'!B$2:'对齐'!B494)-1</f>
        <v/>
      </c>
      <c r="E494">
        <f>IF(ROW()-2&gt;='参数'!$B$2,STDEV(OFFSET(B494,1-'参数'!$B$2,0,'参数'!$B$2,1))*SQRT('参数'!$B$3),"")</f>
        <v/>
      </c>
      <c r="F494">
        <f>'对齐'!C494/'对齐'!C493-1</f>
        <v/>
      </c>
      <c r="G494">
        <f>'对齐'!C494/'对齐'!C$2*100</f>
        <v/>
      </c>
      <c r="H494">
        <f>'对齐'!C494/MAX('对齐'!C$2:'对齐'!C494)-1</f>
        <v/>
      </c>
      <c r="I494">
        <f>IF(ROW()-2&gt;='参数'!$B$2,STDEV(OFFSET(F494,1-'参数'!$B$2,0,'参数'!$B$2,1))*SQRT('参数'!$B$3),"")</f>
        <v/>
      </c>
    </row>
    <row r="495">
      <c r="A495">
        <f>'对齐'!A495</f>
        <v/>
      </c>
      <c r="B495">
        <f>'对齐'!B495/'对齐'!B494-1</f>
        <v/>
      </c>
      <c r="C495">
        <f>'对齐'!B495/'对齐'!B$2*100</f>
        <v/>
      </c>
      <c r="D495">
        <f>'对齐'!B495/MAX('对齐'!B$2:'对齐'!B495)-1</f>
        <v/>
      </c>
      <c r="E495">
        <f>IF(ROW()-2&gt;='参数'!$B$2,STDEV(OFFSET(B495,1-'参数'!$B$2,0,'参数'!$B$2,1))*SQRT('参数'!$B$3),"")</f>
        <v/>
      </c>
      <c r="F495">
        <f>'对齐'!C495/'对齐'!C494-1</f>
        <v/>
      </c>
      <c r="G495">
        <f>'对齐'!C495/'对齐'!C$2*100</f>
        <v/>
      </c>
      <c r="H495">
        <f>'对齐'!C495/MAX('对齐'!C$2:'对齐'!C495)-1</f>
        <v/>
      </c>
      <c r="I495">
        <f>IF(ROW()-2&gt;='参数'!$B$2,STDEV(OFFSET(F495,1-'参数'!$B$2,0,'参数'!$B$2,1))*SQRT('参数'!$B$3),"")</f>
        <v/>
      </c>
    </row>
    <row r="496">
      <c r="A496">
        <f>'对齐'!A496</f>
        <v/>
      </c>
      <c r="B496">
        <f>'对齐'!B496/'对齐'!B495-1</f>
        <v/>
      </c>
      <c r="C496">
        <f>'对齐'!B496/'对齐'!B$2*100</f>
        <v/>
      </c>
      <c r="D496">
        <f>'对齐'!B496/MAX('对齐'!B$2:'对齐'!B496)-1</f>
        <v/>
      </c>
      <c r="E496">
        <f>IF(ROW()-2&gt;='参数'!$B$2,STDEV(OFFSET(B496,1-'参数'!$B$2,0,'参数'!$B$2,1))*SQRT('参数'!$B$3),"")</f>
        <v/>
      </c>
      <c r="F496">
        <f>'对齐'!C496/'对齐'!C495-1</f>
        <v/>
      </c>
      <c r="G496">
        <f>'对齐'!C496/'对齐'!C$2*100</f>
        <v/>
      </c>
      <c r="H496">
        <f>'对齐'!C496/MAX('对齐'!C$2:'对齐'!C496)-1</f>
        <v/>
      </c>
      <c r="I496">
        <f>IF(ROW()-2&gt;='参数'!$B$2,STDEV(OFFSET(F496,1-'参数'!$B$2,0,'参数'!$B$2,1))*SQRT('参数'!$B$3),"")</f>
        <v/>
      </c>
    </row>
    <row r="497">
      <c r="A497">
        <f>'对齐'!A497</f>
        <v/>
      </c>
      <c r="B497">
        <f>'对齐'!B497/'对齐'!B496-1</f>
        <v/>
      </c>
      <c r="C497">
        <f>'对齐'!B497/'对齐'!B$2*100</f>
        <v/>
      </c>
      <c r="D497">
        <f>'对齐'!B497/MAX('对齐'!B$2:'对齐'!B497)-1</f>
        <v/>
      </c>
      <c r="E497">
        <f>IF(ROW()-2&gt;='参数'!$B$2,STDEV(OFFSET(B497,1-'参数'!$B$2,0,'参数'!$B$2,1))*SQRT('参数'!$B$3),"")</f>
        <v/>
      </c>
      <c r="F497">
        <f>'对齐'!C497/'对齐'!C496-1</f>
        <v/>
      </c>
      <c r="G497">
        <f>'对齐'!C497/'对齐'!C$2*100</f>
        <v/>
      </c>
      <c r="H497">
        <f>'对齐'!C497/MAX('对齐'!C$2:'对齐'!C497)-1</f>
        <v/>
      </c>
      <c r="I497">
        <f>IF(ROW()-2&gt;='参数'!$B$2,STDEV(OFFSET(F497,1-'参数'!$B$2,0,'参数'!$B$2,1))*SQRT('参数'!$B$3),"")</f>
        <v/>
      </c>
    </row>
    <row r="498">
      <c r="A498">
        <f>'对齐'!A498</f>
        <v/>
      </c>
      <c r="B498">
        <f>'对齐'!B498/'对齐'!B497-1</f>
        <v/>
      </c>
      <c r="C498">
        <f>'对齐'!B498/'对齐'!B$2*100</f>
        <v/>
      </c>
      <c r="D498">
        <f>'对齐'!B498/MAX('对齐'!B$2:'对齐'!B498)-1</f>
        <v/>
      </c>
      <c r="E498">
        <f>IF(ROW()-2&gt;='参数'!$B$2,STDEV(OFFSET(B498,1-'参数'!$B$2,0,'参数'!$B$2,1))*SQRT('参数'!$B$3),"")</f>
        <v/>
      </c>
      <c r="F498">
        <f>'对齐'!C498/'对齐'!C497-1</f>
        <v/>
      </c>
      <c r="G498">
        <f>'对齐'!C498/'对齐'!C$2*100</f>
        <v/>
      </c>
      <c r="H498">
        <f>'对齐'!C498/MAX('对齐'!C$2:'对齐'!C498)-1</f>
        <v/>
      </c>
      <c r="I498">
        <f>IF(ROW()-2&gt;='参数'!$B$2,STDEV(OFFSET(F498,1-'参数'!$B$2,0,'参数'!$B$2,1))*SQRT('参数'!$B$3),"")</f>
        <v/>
      </c>
    </row>
    <row r="499">
      <c r="A499">
        <f>'对齐'!A499</f>
        <v/>
      </c>
      <c r="B499">
        <f>'对齐'!B499/'对齐'!B498-1</f>
        <v/>
      </c>
      <c r="C499">
        <f>'对齐'!B499/'对齐'!B$2*100</f>
        <v/>
      </c>
      <c r="D499">
        <f>'对齐'!B499/MAX('对齐'!B$2:'对齐'!B499)-1</f>
        <v/>
      </c>
      <c r="E499">
        <f>IF(ROW()-2&gt;='参数'!$B$2,STDEV(OFFSET(B499,1-'参数'!$B$2,0,'参数'!$B$2,1))*SQRT('参数'!$B$3),"")</f>
        <v/>
      </c>
      <c r="F499">
        <f>'对齐'!C499/'对齐'!C498-1</f>
        <v/>
      </c>
      <c r="G499">
        <f>'对齐'!C499/'对齐'!C$2*100</f>
        <v/>
      </c>
      <c r="H499">
        <f>'对齐'!C499/MAX('对齐'!C$2:'对齐'!C499)-1</f>
        <v/>
      </c>
      <c r="I499">
        <f>IF(ROW()-2&gt;='参数'!$B$2,STDEV(OFFSET(F499,1-'参数'!$B$2,0,'参数'!$B$2,1))*SQRT('参数'!$B$3),"")</f>
        <v/>
      </c>
    </row>
    <row r="500">
      <c r="A500">
        <f>'对齐'!A500</f>
        <v/>
      </c>
      <c r="B500">
        <f>'对齐'!B500/'对齐'!B499-1</f>
        <v/>
      </c>
      <c r="C500">
        <f>'对齐'!B500/'对齐'!B$2*100</f>
        <v/>
      </c>
      <c r="D500">
        <f>'对齐'!B500/MAX('对齐'!B$2:'对齐'!B500)-1</f>
        <v/>
      </c>
      <c r="E500">
        <f>IF(ROW()-2&gt;='参数'!$B$2,STDEV(OFFSET(B500,1-'参数'!$B$2,0,'参数'!$B$2,1))*SQRT('参数'!$B$3),"")</f>
        <v/>
      </c>
      <c r="F500">
        <f>'对齐'!C500/'对齐'!C499-1</f>
        <v/>
      </c>
      <c r="G500">
        <f>'对齐'!C500/'对齐'!C$2*100</f>
        <v/>
      </c>
      <c r="H500">
        <f>'对齐'!C500/MAX('对齐'!C$2:'对齐'!C500)-1</f>
        <v/>
      </c>
      <c r="I500">
        <f>IF(ROW()-2&gt;='参数'!$B$2,STDEV(OFFSET(F500,1-'参数'!$B$2,0,'参数'!$B$2,1))*SQRT('参数'!$B$3),"")</f>
        <v/>
      </c>
    </row>
    <row r="501">
      <c r="A501">
        <f>'对齐'!A501</f>
        <v/>
      </c>
      <c r="B501">
        <f>'对齐'!B501/'对齐'!B500-1</f>
        <v/>
      </c>
      <c r="C501">
        <f>'对齐'!B501/'对齐'!B$2*100</f>
        <v/>
      </c>
      <c r="D501">
        <f>'对齐'!B501/MAX('对齐'!B$2:'对齐'!B501)-1</f>
        <v/>
      </c>
      <c r="E501">
        <f>IF(ROW()-2&gt;='参数'!$B$2,STDEV(OFFSET(B501,1-'参数'!$B$2,0,'参数'!$B$2,1))*SQRT('参数'!$B$3),"")</f>
        <v/>
      </c>
      <c r="F501">
        <f>'对齐'!C501/'对齐'!C500-1</f>
        <v/>
      </c>
      <c r="G501">
        <f>'对齐'!C501/'对齐'!C$2*100</f>
        <v/>
      </c>
      <c r="H501">
        <f>'对齐'!C501/MAX('对齐'!C$2:'对齐'!C501)-1</f>
        <v/>
      </c>
      <c r="I501">
        <f>IF(ROW()-2&gt;='参数'!$B$2,STDEV(OFFSET(F501,1-'参数'!$B$2,0,'参数'!$B$2,1))*SQRT('参数'!$B$3),"")</f>
        <v/>
      </c>
    </row>
    <row r="502">
      <c r="A502">
        <f>'对齐'!A502</f>
        <v/>
      </c>
      <c r="B502">
        <f>'对齐'!B502/'对齐'!B501-1</f>
        <v/>
      </c>
      <c r="C502">
        <f>'对齐'!B502/'对齐'!B$2*100</f>
        <v/>
      </c>
      <c r="D502">
        <f>'对齐'!B502/MAX('对齐'!B$2:'对齐'!B502)-1</f>
        <v/>
      </c>
      <c r="E502">
        <f>IF(ROW()-2&gt;='参数'!$B$2,STDEV(OFFSET(B502,1-'参数'!$B$2,0,'参数'!$B$2,1))*SQRT('参数'!$B$3),"")</f>
        <v/>
      </c>
      <c r="F502">
        <f>'对齐'!C502/'对齐'!C501-1</f>
        <v/>
      </c>
      <c r="G502">
        <f>'对齐'!C502/'对齐'!C$2*100</f>
        <v/>
      </c>
      <c r="H502">
        <f>'对齐'!C502/MAX('对齐'!C$2:'对齐'!C502)-1</f>
        <v/>
      </c>
      <c r="I502">
        <f>IF(ROW()-2&gt;='参数'!$B$2,STDEV(OFFSET(F502,1-'参数'!$B$2,0,'参数'!$B$2,1))*SQRT('参数'!$B$3),"")</f>
        <v/>
      </c>
    </row>
    <row r="503">
      <c r="A503">
        <f>'对齐'!A503</f>
        <v/>
      </c>
      <c r="B503">
        <f>'对齐'!B503/'对齐'!B502-1</f>
        <v/>
      </c>
      <c r="C503">
        <f>'对齐'!B503/'对齐'!B$2*100</f>
        <v/>
      </c>
      <c r="D503">
        <f>'对齐'!B503/MAX('对齐'!B$2:'对齐'!B503)-1</f>
        <v/>
      </c>
      <c r="E503">
        <f>IF(ROW()-2&gt;='参数'!$B$2,STDEV(OFFSET(B503,1-'参数'!$B$2,0,'参数'!$B$2,1))*SQRT('参数'!$B$3),"")</f>
        <v/>
      </c>
      <c r="F503">
        <f>'对齐'!C503/'对齐'!C502-1</f>
        <v/>
      </c>
      <c r="G503">
        <f>'对齐'!C503/'对齐'!C$2*100</f>
        <v/>
      </c>
      <c r="H503">
        <f>'对齐'!C503/MAX('对齐'!C$2:'对齐'!C503)-1</f>
        <v/>
      </c>
      <c r="I503">
        <f>IF(ROW()-2&gt;='参数'!$B$2,STDEV(OFFSET(F503,1-'参数'!$B$2,0,'参数'!$B$2,1))*SQRT('参数'!$B$3),"")</f>
        <v/>
      </c>
    </row>
    <row r="504">
      <c r="A504">
        <f>'对齐'!A504</f>
        <v/>
      </c>
      <c r="B504">
        <f>'对齐'!B504/'对齐'!B503-1</f>
        <v/>
      </c>
      <c r="C504">
        <f>'对齐'!B504/'对齐'!B$2*100</f>
        <v/>
      </c>
      <c r="D504">
        <f>'对齐'!B504/MAX('对齐'!B$2:'对齐'!B504)-1</f>
        <v/>
      </c>
      <c r="E504">
        <f>IF(ROW()-2&gt;='参数'!$B$2,STDEV(OFFSET(B504,1-'参数'!$B$2,0,'参数'!$B$2,1))*SQRT('参数'!$B$3),"")</f>
        <v/>
      </c>
      <c r="F504">
        <f>'对齐'!C504/'对齐'!C503-1</f>
        <v/>
      </c>
      <c r="G504">
        <f>'对齐'!C504/'对齐'!C$2*100</f>
        <v/>
      </c>
      <c r="H504">
        <f>'对齐'!C504/MAX('对齐'!C$2:'对齐'!C504)-1</f>
        <v/>
      </c>
      <c r="I504">
        <f>IF(ROW()-2&gt;='参数'!$B$2,STDEV(OFFSET(F504,1-'参数'!$B$2,0,'参数'!$B$2,1))*SQRT('参数'!$B$3),"")</f>
        <v/>
      </c>
    </row>
    <row r="505">
      <c r="A505">
        <f>'对齐'!A505</f>
        <v/>
      </c>
      <c r="B505">
        <f>'对齐'!B505/'对齐'!B504-1</f>
        <v/>
      </c>
      <c r="C505">
        <f>'对齐'!B505/'对齐'!B$2*100</f>
        <v/>
      </c>
      <c r="D505">
        <f>'对齐'!B505/MAX('对齐'!B$2:'对齐'!B505)-1</f>
        <v/>
      </c>
      <c r="E505">
        <f>IF(ROW()-2&gt;='参数'!$B$2,STDEV(OFFSET(B505,1-'参数'!$B$2,0,'参数'!$B$2,1))*SQRT('参数'!$B$3),"")</f>
        <v/>
      </c>
      <c r="F505">
        <f>'对齐'!C505/'对齐'!C504-1</f>
        <v/>
      </c>
      <c r="G505">
        <f>'对齐'!C505/'对齐'!C$2*100</f>
        <v/>
      </c>
      <c r="H505">
        <f>'对齐'!C505/MAX('对齐'!C$2:'对齐'!C505)-1</f>
        <v/>
      </c>
      <c r="I505">
        <f>IF(ROW()-2&gt;='参数'!$B$2,STDEV(OFFSET(F505,1-'参数'!$B$2,0,'参数'!$B$2,1))*SQRT('参数'!$B$3),"")</f>
        <v/>
      </c>
    </row>
    <row r="506">
      <c r="A506">
        <f>'对齐'!A506</f>
        <v/>
      </c>
      <c r="B506">
        <f>'对齐'!B506/'对齐'!B505-1</f>
        <v/>
      </c>
      <c r="C506">
        <f>'对齐'!B506/'对齐'!B$2*100</f>
        <v/>
      </c>
      <c r="D506">
        <f>'对齐'!B506/MAX('对齐'!B$2:'对齐'!B506)-1</f>
        <v/>
      </c>
      <c r="E506">
        <f>IF(ROW()-2&gt;='参数'!$B$2,STDEV(OFFSET(B506,1-'参数'!$B$2,0,'参数'!$B$2,1))*SQRT('参数'!$B$3),"")</f>
        <v/>
      </c>
      <c r="F506">
        <f>'对齐'!C506/'对齐'!C505-1</f>
        <v/>
      </c>
      <c r="G506">
        <f>'对齐'!C506/'对齐'!C$2*100</f>
        <v/>
      </c>
      <c r="H506">
        <f>'对齐'!C506/MAX('对齐'!C$2:'对齐'!C506)-1</f>
        <v/>
      </c>
      <c r="I506">
        <f>IF(ROW()-2&gt;='参数'!$B$2,STDEV(OFFSET(F506,1-'参数'!$B$2,0,'参数'!$B$2,1))*SQRT('参数'!$B$3),"")</f>
        <v/>
      </c>
    </row>
    <row r="507">
      <c r="A507">
        <f>'对齐'!A507</f>
        <v/>
      </c>
      <c r="B507">
        <f>'对齐'!B507/'对齐'!B506-1</f>
        <v/>
      </c>
      <c r="C507">
        <f>'对齐'!B507/'对齐'!B$2*100</f>
        <v/>
      </c>
      <c r="D507">
        <f>'对齐'!B507/MAX('对齐'!B$2:'对齐'!B507)-1</f>
        <v/>
      </c>
      <c r="E507">
        <f>IF(ROW()-2&gt;='参数'!$B$2,STDEV(OFFSET(B507,1-'参数'!$B$2,0,'参数'!$B$2,1))*SQRT('参数'!$B$3),"")</f>
        <v/>
      </c>
      <c r="F507">
        <f>'对齐'!C507/'对齐'!C506-1</f>
        <v/>
      </c>
      <c r="G507">
        <f>'对齐'!C507/'对齐'!C$2*100</f>
        <v/>
      </c>
      <c r="H507">
        <f>'对齐'!C507/MAX('对齐'!C$2:'对齐'!C507)-1</f>
        <v/>
      </c>
      <c r="I507">
        <f>IF(ROW()-2&gt;='参数'!$B$2,STDEV(OFFSET(F507,1-'参数'!$B$2,0,'参数'!$B$2,1))*SQRT('参数'!$B$3),"")</f>
        <v/>
      </c>
    </row>
    <row r="508">
      <c r="A508">
        <f>'对齐'!A508</f>
        <v/>
      </c>
      <c r="B508">
        <f>'对齐'!B508/'对齐'!B507-1</f>
        <v/>
      </c>
      <c r="C508">
        <f>'对齐'!B508/'对齐'!B$2*100</f>
        <v/>
      </c>
      <c r="D508">
        <f>'对齐'!B508/MAX('对齐'!B$2:'对齐'!B508)-1</f>
        <v/>
      </c>
      <c r="E508">
        <f>IF(ROW()-2&gt;='参数'!$B$2,STDEV(OFFSET(B508,1-'参数'!$B$2,0,'参数'!$B$2,1))*SQRT('参数'!$B$3),"")</f>
        <v/>
      </c>
      <c r="F508">
        <f>'对齐'!C508/'对齐'!C507-1</f>
        <v/>
      </c>
      <c r="G508">
        <f>'对齐'!C508/'对齐'!C$2*100</f>
        <v/>
      </c>
      <c r="H508">
        <f>'对齐'!C508/MAX('对齐'!C$2:'对齐'!C508)-1</f>
        <v/>
      </c>
      <c r="I508">
        <f>IF(ROW()-2&gt;='参数'!$B$2,STDEV(OFFSET(F508,1-'参数'!$B$2,0,'参数'!$B$2,1))*SQRT('参数'!$B$3),"")</f>
        <v/>
      </c>
    </row>
    <row r="509">
      <c r="A509">
        <f>'对齐'!A509</f>
        <v/>
      </c>
      <c r="B509">
        <f>'对齐'!B509/'对齐'!B508-1</f>
        <v/>
      </c>
      <c r="C509">
        <f>'对齐'!B509/'对齐'!B$2*100</f>
        <v/>
      </c>
      <c r="D509">
        <f>'对齐'!B509/MAX('对齐'!B$2:'对齐'!B509)-1</f>
        <v/>
      </c>
      <c r="E509">
        <f>IF(ROW()-2&gt;='参数'!$B$2,STDEV(OFFSET(B509,1-'参数'!$B$2,0,'参数'!$B$2,1))*SQRT('参数'!$B$3),"")</f>
        <v/>
      </c>
      <c r="F509">
        <f>'对齐'!C509/'对齐'!C508-1</f>
        <v/>
      </c>
      <c r="G509">
        <f>'对齐'!C509/'对齐'!C$2*100</f>
        <v/>
      </c>
      <c r="H509">
        <f>'对齐'!C509/MAX('对齐'!C$2:'对齐'!C509)-1</f>
        <v/>
      </c>
      <c r="I509">
        <f>IF(ROW()-2&gt;='参数'!$B$2,STDEV(OFFSET(F509,1-'参数'!$B$2,0,'参数'!$B$2,1))*SQRT('参数'!$B$3),"")</f>
        <v/>
      </c>
    </row>
    <row r="510">
      <c r="A510">
        <f>'对齐'!A510</f>
        <v/>
      </c>
      <c r="B510">
        <f>'对齐'!B510/'对齐'!B509-1</f>
        <v/>
      </c>
      <c r="C510">
        <f>'对齐'!B510/'对齐'!B$2*100</f>
        <v/>
      </c>
      <c r="D510">
        <f>'对齐'!B510/MAX('对齐'!B$2:'对齐'!B510)-1</f>
        <v/>
      </c>
      <c r="E510">
        <f>IF(ROW()-2&gt;='参数'!$B$2,STDEV(OFFSET(B510,1-'参数'!$B$2,0,'参数'!$B$2,1))*SQRT('参数'!$B$3),"")</f>
        <v/>
      </c>
      <c r="F510">
        <f>'对齐'!C510/'对齐'!C509-1</f>
        <v/>
      </c>
      <c r="G510">
        <f>'对齐'!C510/'对齐'!C$2*100</f>
        <v/>
      </c>
      <c r="H510">
        <f>'对齐'!C510/MAX('对齐'!C$2:'对齐'!C510)-1</f>
        <v/>
      </c>
      <c r="I510">
        <f>IF(ROW()-2&gt;='参数'!$B$2,STDEV(OFFSET(F510,1-'参数'!$B$2,0,'参数'!$B$2,1))*SQRT('参数'!$B$3),"")</f>
        <v/>
      </c>
    </row>
    <row r="511">
      <c r="A511">
        <f>'对齐'!A511</f>
        <v/>
      </c>
      <c r="B511">
        <f>'对齐'!B511/'对齐'!B510-1</f>
        <v/>
      </c>
      <c r="C511">
        <f>'对齐'!B511/'对齐'!B$2*100</f>
        <v/>
      </c>
      <c r="D511">
        <f>'对齐'!B511/MAX('对齐'!B$2:'对齐'!B511)-1</f>
        <v/>
      </c>
      <c r="E511">
        <f>IF(ROW()-2&gt;='参数'!$B$2,STDEV(OFFSET(B511,1-'参数'!$B$2,0,'参数'!$B$2,1))*SQRT('参数'!$B$3),"")</f>
        <v/>
      </c>
      <c r="F511">
        <f>'对齐'!C511/'对齐'!C510-1</f>
        <v/>
      </c>
      <c r="G511">
        <f>'对齐'!C511/'对齐'!C$2*100</f>
        <v/>
      </c>
      <c r="H511">
        <f>'对齐'!C511/MAX('对齐'!C$2:'对齐'!C511)-1</f>
        <v/>
      </c>
      <c r="I511">
        <f>IF(ROW()-2&gt;='参数'!$B$2,STDEV(OFFSET(F511,1-'参数'!$B$2,0,'参数'!$B$2,1))*SQRT('参数'!$B$3),"")</f>
        <v/>
      </c>
    </row>
    <row r="512">
      <c r="A512">
        <f>'对齐'!A512</f>
        <v/>
      </c>
      <c r="B512">
        <f>'对齐'!B512/'对齐'!B511-1</f>
        <v/>
      </c>
      <c r="C512">
        <f>'对齐'!B512/'对齐'!B$2*100</f>
        <v/>
      </c>
      <c r="D512">
        <f>'对齐'!B512/MAX('对齐'!B$2:'对齐'!B512)-1</f>
        <v/>
      </c>
      <c r="E512">
        <f>IF(ROW()-2&gt;='参数'!$B$2,STDEV(OFFSET(B512,1-'参数'!$B$2,0,'参数'!$B$2,1))*SQRT('参数'!$B$3),"")</f>
        <v/>
      </c>
      <c r="F512">
        <f>'对齐'!C512/'对齐'!C511-1</f>
        <v/>
      </c>
      <c r="G512">
        <f>'对齐'!C512/'对齐'!C$2*100</f>
        <v/>
      </c>
      <c r="H512">
        <f>'对齐'!C512/MAX('对齐'!C$2:'对齐'!C512)-1</f>
        <v/>
      </c>
      <c r="I512">
        <f>IF(ROW()-2&gt;='参数'!$B$2,STDEV(OFFSET(F512,1-'参数'!$B$2,0,'参数'!$B$2,1))*SQRT('参数'!$B$3),"")</f>
        <v/>
      </c>
    </row>
    <row r="513">
      <c r="A513">
        <f>'对齐'!A513</f>
        <v/>
      </c>
      <c r="B513">
        <f>'对齐'!B513/'对齐'!B512-1</f>
        <v/>
      </c>
      <c r="C513">
        <f>'对齐'!B513/'对齐'!B$2*100</f>
        <v/>
      </c>
      <c r="D513">
        <f>'对齐'!B513/MAX('对齐'!B$2:'对齐'!B513)-1</f>
        <v/>
      </c>
      <c r="E513">
        <f>IF(ROW()-2&gt;='参数'!$B$2,STDEV(OFFSET(B513,1-'参数'!$B$2,0,'参数'!$B$2,1))*SQRT('参数'!$B$3),"")</f>
        <v/>
      </c>
      <c r="F513">
        <f>'对齐'!C513/'对齐'!C512-1</f>
        <v/>
      </c>
      <c r="G513">
        <f>'对齐'!C513/'对齐'!C$2*100</f>
        <v/>
      </c>
      <c r="H513">
        <f>'对齐'!C513/MAX('对齐'!C$2:'对齐'!C513)-1</f>
        <v/>
      </c>
      <c r="I513">
        <f>IF(ROW()-2&gt;='参数'!$B$2,STDEV(OFFSET(F513,1-'参数'!$B$2,0,'参数'!$B$2,1))*SQRT('参数'!$B$3),"")</f>
        <v/>
      </c>
    </row>
    <row r="514">
      <c r="A514">
        <f>'对齐'!A514</f>
        <v/>
      </c>
      <c r="B514">
        <f>'对齐'!B514/'对齐'!B513-1</f>
        <v/>
      </c>
      <c r="C514">
        <f>'对齐'!B514/'对齐'!B$2*100</f>
        <v/>
      </c>
      <c r="D514">
        <f>'对齐'!B514/MAX('对齐'!B$2:'对齐'!B514)-1</f>
        <v/>
      </c>
      <c r="E514">
        <f>IF(ROW()-2&gt;='参数'!$B$2,STDEV(OFFSET(B514,1-'参数'!$B$2,0,'参数'!$B$2,1))*SQRT('参数'!$B$3),"")</f>
        <v/>
      </c>
      <c r="F514">
        <f>'对齐'!C514/'对齐'!C513-1</f>
        <v/>
      </c>
      <c r="G514">
        <f>'对齐'!C514/'对齐'!C$2*100</f>
        <v/>
      </c>
      <c r="H514">
        <f>'对齐'!C514/MAX('对齐'!C$2:'对齐'!C514)-1</f>
        <v/>
      </c>
      <c r="I514">
        <f>IF(ROW()-2&gt;='参数'!$B$2,STDEV(OFFSET(F514,1-'参数'!$B$2,0,'参数'!$B$2,1))*SQRT('参数'!$B$3),"")</f>
        <v/>
      </c>
    </row>
    <row r="515">
      <c r="A515">
        <f>'对齐'!A515</f>
        <v/>
      </c>
      <c r="B515">
        <f>'对齐'!B515/'对齐'!B514-1</f>
        <v/>
      </c>
      <c r="C515">
        <f>'对齐'!B515/'对齐'!B$2*100</f>
        <v/>
      </c>
      <c r="D515">
        <f>'对齐'!B515/MAX('对齐'!B$2:'对齐'!B515)-1</f>
        <v/>
      </c>
      <c r="E515">
        <f>IF(ROW()-2&gt;='参数'!$B$2,STDEV(OFFSET(B515,1-'参数'!$B$2,0,'参数'!$B$2,1))*SQRT('参数'!$B$3),"")</f>
        <v/>
      </c>
      <c r="F515">
        <f>'对齐'!C515/'对齐'!C514-1</f>
        <v/>
      </c>
      <c r="G515">
        <f>'对齐'!C515/'对齐'!C$2*100</f>
        <v/>
      </c>
      <c r="H515">
        <f>'对齐'!C515/MAX('对齐'!C$2:'对齐'!C515)-1</f>
        <v/>
      </c>
      <c r="I515">
        <f>IF(ROW()-2&gt;='参数'!$B$2,STDEV(OFFSET(F515,1-'参数'!$B$2,0,'参数'!$B$2,1))*SQRT('参数'!$B$3),"")</f>
        <v/>
      </c>
    </row>
    <row r="516">
      <c r="A516">
        <f>'对齐'!A516</f>
        <v/>
      </c>
      <c r="B516">
        <f>'对齐'!B516/'对齐'!B515-1</f>
        <v/>
      </c>
      <c r="C516">
        <f>'对齐'!B516/'对齐'!B$2*100</f>
        <v/>
      </c>
      <c r="D516">
        <f>'对齐'!B516/MAX('对齐'!B$2:'对齐'!B516)-1</f>
        <v/>
      </c>
      <c r="E516">
        <f>IF(ROW()-2&gt;='参数'!$B$2,STDEV(OFFSET(B516,1-'参数'!$B$2,0,'参数'!$B$2,1))*SQRT('参数'!$B$3),"")</f>
        <v/>
      </c>
      <c r="F516">
        <f>'对齐'!C516/'对齐'!C515-1</f>
        <v/>
      </c>
      <c r="G516">
        <f>'对齐'!C516/'对齐'!C$2*100</f>
        <v/>
      </c>
      <c r="H516">
        <f>'对齐'!C516/MAX('对齐'!C$2:'对齐'!C516)-1</f>
        <v/>
      </c>
      <c r="I516">
        <f>IF(ROW()-2&gt;='参数'!$B$2,STDEV(OFFSET(F516,1-'参数'!$B$2,0,'参数'!$B$2,1))*SQRT('参数'!$B$3),"")</f>
        <v/>
      </c>
    </row>
    <row r="517">
      <c r="A517">
        <f>'对齐'!A517</f>
        <v/>
      </c>
      <c r="B517">
        <f>'对齐'!B517/'对齐'!B516-1</f>
        <v/>
      </c>
      <c r="C517">
        <f>'对齐'!B517/'对齐'!B$2*100</f>
        <v/>
      </c>
      <c r="D517">
        <f>'对齐'!B517/MAX('对齐'!B$2:'对齐'!B517)-1</f>
        <v/>
      </c>
      <c r="E517">
        <f>IF(ROW()-2&gt;='参数'!$B$2,STDEV(OFFSET(B517,1-'参数'!$B$2,0,'参数'!$B$2,1))*SQRT('参数'!$B$3),"")</f>
        <v/>
      </c>
      <c r="F517">
        <f>'对齐'!C517/'对齐'!C516-1</f>
        <v/>
      </c>
      <c r="G517">
        <f>'对齐'!C517/'对齐'!C$2*100</f>
        <v/>
      </c>
      <c r="H517">
        <f>'对齐'!C517/MAX('对齐'!C$2:'对齐'!C517)-1</f>
        <v/>
      </c>
      <c r="I517">
        <f>IF(ROW()-2&gt;='参数'!$B$2,STDEV(OFFSET(F517,1-'参数'!$B$2,0,'参数'!$B$2,1))*SQRT('参数'!$B$3),"")</f>
        <v/>
      </c>
    </row>
    <row r="518">
      <c r="A518">
        <f>'对齐'!A518</f>
        <v/>
      </c>
      <c r="B518">
        <f>'对齐'!B518/'对齐'!B517-1</f>
        <v/>
      </c>
      <c r="C518">
        <f>'对齐'!B518/'对齐'!B$2*100</f>
        <v/>
      </c>
      <c r="D518">
        <f>'对齐'!B518/MAX('对齐'!B$2:'对齐'!B518)-1</f>
        <v/>
      </c>
      <c r="E518">
        <f>IF(ROW()-2&gt;='参数'!$B$2,STDEV(OFFSET(B518,1-'参数'!$B$2,0,'参数'!$B$2,1))*SQRT('参数'!$B$3),"")</f>
        <v/>
      </c>
      <c r="F518">
        <f>'对齐'!C518/'对齐'!C517-1</f>
        <v/>
      </c>
      <c r="G518">
        <f>'对齐'!C518/'对齐'!C$2*100</f>
        <v/>
      </c>
      <c r="H518">
        <f>'对齐'!C518/MAX('对齐'!C$2:'对齐'!C518)-1</f>
        <v/>
      </c>
      <c r="I518">
        <f>IF(ROW()-2&gt;='参数'!$B$2,STDEV(OFFSET(F518,1-'参数'!$B$2,0,'参数'!$B$2,1))*SQRT('参数'!$B$3),"")</f>
        <v/>
      </c>
    </row>
    <row r="519">
      <c r="A519">
        <f>'对齐'!A519</f>
        <v/>
      </c>
      <c r="B519">
        <f>'对齐'!B519/'对齐'!B518-1</f>
        <v/>
      </c>
      <c r="C519">
        <f>'对齐'!B519/'对齐'!B$2*100</f>
        <v/>
      </c>
      <c r="D519">
        <f>'对齐'!B519/MAX('对齐'!B$2:'对齐'!B519)-1</f>
        <v/>
      </c>
      <c r="E519">
        <f>IF(ROW()-2&gt;='参数'!$B$2,STDEV(OFFSET(B519,1-'参数'!$B$2,0,'参数'!$B$2,1))*SQRT('参数'!$B$3),"")</f>
        <v/>
      </c>
      <c r="F519">
        <f>'对齐'!C519/'对齐'!C518-1</f>
        <v/>
      </c>
      <c r="G519">
        <f>'对齐'!C519/'对齐'!C$2*100</f>
        <v/>
      </c>
      <c r="H519">
        <f>'对齐'!C519/MAX('对齐'!C$2:'对齐'!C519)-1</f>
        <v/>
      </c>
      <c r="I519">
        <f>IF(ROW()-2&gt;='参数'!$B$2,STDEV(OFFSET(F519,1-'参数'!$B$2,0,'参数'!$B$2,1))*SQRT('参数'!$B$3),"")</f>
        <v/>
      </c>
    </row>
    <row r="520">
      <c r="A520">
        <f>'对齐'!A520</f>
        <v/>
      </c>
      <c r="B520">
        <f>'对齐'!B520/'对齐'!B519-1</f>
        <v/>
      </c>
      <c r="C520">
        <f>'对齐'!B520/'对齐'!B$2*100</f>
        <v/>
      </c>
      <c r="D520">
        <f>'对齐'!B520/MAX('对齐'!B$2:'对齐'!B520)-1</f>
        <v/>
      </c>
      <c r="E520">
        <f>IF(ROW()-2&gt;='参数'!$B$2,STDEV(OFFSET(B520,1-'参数'!$B$2,0,'参数'!$B$2,1))*SQRT('参数'!$B$3),"")</f>
        <v/>
      </c>
      <c r="F520">
        <f>'对齐'!C520/'对齐'!C519-1</f>
        <v/>
      </c>
      <c r="G520">
        <f>'对齐'!C520/'对齐'!C$2*100</f>
        <v/>
      </c>
      <c r="H520">
        <f>'对齐'!C520/MAX('对齐'!C$2:'对齐'!C520)-1</f>
        <v/>
      </c>
      <c r="I520">
        <f>IF(ROW()-2&gt;='参数'!$B$2,STDEV(OFFSET(F520,1-'参数'!$B$2,0,'参数'!$B$2,1))*SQRT('参数'!$B$3),"")</f>
        <v/>
      </c>
    </row>
    <row r="521">
      <c r="A521">
        <f>'对齐'!A521</f>
        <v/>
      </c>
      <c r="B521">
        <f>'对齐'!B521/'对齐'!B520-1</f>
        <v/>
      </c>
      <c r="C521">
        <f>'对齐'!B521/'对齐'!B$2*100</f>
        <v/>
      </c>
      <c r="D521">
        <f>'对齐'!B521/MAX('对齐'!B$2:'对齐'!B521)-1</f>
        <v/>
      </c>
      <c r="E521">
        <f>IF(ROW()-2&gt;='参数'!$B$2,STDEV(OFFSET(B521,1-'参数'!$B$2,0,'参数'!$B$2,1))*SQRT('参数'!$B$3),"")</f>
        <v/>
      </c>
      <c r="F521">
        <f>'对齐'!C521/'对齐'!C520-1</f>
        <v/>
      </c>
      <c r="G521">
        <f>'对齐'!C521/'对齐'!C$2*100</f>
        <v/>
      </c>
      <c r="H521">
        <f>'对齐'!C521/MAX('对齐'!C$2:'对齐'!C521)-1</f>
        <v/>
      </c>
      <c r="I521">
        <f>IF(ROW()-2&gt;='参数'!$B$2,STDEV(OFFSET(F521,1-'参数'!$B$2,0,'参数'!$B$2,1))*SQRT('参数'!$B$3),"")</f>
        <v/>
      </c>
    </row>
    <row r="522">
      <c r="A522">
        <f>'对齐'!A522</f>
        <v/>
      </c>
      <c r="B522">
        <f>'对齐'!B522/'对齐'!B521-1</f>
        <v/>
      </c>
      <c r="C522">
        <f>'对齐'!B522/'对齐'!B$2*100</f>
        <v/>
      </c>
      <c r="D522">
        <f>'对齐'!B522/MAX('对齐'!B$2:'对齐'!B522)-1</f>
        <v/>
      </c>
      <c r="E522">
        <f>IF(ROW()-2&gt;='参数'!$B$2,STDEV(OFFSET(B522,1-'参数'!$B$2,0,'参数'!$B$2,1))*SQRT('参数'!$B$3),"")</f>
        <v/>
      </c>
      <c r="F522">
        <f>'对齐'!C522/'对齐'!C521-1</f>
        <v/>
      </c>
      <c r="G522">
        <f>'对齐'!C522/'对齐'!C$2*100</f>
        <v/>
      </c>
      <c r="H522">
        <f>'对齐'!C522/MAX('对齐'!C$2:'对齐'!C522)-1</f>
        <v/>
      </c>
      <c r="I522">
        <f>IF(ROW()-2&gt;='参数'!$B$2,STDEV(OFFSET(F522,1-'参数'!$B$2,0,'参数'!$B$2,1))*SQRT('参数'!$B$3),"")</f>
        <v/>
      </c>
    </row>
    <row r="523">
      <c r="A523">
        <f>'对齐'!A523</f>
        <v/>
      </c>
      <c r="B523">
        <f>'对齐'!B523/'对齐'!B522-1</f>
        <v/>
      </c>
      <c r="C523">
        <f>'对齐'!B523/'对齐'!B$2*100</f>
        <v/>
      </c>
      <c r="D523">
        <f>'对齐'!B523/MAX('对齐'!B$2:'对齐'!B523)-1</f>
        <v/>
      </c>
      <c r="E523">
        <f>IF(ROW()-2&gt;='参数'!$B$2,STDEV(OFFSET(B523,1-'参数'!$B$2,0,'参数'!$B$2,1))*SQRT('参数'!$B$3),"")</f>
        <v/>
      </c>
      <c r="F523">
        <f>'对齐'!C523/'对齐'!C522-1</f>
        <v/>
      </c>
      <c r="G523">
        <f>'对齐'!C523/'对齐'!C$2*100</f>
        <v/>
      </c>
      <c r="H523">
        <f>'对齐'!C523/MAX('对齐'!C$2:'对齐'!C523)-1</f>
        <v/>
      </c>
      <c r="I523">
        <f>IF(ROW()-2&gt;='参数'!$B$2,STDEV(OFFSET(F523,1-'参数'!$B$2,0,'参数'!$B$2,1))*SQRT('参数'!$B$3),"")</f>
        <v/>
      </c>
    </row>
    <row r="524">
      <c r="A524">
        <f>'对齐'!A524</f>
        <v/>
      </c>
      <c r="B524">
        <f>'对齐'!B524/'对齐'!B523-1</f>
        <v/>
      </c>
      <c r="C524">
        <f>'对齐'!B524/'对齐'!B$2*100</f>
        <v/>
      </c>
      <c r="D524">
        <f>'对齐'!B524/MAX('对齐'!B$2:'对齐'!B524)-1</f>
        <v/>
      </c>
      <c r="E524">
        <f>IF(ROW()-2&gt;='参数'!$B$2,STDEV(OFFSET(B524,1-'参数'!$B$2,0,'参数'!$B$2,1))*SQRT('参数'!$B$3),"")</f>
        <v/>
      </c>
      <c r="F524">
        <f>'对齐'!C524/'对齐'!C523-1</f>
        <v/>
      </c>
      <c r="G524">
        <f>'对齐'!C524/'对齐'!C$2*100</f>
        <v/>
      </c>
      <c r="H524">
        <f>'对齐'!C524/MAX('对齐'!C$2:'对齐'!C524)-1</f>
        <v/>
      </c>
      <c r="I524">
        <f>IF(ROW()-2&gt;='参数'!$B$2,STDEV(OFFSET(F524,1-'参数'!$B$2,0,'参数'!$B$2,1))*SQRT('参数'!$B$3),"")</f>
        <v/>
      </c>
    </row>
    <row r="525">
      <c r="A525">
        <f>'对齐'!A525</f>
        <v/>
      </c>
      <c r="B525">
        <f>'对齐'!B525/'对齐'!B524-1</f>
        <v/>
      </c>
      <c r="C525">
        <f>'对齐'!B525/'对齐'!B$2*100</f>
        <v/>
      </c>
      <c r="D525">
        <f>'对齐'!B525/MAX('对齐'!B$2:'对齐'!B525)-1</f>
        <v/>
      </c>
      <c r="E525">
        <f>IF(ROW()-2&gt;='参数'!$B$2,STDEV(OFFSET(B525,1-'参数'!$B$2,0,'参数'!$B$2,1))*SQRT('参数'!$B$3),"")</f>
        <v/>
      </c>
      <c r="F525">
        <f>'对齐'!C525/'对齐'!C524-1</f>
        <v/>
      </c>
      <c r="G525">
        <f>'对齐'!C525/'对齐'!C$2*100</f>
        <v/>
      </c>
      <c r="H525">
        <f>'对齐'!C525/MAX('对齐'!C$2:'对齐'!C525)-1</f>
        <v/>
      </c>
      <c r="I525">
        <f>IF(ROW()-2&gt;='参数'!$B$2,STDEV(OFFSET(F525,1-'参数'!$B$2,0,'参数'!$B$2,1))*SQRT('参数'!$B$3),"")</f>
        <v/>
      </c>
    </row>
    <row r="526">
      <c r="A526">
        <f>'对齐'!A526</f>
        <v/>
      </c>
      <c r="B526">
        <f>'对齐'!B526/'对齐'!B525-1</f>
        <v/>
      </c>
      <c r="C526">
        <f>'对齐'!B526/'对齐'!B$2*100</f>
        <v/>
      </c>
      <c r="D526">
        <f>'对齐'!B526/MAX('对齐'!B$2:'对齐'!B526)-1</f>
        <v/>
      </c>
      <c r="E526">
        <f>IF(ROW()-2&gt;='参数'!$B$2,STDEV(OFFSET(B526,1-'参数'!$B$2,0,'参数'!$B$2,1))*SQRT('参数'!$B$3),"")</f>
        <v/>
      </c>
      <c r="F526">
        <f>'对齐'!C526/'对齐'!C525-1</f>
        <v/>
      </c>
      <c r="G526">
        <f>'对齐'!C526/'对齐'!C$2*100</f>
        <v/>
      </c>
      <c r="H526">
        <f>'对齐'!C526/MAX('对齐'!C$2:'对齐'!C526)-1</f>
        <v/>
      </c>
      <c r="I526">
        <f>IF(ROW()-2&gt;='参数'!$B$2,STDEV(OFFSET(F526,1-'参数'!$B$2,0,'参数'!$B$2,1))*SQRT('参数'!$B$3),"")</f>
        <v/>
      </c>
    </row>
    <row r="527">
      <c r="A527">
        <f>'对齐'!A527</f>
        <v/>
      </c>
      <c r="B527">
        <f>'对齐'!B527/'对齐'!B526-1</f>
        <v/>
      </c>
      <c r="C527">
        <f>'对齐'!B527/'对齐'!B$2*100</f>
        <v/>
      </c>
      <c r="D527">
        <f>'对齐'!B527/MAX('对齐'!B$2:'对齐'!B527)-1</f>
        <v/>
      </c>
      <c r="E527">
        <f>IF(ROW()-2&gt;='参数'!$B$2,STDEV(OFFSET(B527,1-'参数'!$B$2,0,'参数'!$B$2,1))*SQRT('参数'!$B$3),"")</f>
        <v/>
      </c>
      <c r="F527">
        <f>'对齐'!C527/'对齐'!C526-1</f>
        <v/>
      </c>
      <c r="G527">
        <f>'对齐'!C527/'对齐'!C$2*100</f>
        <v/>
      </c>
      <c r="H527">
        <f>'对齐'!C527/MAX('对齐'!C$2:'对齐'!C527)-1</f>
        <v/>
      </c>
      <c r="I527">
        <f>IF(ROW()-2&gt;='参数'!$B$2,STDEV(OFFSET(F527,1-'参数'!$B$2,0,'参数'!$B$2,1))*SQRT('参数'!$B$3),"")</f>
        <v/>
      </c>
    </row>
    <row r="528">
      <c r="A528">
        <f>'对齐'!A528</f>
        <v/>
      </c>
      <c r="B528">
        <f>'对齐'!B528/'对齐'!B527-1</f>
        <v/>
      </c>
      <c r="C528">
        <f>'对齐'!B528/'对齐'!B$2*100</f>
        <v/>
      </c>
      <c r="D528">
        <f>'对齐'!B528/MAX('对齐'!B$2:'对齐'!B528)-1</f>
        <v/>
      </c>
      <c r="E528">
        <f>IF(ROW()-2&gt;='参数'!$B$2,STDEV(OFFSET(B528,1-'参数'!$B$2,0,'参数'!$B$2,1))*SQRT('参数'!$B$3),"")</f>
        <v/>
      </c>
      <c r="F528">
        <f>'对齐'!C528/'对齐'!C527-1</f>
        <v/>
      </c>
      <c r="G528">
        <f>'对齐'!C528/'对齐'!C$2*100</f>
        <v/>
      </c>
      <c r="H528">
        <f>'对齐'!C528/MAX('对齐'!C$2:'对齐'!C528)-1</f>
        <v/>
      </c>
      <c r="I528">
        <f>IF(ROW()-2&gt;='参数'!$B$2,STDEV(OFFSET(F528,1-'参数'!$B$2,0,'参数'!$B$2,1))*SQRT('参数'!$B$3),"")</f>
        <v/>
      </c>
    </row>
    <row r="529">
      <c r="A529">
        <f>'对齐'!A529</f>
        <v/>
      </c>
      <c r="B529">
        <f>'对齐'!B529/'对齐'!B528-1</f>
        <v/>
      </c>
      <c r="C529">
        <f>'对齐'!B529/'对齐'!B$2*100</f>
        <v/>
      </c>
      <c r="D529">
        <f>'对齐'!B529/MAX('对齐'!B$2:'对齐'!B529)-1</f>
        <v/>
      </c>
      <c r="E529">
        <f>IF(ROW()-2&gt;='参数'!$B$2,STDEV(OFFSET(B529,1-'参数'!$B$2,0,'参数'!$B$2,1))*SQRT('参数'!$B$3),"")</f>
        <v/>
      </c>
      <c r="F529">
        <f>'对齐'!C529/'对齐'!C528-1</f>
        <v/>
      </c>
      <c r="G529">
        <f>'对齐'!C529/'对齐'!C$2*100</f>
        <v/>
      </c>
      <c r="H529">
        <f>'对齐'!C529/MAX('对齐'!C$2:'对齐'!C529)-1</f>
        <v/>
      </c>
      <c r="I529">
        <f>IF(ROW()-2&gt;='参数'!$B$2,STDEV(OFFSET(F529,1-'参数'!$B$2,0,'参数'!$B$2,1))*SQRT('参数'!$B$3),"")</f>
        <v/>
      </c>
    </row>
    <row r="530">
      <c r="A530">
        <f>'对齐'!A530</f>
        <v/>
      </c>
      <c r="B530">
        <f>'对齐'!B530/'对齐'!B529-1</f>
        <v/>
      </c>
      <c r="C530">
        <f>'对齐'!B530/'对齐'!B$2*100</f>
        <v/>
      </c>
      <c r="D530">
        <f>'对齐'!B530/MAX('对齐'!B$2:'对齐'!B530)-1</f>
        <v/>
      </c>
      <c r="E530">
        <f>IF(ROW()-2&gt;='参数'!$B$2,STDEV(OFFSET(B530,1-'参数'!$B$2,0,'参数'!$B$2,1))*SQRT('参数'!$B$3),"")</f>
        <v/>
      </c>
      <c r="F530">
        <f>'对齐'!C530/'对齐'!C529-1</f>
        <v/>
      </c>
      <c r="G530">
        <f>'对齐'!C530/'对齐'!C$2*100</f>
        <v/>
      </c>
      <c r="H530">
        <f>'对齐'!C530/MAX('对齐'!C$2:'对齐'!C530)-1</f>
        <v/>
      </c>
      <c r="I530">
        <f>IF(ROW()-2&gt;='参数'!$B$2,STDEV(OFFSET(F530,1-'参数'!$B$2,0,'参数'!$B$2,1))*SQRT('参数'!$B$3),"")</f>
        <v/>
      </c>
    </row>
    <row r="531">
      <c r="A531">
        <f>'对齐'!A531</f>
        <v/>
      </c>
      <c r="B531">
        <f>'对齐'!B531/'对齐'!B530-1</f>
        <v/>
      </c>
      <c r="C531">
        <f>'对齐'!B531/'对齐'!B$2*100</f>
        <v/>
      </c>
      <c r="D531">
        <f>'对齐'!B531/MAX('对齐'!B$2:'对齐'!B531)-1</f>
        <v/>
      </c>
      <c r="E531">
        <f>IF(ROW()-2&gt;='参数'!$B$2,STDEV(OFFSET(B531,1-'参数'!$B$2,0,'参数'!$B$2,1))*SQRT('参数'!$B$3),"")</f>
        <v/>
      </c>
      <c r="F531">
        <f>'对齐'!C531/'对齐'!C530-1</f>
        <v/>
      </c>
      <c r="G531">
        <f>'对齐'!C531/'对齐'!C$2*100</f>
        <v/>
      </c>
      <c r="H531">
        <f>'对齐'!C531/MAX('对齐'!C$2:'对齐'!C531)-1</f>
        <v/>
      </c>
      <c r="I531">
        <f>IF(ROW()-2&gt;='参数'!$B$2,STDEV(OFFSET(F531,1-'参数'!$B$2,0,'参数'!$B$2,1))*SQRT('参数'!$B$3),"")</f>
        <v/>
      </c>
    </row>
    <row r="532">
      <c r="A532">
        <f>'对齐'!A532</f>
        <v/>
      </c>
      <c r="B532">
        <f>'对齐'!B532/'对齐'!B531-1</f>
        <v/>
      </c>
      <c r="C532">
        <f>'对齐'!B532/'对齐'!B$2*100</f>
        <v/>
      </c>
      <c r="D532">
        <f>'对齐'!B532/MAX('对齐'!B$2:'对齐'!B532)-1</f>
        <v/>
      </c>
      <c r="E532">
        <f>IF(ROW()-2&gt;='参数'!$B$2,STDEV(OFFSET(B532,1-'参数'!$B$2,0,'参数'!$B$2,1))*SQRT('参数'!$B$3),"")</f>
        <v/>
      </c>
      <c r="F532">
        <f>'对齐'!C532/'对齐'!C531-1</f>
        <v/>
      </c>
      <c r="G532">
        <f>'对齐'!C532/'对齐'!C$2*100</f>
        <v/>
      </c>
      <c r="H532">
        <f>'对齐'!C532/MAX('对齐'!C$2:'对齐'!C532)-1</f>
        <v/>
      </c>
      <c r="I532">
        <f>IF(ROW()-2&gt;='参数'!$B$2,STDEV(OFFSET(F532,1-'参数'!$B$2,0,'参数'!$B$2,1))*SQRT('参数'!$B$3),"")</f>
        <v/>
      </c>
    </row>
    <row r="533">
      <c r="A533">
        <f>'对齐'!A533</f>
        <v/>
      </c>
      <c r="B533">
        <f>'对齐'!B533/'对齐'!B532-1</f>
        <v/>
      </c>
      <c r="C533">
        <f>'对齐'!B533/'对齐'!B$2*100</f>
        <v/>
      </c>
      <c r="D533">
        <f>'对齐'!B533/MAX('对齐'!B$2:'对齐'!B533)-1</f>
        <v/>
      </c>
      <c r="E533">
        <f>IF(ROW()-2&gt;='参数'!$B$2,STDEV(OFFSET(B533,1-'参数'!$B$2,0,'参数'!$B$2,1))*SQRT('参数'!$B$3),"")</f>
        <v/>
      </c>
      <c r="F533">
        <f>'对齐'!C533/'对齐'!C532-1</f>
        <v/>
      </c>
      <c r="G533">
        <f>'对齐'!C533/'对齐'!C$2*100</f>
        <v/>
      </c>
      <c r="H533">
        <f>'对齐'!C533/MAX('对齐'!C$2:'对齐'!C533)-1</f>
        <v/>
      </c>
      <c r="I533">
        <f>IF(ROW()-2&gt;='参数'!$B$2,STDEV(OFFSET(F533,1-'参数'!$B$2,0,'参数'!$B$2,1))*SQRT('参数'!$B$3),"")</f>
        <v/>
      </c>
    </row>
    <row r="534">
      <c r="A534">
        <f>'对齐'!A534</f>
        <v/>
      </c>
      <c r="B534">
        <f>'对齐'!B534/'对齐'!B533-1</f>
        <v/>
      </c>
      <c r="C534">
        <f>'对齐'!B534/'对齐'!B$2*100</f>
        <v/>
      </c>
      <c r="D534">
        <f>'对齐'!B534/MAX('对齐'!B$2:'对齐'!B534)-1</f>
        <v/>
      </c>
      <c r="E534">
        <f>IF(ROW()-2&gt;='参数'!$B$2,STDEV(OFFSET(B534,1-'参数'!$B$2,0,'参数'!$B$2,1))*SQRT('参数'!$B$3),"")</f>
        <v/>
      </c>
      <c r="F534">
        <f>'对齐'!C534/'对齐'!C533-1</f>
        <v/>
      </c>
      <c r="G534">
        <f>'对齐'!C534/'对齐'!C$2*100</f>
        <v/>
      </c>
      <c r="H534">
        <f>'对齐'!C534/MAX('对齐'!C$2:'对齐'!C534)-1</f>
        <v/>
      </c>
      <c r="I534">
        <f>IF(ROW()-2&gt;='参数'!$B$2,STDEV(OFFSET(F534,1-'参数'!$B$2,0,'参数'!$B$2,1))*SQRT('参数'!$B$3),"")</f>
        <v/>
      </c>
    </row>
    <row r="535">
      <c r="A535">
        <f>'对齐'!A535</f>
        <v/>
      </c>
      <c r="B535">
        <f>'对齐'!B535/'对齐'!B534-1</f>
        <v/>
      </c>
      <c r="C535">
        <f>'对齐'!B535/'对齐'!B$2*100</f>
        <v/>
      </c>
      <c r="D535">
        <f>'对齐'!B535/MAX('对齐'!B$2:'对齐'!B535)-1</f>
        <v/>
      </c>
      <c r="E535">
        <f>IF(ROW()-2&gt;='参数'!$B$2,STDEV(OFFSET(B535,1-'参数'!$B$2,0,'参数'!$B$2,1))*SQRT('参数'!$B$3),"")</f>
        <v/>
      </c>
      <c r="F535">
        <f>'对齐'!C535/'对齐'!C534-1</f>
        <v/>
      </c>
      <c r="G535">
        <f>'对齐'!C535/'对齐'!C$2*100</f>
        <v/>
      </c>
      <c r="H535">
        <f>'对齐'!C535/MAX('对齐'!C$2:'对齐'!C535)-1</f>
        <v/>
      </c>
      <c r="I535">
        <f>IF(ROW()-2&gt;='参数'!$B$2,STDEV(OFFSET(F535,1-'参数'!$B$2,0,'参数'!$B$2,1))*SQRT('参数'!$B$3),"")</f>
        <v/>
      </c>
    </row>
    <row r="536">
      <c r="A536">
        <f>'对齐'!A536</f>
        <v/>
      </c>
      <c r="B536">
        <f>'对齐'!B536/'对齐'!B535-1</f>
        <v/>
      </c>
      <c r="C536">
        <f>'对齐'!B536/'对齐'!B$2*100</f>
        <v/>
      </c>
      <c r="D536">
        <f>'对齐'!B536/MAX('对齐'!B$2:'对齐'!B536)-1</f>
        <v/>
      </c>
      <c r="E536">
        <f>IF(ROW()-2&gt;='参数'!$B$2,STDEV(OFFSET(B536,1-'参数'!$B$2,0,'参数'!$B$2,1))*SQRT('参数'!$B$3),"")</f>
        <v/>
      </c>
      <c r="F536">
        <f>'对齐'!C536/'对齐'!C535-1</f>
        <v/>
      </c>
      <c r="G536">
        <f>'对齐'!C536/'对齐'!C$2*100</f>
        <v/>
      </c>
      <c r="H536">
        <f>'对齐'!C536/MAX('对齐'!C$2:'对齐'!C536)-1</f>
        <v/>
      </c>
      <c r="I536">
        <f>IF(ROW()-2&gt;='参数'!$B$2,STDEV(OFFSET(F536,1-'参数'!$B$2,0,'参数'!$B$2,1))*SQRT('参数'!$B$3),"")</f>
        <v/>
      </c>
    </row>
    <row r="537">
      <c r="A537">
        <f>'对齐'!A537</f>
        <v/>
      </c>
      <c r="B537">
        <f>'对齐'!B537/'对齐'!B536-1</f>
        <v/>
      </c>
      <c r="C537">
        <f>'对齐'!B537/'对齐'!B$2*100</f>
        <v/>
      </c>
      <c r="D537">
        <f>'对齐'!B537/MAX('对齐'!B$2:'对齐'!B537)-1</f>
        <v/>
      </c>
      <c r="E537">
        <f>IF(ROW()-2&gt;='参数'!$B$2,STDEV(OFFSET(B537,1-'参数'!$B$2,0,'参数'!$B$2,1))*SQRT('参数'!$B$3),"")</f>
        <v/>
      </c>
      <c r="F537">
        <f>'对齐'!C537/'对齐'!C536-1</f>
        <v/>
      </c>
      <c r="G537">
        <f>'对齐'!C537/'对齐'!C$2*100</f>
        <v/>
      </c>
      <c r="H537">
        <f>'对齐'!C537/MAX('对齐'!C$2:'对齐'!C537)-1</f>
        <v/>
      </c>
      <c r="I537">
        <f>IF(ROW()-2&gt;='参数'!$B$2,STDEV(OFFSET(F537,1-'参数'!$B$2,0,'参数'!$B$2,1))*SQRT('参数'!$B$3),"")</f>
        <v/>
      </c>
    </row>
    <row r="538">
      <c r="A538">
        <f>'对齐'!A538</f>
        <v/>
      </c>
      <c r="B538">
        <f>'对齐'!B538/'对齐'!B537-1</f>
        <v/>
      </c>
      <c r="C538">
        <f>'对齐'!B538/'对齐'!B$2*100</f>
        <v/>
      </c>
      <c r="D538">
        <f>'对齐'!B538/MAX('对齐'!B$2:'对齐'!B538)-1</f>
        <v/>
      </c>
      <c r="E538">
        <f>IF(ROW()-2&gt;='参数'!$B$2,STDEV(OFFSET(B538,1-'参数'!$B$2,0,'参数'!$B$2,1))*SQRT('参数'!$B$3),"")</f>
        <v/>
      </c>
      <c r="F538">
        <f>'对齐'!C538/'对齐'!C537-1</f>
        <v/>
      </c>
      <c r="G538">
        <f>'对齐'!C538/'对齐'!C$2*100</f>
        <v/>
      </c>
      <c r="H538">
        <f>'对齐'!C538/MAX('对齐'!C$2:'对齐'!C538)-1</f>
        <v/>
      </c>
      <c r="I538">
        <f>IF(ROW()-2&gt;='参数'!$B$2,STDEV(OFFSET(F538,1-'参数'!$B$2,0,'参数'!$B$2,1))*SQRT('参数'!$B$3),"")</f>
        <v/>
      </c>
    </row>
    <row r="539">
      <c r="A539">
        <f>'对齐'!A539</f>
        <v/>
      </c>
      <c r="B539">
        <f>'对齐'!B539/'对齐'!B538-1</f>
        <v/>
      </c>
      <c r="C539">
        <f>'对齐'!B539/'对齐'!B$2*100</f>
        <v/>
      </c>
      <c r="D539">
        <f>'对齐'!B539/MAX('对齐'!B$2:'对齐'!B539)-1</f>
        <v/>
      </c>
      <c r="E539">
        <f>IF(ROW()-2&gt;='参数'!$B$2,STDEV(OFFSET(B539,1-'参数'!$B$2,0,'参数'!$B$2,1))*SQRT('参数'!$B$3),"")</f>
        <v/>
      </c>
      <c r="F539">
        <f>'对齐'!C539/'对齐'!C538-1</f>
        <v/>
      </c>
      <c r="G539">
        <f>'对齐'!C539/'对齐'!C$2*100</f>
        <v/>
      </c>
      <c r="H539">
        <f>'对齐'!C539/MAX('对齐'!C$2:'对齐'!C539)-1</f>
        <v/>
      </c>
      <c r="I539">
        <f>IF(ROW()-2&gt;='参数'!$B$2,STDEV(OFFSET(F539,1-'参数'!$B$2,0,'参数'!$B$2,1))*SQRT('参数'!$B$3),"")</f>
        <v/>
      </c>
    </row>
    <row r="540">
      <c r="A540">
        <f>'对齐'!A540</f>
        <v/>
      </c>
      <c r="B540">
        <f>'对齐'!B540/'对齐'!B539-1</f>
        <v/>
      </c>
      <c r="C540">
        <f>'对齐'!B540/'对齐'!B$2*100</f>
        <v/>
      </c>
      <c r="D540">
        <f>'对齐'!B540/MAX('对齐'!B$2:'对齐'!B540)-1</f>
        <v/>
      </c>
      <c r="E540">
        <f>IF(ROW()-2&gt;='参数'!$B$2,STDEV(OFFSET(B540,1-'参数'!$B$2,0,'参数'!$B$2,1))*SQRT('参数'!$B$3),"")</f>
        <v/>
      </c>
      <c r="F540">
        <f>'对齐'!C540/'对齐'!C539-1</f>
        <v/>
      </c>
      <c r="G540">
        <f>'对齐'!C540/'对齐'!C$2*100</f>
        <v/>
      </c>
      <c r="H540">
        <f>'对齐'!C540/MAX('对齐'!C$2:'对齐'!C540)-1</f>
        <v/>
      </c>
      <c r="I540">
        <f>IF(ROW()-2&gt;='参数'!$B$2,STDEV(OFFSET(F540,1-'参数'!$B$2,0,'参数'!$B$2,1))*SQRT('参数'!$B$3),"")</f>
        <v/>
      </c>
    </row>
    <row r="541">
      <c r="A541">
        <f>'对齐'!A541</f>
        <v/>
      </c>
      <c r="B541">
        <f>'对齐'!B541/'对齐'!B540-1</f>
        <v/>
      </c>
      <c r="C541">
        <f>'对齐'!B541/'对齐'!B$2*100</f>
        <v/>
      </c>
      <c r="D541">
        <f>'对齐'!B541/MAX('对齐'!B$2:'对齐'!B541)-1</f>
        <v/>
      </c>
      <c r="E541">
        <f>IF(ROW()-2&gt;='参数'!$B$2,STDEV(OFFSET(B541,1-'参数'!$B$2,0,'参数'!$B$2,1))*SQRT('参数'!$B$3),"")</f>
        <v/>
      </c>
      <c r="F541">
        <f>'对齐'!C541/'对齐'!C540-1</f>
        <v/>
      </c>
      <c r="G541">
        <f>'对齐'!C541/'对齐'!C$2*100</f>
        <v/>
      </c>
      <c r="H541">
        <f>'对齐'!C541/MAX('对齐'!C$2:'对齐'!C541)-1</f>
        <v/>
      </c>
      <c r="I541">
        <f>IF(ROW()-2&gt;='参数'!$B$2,STDEV(OFFSET(F541,1-'参数'!$B$2,0,'参数'!$B$2,1))*SQRT('参数'!$B$3),"")</f>
        <v/>
      </c>
    </row>
    <row r="542">
      <c r="A542">
        <f>'对齐'!A542</f>
        <v/>
      </c>
      <c r="B542">
        <f>'对齐'!B542/'对齐'!B541-1</f>
        <v/>
      </c>
      <c r="C542">
        <f>'对齐'!B542/'对齐'!B$2*100</f>
        <v/>
      </c>
      <c r="D542">
        <f>'对齐'!B542/MAX('对齐'!B$2:'对齐'!B542)-1</f>
        <v/>
      </c>
      <c r="E542">
        <f>IF(ROW()-2&gt;='参数'!$B$2,STDEV(OFFSET(B542,1-'参数'!$B$2,0,'参数'!$B$2,1))*SQRT('参数'!$B$3),"")</f>
        <v/>
      </c>
      <c r="F542">
        <f>'对齐'!C542/'对齐'!C541-1</f>
        <v/>
      </c>
      <c r="G542">
        <f>'对齐'!C542/'对齐'!C$2*100</f>
        <v/>
      </c>
      <c r="H542">
        <f>'对齐'!C542/MAX('对齐'!C$2:'对齐'!C542)-1</f>
        <v/>
      </c>
      <c r="I542">
        <f>IF(ROW()-2&gt;='参数'!$B$2,STDEV(OFFSET(F542,1-'参数'!$B$2,0,'参数'!$B$2,1))*SQRT('参数'!$B$3),"")</f>
        <v/>
      </c>
    </row>
    <row r="543">
      <c r="A543">
        <f>'对齐'!A543</f>
        <v/>
      </c>
      <c r="B543">
        <f>'对齐'!B543/'对齐'!B542-1</f>
        <v/>
      </c>
      <c r="C543">
        <f>'对齐'!B543/'对齐'!B$2*100</f>
        <v/>
      </c>
      <c r="D543">
        <f>'对齐'!B543/MAX('对齐'!B$2:'对齐'!B543)-1</f>
        <v/>
      </c>
      <c r="E543">
        <f>IF(ROW()-2&gt;='参数'!$B$2,STDEV(OFFSET(B543,1-'参数'!$B$2,0,'参数'!$B$2,1))*SQRT('参数'!$B$3),"")</f>
        <v/>
      </c>
      <c r="F543">
        <f>'对齐'!C543/'对齐'!C542-1</f>
        <v/>
      </c>
      <c r="G543">
        <f>'对齐'!C543/'对齐'!C$2*100</f>
        <v/>
      </c>
      <c r="H543">
        <f>'对齐'!C543/MAX('对齐'!C$2:'对齐'!C543)-1</f>
        <v/>
      </c>
      <c r="I543">
        <f>IF(ROW()-2&gt;='参数'!$B$2,STDEV(OFFSET(F543,1-'参数'!$B$2,0,'参数'!$B$2,1))*SQRT('参数'!$B$3),"")</f>
        <v/>
      </c>
    </row>
    <row r="544">
      <c r="A544">
        <f>'对齐'!A544</f>
        <v/>
      </c>
      <c r="B544">
        <f>'对齐'!B544/'对齐'!B543-1</f>
        <v/>
      </c>
      <c r="C544">
        <f>'对齐'!B544/'对齐'!B$2*100</f>
        <v/>
      </c>
      <c r="D544">
        <f>'对齐'!B544/MAX('对齐'!B$2:'对齐'!B544)-1</f>
        <v/>
      </c>
      <c r="E544">
        <f>IF(ROW()-2&gt;='参数'!$B$2,STDEV(OFFSET(B544,1-'参数'!$B$2,0,'参数'!$B$2,1))*SQRT('参数'!$B$3),"")</f>
        <v/>
      </c>
      <c r="F544">
        <f>'对齐'!C544/'对齐'!C543-1</f>
        <v/>
      </c>
      <c r="G544">
        <f>'对齐'!C544/'对齐'!C$2*100</f>
        <v/>
      </c>
      <c r="H544">
        <f>'对齐'!C544/MAX('对齐'!C$2:'对齐'!C544)-1</f>
        <v/>
      </c>
      <c r="I544">
        <f>IF(ROW()-2&gt;='参数'!$B$2,STDEV(OFFSET(F544,1-'参数'!$B$2,0,'参数'!$B$2,1))*SQRT('参数'!$B$3),"")</f>
        <v/>
      </c>
    </row>
    <row r="545">
      <c r="A545">
        <f>'对齐'!A545</f>
        <v/>
      </c>
      <c r="B545">
        <f>'对齐'!B545/'对齐'!B544-1</f>
        <v/>
      </c>
      <c r="C545">
        <f>'对齐'!B545/'对齐'!B$2*100</f>
        <v/>
      </c>
      <c r="D545">
        <f>'对齐'!B545/MAX('对齐'!B$2:'对齐'!B545)-1</f>
        <v/>
      </c>
      <c r="E545">
        <f>IF(ROW()-2&gt;='参数'!$B$2,STDEV(OFFSET(B545,1-'参数'!$B$2,0,'参数'!$B$2,1))*SQRT('参数'!$B$3),"")</f>
        <v/>
      </c>
      <c r="F545">
        <f>'对齐'!C545/'对齐'!C544-1</f>
        <v/>
      </c>
      <c r="G545">
        <f>'对齐'!C545/'对齐'!C$2*100</f>
        <v/>
      </c>
      <c r="H545">
        <f>'对齐'!C545/MAX('对齐'!C$2:'对齐'!C545)-1</f>
        <v/>
      </c>
      <c r="I545">
        <f>IF(ROW()-2&gt;='参数'!$B$2,STDEV(OFFSET(F545,1-'参数'!$B$2,0,'参数'!$B$2,1))*SQRT('参数'!$B$3),"")</f>
        <v/>
      </c>
    </row>
    <row r="546">
      <c r="A546">
        <f>'对齐'!A546</f>
        <v/>
      </c>
      <c r="B546">
        <f>'对齐'!B546/'对齐'!B545-1</f>
        <v/>
      </c>
      <c r="C546">
        <f>'对齐'!B546/'对齐'!B$2*100</f>
        <v/>
      </c>
      <c r="D546">
        <f>'对齐'!B546/MAX('对齐'!B$2:'对齐'!B546)-1</f>
        <v/>
      </c>
      <c r="E546">
        <f>IF(ROW()-2&gt;='参数'!$B$2,STDEV(OFFSET(B546,1-'参数'!$B$2,0,'参数'!$B$2,1))*SQRT('参数'!$B$3),"")</f>
        <v/>
      </c>
      <c r="F546">
        <f>'对齐'!C546/'对齐'!C545-1</f>
        <v/>
      </c>
      <c r="G546">
        <f>'对齐'!C546/'对齐'!C$2*100</f>
        <v/>
      </c>
      <c r="H546">
        <f>'对齐'!C546/MAX('对齐'!C$2:'对齐'!C546)-1</f>
        <v/>
      </c>
      <c r="I546">
        <f>IF(ROW()-2&gt;='参数'!$B$2,STDEV(OFFSET(F546,1-'参数'!$B$2,0,'参数'!$B$2,1))*SQRT('参数'!$B$3),"")</f>
        <v/>
      </c>
    </row>
    <row r="547">
      <c r="A547">
        <f>'对齐'!A547</f>
        <v/>
      </c>
      <c r="B547">
        <f>'对齐'!B547/'对齐'!B546-1</f>
        <v/>
      </c>
      <c r="C547">
        <f>'对齐'!B547/'对齐'!B$2*100</f>
        <v/>
      </c>
      <c r="D547">
        <f>'对齐'!B547/MAX('对齐'!B$2:'对齐'!B547)-1</f>
        <v/>
      </c>
      <c r="E547">
        <f>IF(ROW()-2&gt;='参数'!$B$2,STDEV(OFFSET(B547,1-'参数'!$B$2,0,'参数'!$B$2,1))*SQRT('参数'!$B$3),"")</f>
        <v/>
      </c>
      <c r="F547">
        <f>'对齐'!C547/'对齐'!C546-1</f>
        <v/>
      </c>
      <c r="G547">
        <f>'对齐'!C547/'对齐'!C$2*100</f>
        <v/>
      </c>
      <c r="H547">
        <f>'对齐'!C547/MAX('对齐'!C$2:'对齐'!C547)-1</f>
        <v/>
      </c>
      <c r="I547">
        <f>IF(ROW()-2&gt;='参数'!$B$2,STDEV(OFFSET(F547,1-'参数'!$B$2,0,'参数'!$B$2,1))*SQRT('参数'!$B$3),"")</f>
        <v/>
      </c>
    </row>
    <row r="548">
      <c r="A548">
        <f>'对齐'!A548</f>
        <v/>
      </c>
      <c r="B548">
        <f>'对齐'!B548/'对齐'!B547-1</f>
        <v/>
      </c>
      <c r="C548">
        <f>'对齐'!B548/'对齐'!B$2*100</f>
        <v/>
      </c>
      <c r="D548">
        <f>'对齐'!B548/MAX('对齐'!B$2:'对齐'!B548)-1</f>
        <v/>
      </c>
      <c r="E548">
        <f>IF(ROW()-2&gt;='参数'!$B$2,STDEV(OFFSET(B548,1-'参数'!$B$2,0,'参数'!$B$2,1))*SQRT('参数'!$B$3),"")</f>
        <v/>
      </c>
      <c r="F548">
        <f>'对齐'!C548/'对齐'!C547-1</f>
        <v/>
      </c>
      <c r="G548">
        <f>'对齐'!C548/'对齐'!C$2*100</f>
        <v/>
      </c>
      <c r="H548">
        <f>'对齐'!C548/MAX('对齐'!C$2:'对齐'!C548)-1</f>
        <v/>
      </c>
      <c r="I548">
        <f>IF(ROW()-2&gt;='参数'!$B$2,STDEV(OFFSET(F548,1-'参数'!$B$2,0,'参数'!$B$2,1))*SQRT('参数'!$B$3),"")</f>
        <v/>
      </c>
    </row>
    <row r="549">
      <c r="A549">
        <f>'对齐'!A549</f>
        <v/>
      </c>
      <c r="B549">
        <f>'对齐'!B549/'对齐'!B548-1</f>
        <v/>
      </c>
      <c r="C549">
        <f>'对齐'!B549/'对齐'!B$2*100</f>
        <v/>
      </c>
      <c r="D549">
        <f>'对齐'!B549/MAX('对齐'!B$2:'对齐'!B549)-1</f>
        <v/>
      </c>
      <c r="E549">
        <f>IF(ROW()-2&gt;='参数'!$B$2,STDEV(OFFSET(B549,1-'参数'!$B$2,0,'参数'!$B$2,1))*SQRT('参数'!$B$3),"")</f>
        <v/>
      </c>
      <c r="F549">
        <f>'对齐'!C549/'对齐'!C548-1</f>
        <v/>
      </c>
      <c r="G549">
        <f>'对齐'!C549/'对齐'!C$2*100</f>
        <v/>
      </c>
      <c r="H549">
        <f>'对齐'!C549/MAX('对齐'!C$2:'对齐'!C549)-1</f>
        <v/>
      </c>
      <c r="I549">
        <f>IF(ROW()-2&gt;='参数'!$B$2,STDEV(OFFSET(F549,1-'参数'!$B$2,0,'参数'!$B$2,1))*SQRT('参数'!$B$3),"")</f>
        <v/>
      </c>
    </row>
    <row r="550">
      <c r="A550">
        <f>'对齐'!A550</f>
        <v/>
      </c>
      <c r="B550">
        <f>'对齐'!B550/'对齐'!B549-1</f>
        <v/>
      </c>
      <c r="C550">
        <f>'对齐'!B550/'对齐'!B$2*100</f>
        <v/>
      </c>
      <c r="D550">
        <f>'对齐'!B550/MAX('对齐'!B$2:'对齐'!B550)-1</f>
        <v/>
      </c>
      <c r="E550">
        <f>IF(ROW()-2&gt;='参数'!$B$2,STDEV(OFFSET(B550,1-'参数'!$B$2,0,'参数'!$B$2,1))*SQRT('参数'!$B$3),"")</f>
        <v/>
      </c>
      <c r="F550">
        <f>'对齐'!C550/'对齐'!C549-1</f>
        <v/>
      </c>
      <c r="G550">
        <f>'对齐'!C550/'对齐'!C$2*100</f>
        <v/>
      </c>
      <c r="H550">
        <f>'对齐'!C550/MAX('对齐'!C$2:'对齐'!C550)-1</f>
        <v/>
      </c>
      <c r="I550">
        <f>IF(ROW()-2&gt;='参数'!$B$2,STDEV(OFFSET(F550,1-'参数'!$B$2,0,'参数'!$B$2,1))*SQRT('参数'!$B$3),"")</f>
        <v/>
      </c>
    </row>
    <row r="551">
      <c r="A551">
        <f>'对齐'!A551</f>
        <v/>
      </c>
      <c r="B551">
        <f>'对齐'!B551/'对齐'!B550-1</f>
        <v/>
      </c>
      <c r="C551">
        <f>'对齐'!B551/'对齐'!B$2*100</f>
        <v/>
      </c>
      <c r="D551">
        <f>'对齐'!B551/MAX('对齐'!B$2:'对齐'!B551)-1</f>
        <v/>
      </c>
      <c r="E551">
        <f>IF(ROW()-2&gt;='参数'!$B$2,STDEV(OFFSET(B551,1-'参数'!$B$2,0,'参数'!$B$2,1))*SQRT('参数'!$B$3),"")</f>
        <v/>
      </c>
      <c r="F551">
        <f>'对齐'!C551/'对齐'!C550-1</f>
        <v/>
      </c>
      <c r="G551">
        <f>'对齐'!C551/'对齐'!C$2*100</f>
        <v/>
      </c>
      <c r="H551">
        <f>'对齐'!C551/MAX('对齐'!C$2:'对齐'!C551)-1</f>
        <v/>
      </c>
      <c r="I551">
        <f>IF(ROW()-2&gt;='参数'!$B$2,STDEV(OFFSET(F551,1-'参数'!$B$2,0,'参数'!$B$2,1))*SQRT('参数'!$B$3),"")</f>
        <v/>
      </c>
    </row>
    <row r="552">
      <c r="A552">
        <f>'对齐'!A552</f>
        <v/>
      </c>
      <c r="B552">
        <f>'对齐'!B552/'对齐'!B551-1</f>
        <v/>
      </c>
      <c r="C552">
        <f>'对齐'!B552/'对齐'!B$2*100</f>
        <v/>
      </c>
      <c r="D552">
        <f>'对齐'!B552/MAX('对齐'!B$2:'对齐'!B552)-1</f>
        <v/>
      </c>
      <c r="E552">
        <f>IF(ROW()-2&gt;='参数'!$B$2,STDEV(OFFSET(B552,1-'参数'!$B$2,0,'参数'!$B$2,1))*SQRT('参数'!$B$3),"")</f>
        <v/>
      </c>
      <c r="F552">
        <f>'对齐'!C552/'对齐'!C551-1</f>
        <v/>
      </c>
      <c r="G552">
        <f>'对齐'!C552/'对齐'!C$2*100</f>
        <v/>
      </c>
      <c r="H552">
        <f>'对齐'!C552/MAX('对齐'!C$2:'对齐'!C552)-1</f>
        <v/>
      </c>
      <c r="I552">
        <f>IF(ROW()-2&gt;='参数'!$B$2,STDEV(OFFSET(F552,1-'参数'!$B$2,0,'参数'!$B$2,1))*SQRT('参数'!$B$3),"")</f>
        <v/>
      </c>
    </row>
    <row r="553">
      <c r="A553">
        <f>'对齐'!A553</f>
        <v/>
      </c>
      <c r="B553">
        <f>'对齐'!B553/'对齐'!B552-1</f>
        <v/>
      </c>
      <c r="C553">
        <f>'对齐'!B553/'对齐'!B$2*100</f>
        <v/>
      </c>
      <c r="D553">
        <f>'对齐'!B553/MAX('对齐'!B$2:'对齐'!B553)-1</f>
        <v/>
      </c>
      <c r="E553">
        <f>IF(ROW()-2&gt;='参数'!$B$2,STDEV(OFFSET(B553,1-'参数'!$B$2,0,'参数'!$B$2,1))*SQRT('参数'!$B$3),"")</f>
        <v/>
      </c>
      <c r="F553">
        <f>'对齐'!C553/'对齐'!C552-1</f>
        <v/>
      </c>
      <c r="G553">
        <f>'对齐'!C553/'对齐'!C$2*100</f>
        <v/>
      </c>
      <c r="H553">
        <f>'对齐'!C553/MAX('对齐'!C$2:'对齐'!C553)-1</f>
        <v/>
      </c>
      <c r="I553">
        <f>IF(ROW()-2&gt;='参数'!$B$2,STDEV(OFFSET(F553,1-'参数'!$B$2,0,'参数'!$B$2,1))*SQRT('参数'!$B$3),"")</f>
        <v/>
      </c>
    </row>
    <row r="554">
      <c r="A554">
        <f>'对齐'!A554</f>
        <v/>
      </c>
      <c r="B554">
        <f>'对齐'!B554/'对齐'!B553-1</f>
        <v/>
      </c>
      <c r="C554">
        <f>'对齐'!B554/'对齐'!B$2*100</f>
        <v/>
      </c>
      <c r="D554">
        <f>'对齐'!B554/MAX('对齐'!B$2:'对齐'!B554)-1</f>
        <v/>
      </c>
      <c r="E554">
        <f>IF(ROW()-2&gt;='参数'!$B$2,STDEV(OFFSET(B554,1-'参数'!$B$2,0,'参数'!$B$2,1))*SQRT('参数'!$B$3),"")</f>
        <v/>
      </c>
      <c r="F554">
        <f>'对齐'!C554/'对齐'!C553-1</f>
        <v/>
      </c>
      <c r="G554">
        <f>'对齐'!C554/'对齐'!C$2*100</f>
        <v/>
      </c>
      <c r="H554">
        <f>'对齐'!C554/MAX('对齐'!C$2:'对齐'!C554)-1</f>
        <v/>
      </c>
      <c r="I554">
        <f>IF(ROW()-2&gt;='参数'!$B$2,STDEV(OFFSET(F554,1-'参数'!$B$2,0,'参数'!$B$2,1))*SQRT('参数'!$B$3),"")</f>
        <v/>
      </c>
    </row>
    <row r="555">
      <c r="A555">
        <f>'对齐'!A555</f>
        <v/>
      </c>
      <c r="B555">
        <f>'对齐'!B555/'对齐'!B554-1</f>
        <v/>
      </c>
      <c r="C555">
        <f>'对齐'!B555/'对齐'!B$2*100</f>
        <v/>
      </c>
      <c r="D555">
        <f>'对齐'!B555/MAX('对齐'!B$2:'对齐'!B555)-1</f>
        <v/>
      </c>
      <c r="E555">
        <f>IF(ROW()-2&gt;='参数'!$B$2,STDEV(OFFSET(B555,1-'参数'!$B$2,0,'参数'!$B$2,1))*SQRT('参数'!$B$3),"")</f>
        <v/>
      </c>
      <c r="F555">
        <f>'对齐'!C555/'对齐'!C554-1</f>
        <v/>
      </c>
      <c r="G555">
        <f>'对齐'!C555/'对齐'!C$2*100</f>
        <v/>
      </c>
      <c r="H555">
        <f>'对齐'!C555/MAX('对齐'!C$2:'对齐'!C555)-1</f>
        <v/>
      </c>
      <c r="I555">
        <f>IF(ROW()-2&gt;='参数'!$B$2,STDEV(OFFSET(F555,1-'参数'!$B$2,0,'参数'!$B$2,1))*SQRT('参数'!$B$3),"")</f>
        <v/>
      </c>
    </row>
    <row r="556">
      <c r="A556">
        <f>'对齐'!A556</f>
        <v/>
      </c>
      <c r="B556">
        <f>'对齐'!B556/'对齐'!B555-1</f>
        <v/>
      </c>
      <c r="C556">
        <f>'对齐'!B556/'对齐'!B$2*100</f>
        <v/>
      </c>
      <c r="D556">
        <f>'对齐'!B556/MAX('对齐'!B$2:'对齐'!B556)-1</f>
        <v/>
      </c>
      <c r="E556">
        <f>IF(ROW()-2&gt;='参数'!$B$2,STDEV(OFFSET(B556,1-'参数'!$B$2,0,'参数'!$B$2,1))*SQRT('参数'!$B$3),"")</f>
        <v/>
      </c>
      <c r="F556">
        <f>'对齐'!C556/'对齐'!C555-1</f>
        <v/>
      </c>
      <c r="G556">
        <f>'对齐'!C556/'对齐'!C$2*100</f>
        <v/>
      </c>
      <c r="H556">
        <f>'对齐'!C556/MAX('对齐'!C$2:'对齐'!C556)-1</f>
        <v/>
      </c>
      <c r="I556">
        <f>IF(ROW()-2&gt;='参数'!$B$2,STDEV(OFFSET(F556,1-'参数'!$B$2,0,'参数'!$B$2,1))*SQRT('参数'!$B$3),"")</f>
        <v/>
      </c>
    </row>
    <row r="557">
      <c r="A557">
        <f>'对齐'!A557</f>
        <v/>
      </c>
      <c r="B557">
        <f>'对齐'!B557/'对齐'!B556-1</f>
        <v/>
      </c>
      <c r="C557">
        <f>'对齐'!B557/'对齐'!B$2*100</f>
        <v/>
      </c>
      <c r="D557">
        <f>'对齐'!B557/MAX('对齐'!B$2:'对齐'!B557)-1</f>
        <v/>
      </c>
      <c r="E557">
        <f>IF(ROW()-2&gt;='参数'!$B$2,STDEV(OFFSET(B557,1-'参数'!$B$2,0,'参数'!$B$2,1))*SQRT('参数'!$B$3),"")</f>
        <v/>
      </c>
      <c r="F557">
        <f>'对齐'!C557/'对齐'!C556-1</f>
        <v/>
      </c>
      <c r="G557">
        <f>'对齐'!C557/'对齐'!C$2*100</f>
        <v/>
      </c>
      <c r="H557">
        <f>'对齐'!C557/MAX('对齐'!C$2:'对齐'!C557)-1</f>
        <v/>
      </c>
      <c r="I557">
        <f>IF(ROW()-2&gt;='参数'!$B$2,STDEV(OFFSET(F557,1-'参数'!$B$2,0,'参数'!$B$2,1))*SQRT('参数'!$B$3),"")</f>
        <v/>
      </c>
    </row>
    <row r="558">
      <c r="A558">
        <f>'对齐'!A558</f>
        <v/>
      </c>
      <c r="B558">
        <f>'对齐'!B558/'对齐'!B557-1</f>
        <v/>
      </c>
      <c r="C558">
        <f>'对齐'!B558/'对齐'!B$2*100</f>
        <v/>
      </c>
      <c r="D558">
        <f>'对齐'!B558/MAX('对齐'!B$2:'对齐'!B558)-1</f>
        <v/>
      </c>
      <c r="E558">
        <f>IF(ROW()-2&gt;='参数'!$B$2,STDEV(OFFSET(B558,1-'参数'!$B$2,0,'参数'!$B$2,1))*SQRT('参数'!$B$3),"")</f>
        <v/>
      </c>
      <c r="F558">
        <f>'对齐'!C558/'对齐'!C557-1</f>
        <v/>
      </c>
      <c r="G558">
        <f>'对齐'!C558/'对齐'!C$2*100</f>
        <v/>
      </c>
      <c r="H558">
        <f>'对齐'!C558/MAX('对齐'!C$2:'对齐'!C558)-1</f>
        <v/>
      </c>
      <c r="I558">
        <f>IF(ROW()-2&gt;='参数'!$B$2,STDEV(OFFSET(F558,1-'参数'!$B$2,0,'参数'!$B$2,1))*SQRT('参数'!$B$3),"")</f>
        <v/>
      </c>
    </row>
    <row r="559">
      <c r="A559">
        <f>'对齐'!A559</f>
        <v/>
      </c>
      <c r="B559">
        <f>'对齐'!B559/'对齐'!B558-1</f>
        <v/>
      </c>
      <c r="C559">
        <f>'对齐'!B559/'对齐'!B$2*100</f>
        <v/>
      </c>
      <c r="D559">
        <f>'对齐'!B559/MAX('对齐'!B$2:'对齐'!B559)-1</f>
        <v/>
      </c>
      <c r="E559">
        <f>IF(ROW()-2&gt;='参数'!$B$2,STDEV(OFFSET(B559,1-'参数'!$B$2,0,'参数'!$B$2,1))*SQRT('参数'!$B$3),"")</f>
        <v/>
      </c>
      <c r="F559">
        <f>'对齐'!C559/'对齐'!C558-1</f>
        <v/>
      </c>
      <c r="G559">
        <f>'对齐'!C559/'对齐'!C$2*100</f>
        <v/>
      </c>
      <c r="H559">
        <f>'对齐'!C559/MAX('对齐'!C$2:'对齐'!C559)-1</f>
        <v/>
      </c>
      <c r="I559">
        <f>IF(ROW()-2&gt;='参数'!$B$2,STDEV(OFFSET(F559,1-'参数'!$B$2,0,'参数'!$B$2,1))*SQRT('参数'!$B$3),"")</f>
        <v/>
      </c>
    </row>
    <row r="560">
      <c r="A560">
        <f>'对齐'!A560</f>
        <v/>
      </c>
      <c r="B560">
        <f>'对齐'!B560/'对齐'!B559-1</f>
        <v/>
      </c>
      <c r="C560">
        <f>'对齐'!B560/'对齐'!B$2*100</f>
        <v/>
      </c>
      <c r="D560">
        <f>'对齐'!B560/MAX('对齐'!B$2:'对齐'!B560)-1</f>
        <v/>
      </c>
      <c r="E560">
        <f>IF(ROW()-2&gt;='参数'!$B$2,STDEV(OFFSET(B560,1-'参数'!$B$2,0,'参数'!$B$2,1))*SQRT('参数'!$B$3),"")</f>
        <v/>
      </c>
      <c r="F560">
        <f>'对齐'!C560/'对齐'!C559-1</f>
        <v/>
      </c>
      <c r="G560">
        <f>'对齐'!C560/'对齐'!C$2*100</f>
        <v/>
      </c>
      <c r="H560">
        <f>'对齐'!C560/MAX('对齐'!C$2:'对齐'!C560)-1</f>
        <v/>
      </c>
      <c r="I560">
        <f>IF(ROW()-2&gt;='参数'!$B$2,STDEV(OFFSET(F560,1-'参数'!$B$2,0,'参数'!$B$2,1))*SQRT('参数'!$B$3),"")</f>
        <v/>
      </c>
    </row>
    <row r="561">
      <c r="A561">
        <f>'对齐'!A561</f>
        <v/>
      </c>
      <c r="B561">
        <f>'对齐'!B561/'对齐'!B560-1</f>
        <v/>
      </c>
      <c r="C561">
        <f>'对齐'!B561/'对齐'!B$2*100</f>
        <v/>
      </c>
      <c r="D561">
        <f>'对齐'!B561/MAX('对齐'!B$2:'对齐'!B561)-1</f>
        <v/>
      </c>
      <c r="E561">
        <f>IF(ROW()-2&gt;='参数'!$B$2,STDEV(OFFSET(B561,1-'参数'!$B$2,0,'参数'!$B$2,1))*SQRT('参数'!$B$3),"")</f>
        <v/>
      </c>
      <c r="F561">
        <f>'对齐'!C561/'对齐'!C560-1</f>
        <v/>
      </c>
      <c r="G561">
        <f>'对齐'!C561/'对齐'!C$2*100</f>
        <v/>
      </c>
      <c r="H561">
        <f>'对齐'!C561/MAX('对齐'!C$2:'对齐'!C561)-1</f>
        <v/>
      </c>
      <c r="I561">
        <f>IF(ROW()-2&gt;='参数'!$B$2,STDEV(OFFSET(F561,1-'参数'!$B$2,0,'参数'!$B$2,1))*SQRT('参数'!$B$3),"")</f>
        <v/>
      </c>
    </row>
    <row r="562">
      <c r="A562">
        <f>'对齐'!A562</f>
        <v/>
      </c>
      <c r="B562">
        <f>'对齐'!B562/'对齐'!B561-1</f>
        <v/>
      </c>
      <c r="C562">
        <f>'对齐'!B562/'对齐'!B$2*100</f>
        <v/>
      </c>
      <c r="D562">
        <f>'对齐'!B562/MAX('对齐'!B$2:'对齐'!B562)-1</f>
        <v/>
      </c>
      <c r="E562">
        <f>IF(ROW()-2&gt;='参数'!$B$2,STDEV(OFFSET(B562,1-'参数'!$B$2,0,'参数'!$B$2,1))*SQRT('参数'!$B$3),"")</f>
        <v/>
      </c>
      <c r="F562">
        <f>'对齐'!C562/'对齐'!C561-1</f>
        <v/>
      </c>
      <c r="G562">
        <f>'对齐'!C562/'对齐'!C$2*100</f>
        <v/>
      </c>
      <c r="H562">
        <f>'对齐'!C562/MAX('对齐'!C$2:'对齐'!C562)-1</f>
        <v/>
      </c>
      <c r="I562">
        <f>IF(ROW()-2&gt;='参数'!$B$2,STDEV(OFFSET(F562,1-'参数'!$B$2,0,'参数'!$B$2,1))*SQRT('参数'!$B$3),"")</f>
        <v/>
      </c>
    </row>
    <row r="563">
      <c r="A563">
        <f>'对齐'!A563</f>
        <v/>
      </c>
      <c r="B563">
        <f>'对齐'!B563/'对齐'!B562-1</f>
        <v/>
      </c>
      <c r="C563">
        <f>'对齐'!B563/'对齐'!B$2*100</f>
        <v/>
      </c>
      <c r="D563">
        <f>'对齐'!B563/MAX('对齐'!B$2:'对齐'!B563)-1</f>
        <v/>
      </c>
      <c r="E563">
        <f>IF(ROW()-2&gt;='参数'!$B$2,STDEV(OFFSET(B563,1-'参数'!$B$2,0,'参数'!$B$2,1))*SQRT('参数'!$B$3),"")</f>
        <v/>
      </c>
      <c r="F563">
        <f>'对齐'!C563/'对齐'!C562-1</f>
        <v/>
      </c>
      <c r="G563">
        <f>'对齐'!C563/'对齐'!C$2*100</f>
        <v/>
      </c>
      <c r="H563">
        <f>'对齐'!C563/MAX('对齐'!C$2:'对齐'!C563)-1</f>
        <v/>
      </c>
      <c r="I563">
        <f>IF(ROW()-2&gt;='参数'!$B$2,STDEV(OFFSET(F563,1-'参数'!$B$2,0,'参数'!$B$2,1))*SQRT('参数'!$B$3),"")</f>
        <v/>
      </c>
    </row>
    <row r="564">
      <c r="A564">
        <f>'对齐'!A564</f>
        <v/>
      </c>
      <c r="B564">
        <f>'对齐'!B564/'对齐'!B563-1</f>
        <v/>
      </c>
      <c r="C564">
        <f>'对齐'!B564/'对齐'!B$2*100</f>
        <v/>
      </c>
      <c r="D564">
        <f>'对齐'!B564/MAX('对齐'!B$2:'对齐'!B564)-1</f>
        <v/>
      </c>
      <c r="E564">
        <f>IF(ROW()-2&gt;='参数'!$B$2,STDEV(OFFSET(B564,1-'参数'!$B$2,0,'参数'!$B$2,1))*SQRT('参数'!$B$3),"")</f>
        <v/>
      </c>
      <c r="F564">
        <f>'对齐'!C564/'对齐'!C563-1</f>
        <v/>
      </c>
      <c r="G564">
        <f>'对齐'!C564/'对齐'!C$2*100</f>
        <v/>
      </c>
      <c r="H564">
        <f>'对齐'!C564/MAX('对齐'!C$2:'对齐'!C564)-1</f>
        <v/>
      </c>
      <c r="I564">
        <f>IF(ROW()-2&gt;='参数'!$B$2,STDEV(OFFSET(F564,1-'参数'!$B$2,0,'参数'!$B$2,1))*SQRT('参数'!$B$3),"")</f>
        <v/>
      </c>
    </row>
    <row r="565">
      <c r="A565">
        <f>'对齐'!A565</f>
        <v/>
      </c>
      <c r="B565">
        <f>'对齐'!B565/'对齐'!B564-1</f>
        <v/>
      </c>
      <c r="C565">
        <f>'对齐'!B565/'对齐'!B$2*100</f>
        <v/>
      </c>
      <c r="D565">
        <f>'对齐'!B565/MAX('对齐'!B$2:'对齐'!B565)-1</f>
        <v/>
      </c>
      <c r="E565">
        <f>IF(ROW()-2&gt;='参数'!$B$2,STDEV(OFFSET(B565,1-'参数'!$B$2,0,'参数'!$B$2,1))*SQRT('参数'!$B$3),"")</f>
        <v/>
      </c>
      <c r="F565">
        <f>'对齐'!C565/'对齐'!C564-1</f>
        <v/>
      </c>
      <c r="G565">
        <f>'对齐'!C565/'对齐'!C$2*100</f>
        <v/>
      </c>
      <c r="H565">
        <f>'对齐'!C565/MAX('对齐'!C$2:'对齐'!C565)-1</f>
        <v/>
      </c>
      <c r="I565">
        <f>IF(ROW()-2&gt;='参数'!$B$2,STDEV(OFFSET(F565,1-'参数'!$B$2,0,'参数'!$B$2,1))*SQRT('参数'!$B$3),"")</f>
        <v/>
      </c>
    </row>
    <row r="566">
      <c r="A566">
        <f>'对齐'!A566</f>
        <v/>
      </c>
      <c r="B566">
        <f>'对齐'!B566/'对齐'!B565-1</f>
        <v/>
      </c>
      <c r="C566">
        <f>'对齐'!B566/'对齐'!B$2*100</f>
        <v/>
      </c>
      <c r="D566">
        <f>'对齐'!B566/MAX('对齐'!B$2:'对齐'!B566)-1</f>
        <v/>
      </c>
      <c r="E566">
        <f>IF(ROW()-2&gt;='参数'!$B$2,STDEV(OFFSET(B566,1-'参数'!$B$2,0,'参数'!$B$2,1))*SQRT('参数'!$B$3),"")</f>
        <v/>
      </c>
      <c r="F566">
        <f>'对齐'!C566/'对齐'!C565-1</f>
        <v/>
      </c>
      <c r="G566">
        <f>'对齐'!C566/'对齐'!C$2*100</f>
        <v/>
      </c>
      <c r="H566">
        <f>'对齐'!C566/MAX('对齐'!C$2:'对齐'!C566)-1</f>
        <v/>
      </c>
      <c r="I566">
        <f>IF(ROW()-2&gt;='参数'!$B$2,STDEV(OFFSET(F566,1-'参数'!$B$2,0,'参数'!$B$2,1))*SQRT('参数'!$B$3),"")</f>
        <v/>
      </c>
    </row>
    <row r="567">
      <c r="A567">
        <f>'对齐'!A567</f>
        <v/>
      </c>
      <c r="B567">
        <f>'对齐'!B567/'对齐'!B566-1</f>
        <v/>
      </c>
      <c r="C567">
        <f>'对齐'!B567/'对齐'!B$2*100</f>
        <v/>
      </c>
      <c r="D567">
        <f>'对齐'!B567/MAX('对齐'!B$2:'对齐'!B567)-1</f>
        <v/>
      </c>
      <c r="E567">
        <f>IF(ROW()-2&gt;='参数'!$B$2,STDEV(OFFSET(B567,1-'参数'!$B$2,0,'参数'!$B$2,1))*SQRT('参数'!$B$3),"")</f>
        <v/>
      </c>
      <c r="F567">
        <f>'对齐'!C567/'对齐'!C566-1</f>
        <v/>
      </c>
      <c r="G567">
        <f>'对齐'!C567/'对齐'!C$2*100</f>
        <v/>
      </c>
      <c r="H567">
        <f>'对齐'!C567/MAX('对齐'!C$2:'对齐'!C567)-1</f>
        <v/>
      </c>
      <c r="I567">
        <f>IF(ROW()-2&gt;='参数'!$B$2,STDEV(OFFSET(F567,1-'参数'!$B$2,0,'参数'!$B$2,1))*SQRT('参数'!$B$3),"")</f>
        <v/>
      </c>
    </row>
    <row r="568">
      <c r="A568">
        <f>'对齐'!A568</f>
        <v/>
      </c>
      <c r="B568">
        <f>'对齐'!B568/'对齐'!B567-1</f>
        <v/>
      </c>
      <c r="C568">
        <f>'对齐'!B568/'对齐'!B$2*100</f>
        <v/>
      </c>
      <c r="D568">
        <f>'对齐'!B568/MAX('对齐'!B$2:'对齐'!B568)-1</f>
        <v/>
      </c>
      <c r="E568">
        <f>IF(ROW()-2&gt;='参数'!$B$2,STDEV(OFFSET(B568,1-'参数'!$B$2,0,'参数'!$B$2,1))*SQRT('参数'!$B$3),"")</f>
        <v/>
      </c>
      <c r="F568">
        <f>'对齐'!C568/'对齐'!C567-1</f>
        <v/>
      </c>
      <c r="G568">
        <f>'对齐'!C568/'对齐'!C$2*100</f>
        <v/>
      </c>
      <c r="H568">
        <f>'对齐'!C568/MAX('对齐'!C$2:'对齐'!C568)-1</f>
        <v/>
      </c>
      <c r="I568">
        <f>IF(ROW()-2&gt;='参数'!$B$2,STDEV(OFFSET(F568,1-'参数'!$B$2,0,'参数'!$B$2,1))*SQRT('参数'!$B$3),"")</f>
        <v/>
      </c>
    </row>
    <row r="569">
      <c r="A569">
        <f>'对齐'!A569</f>
        <v/>
      </c>
      <c r="B569">
        <f>'对齐'!B569/'对齐'!B568-1</f>
        <v/>
      </c>
      <c r="C569">
        <f>'对齐'!B569/'对齐'!B$2*100</f>
        <v/>
      </c>
      <c r="D569">
        <f>'对齐'!B569/MAX('对齐'!B$2:'对齐'!B569)-1</f>
        <v/>
      </c>
      <c r="E569">
        <f>IF(ROW()-2&gt;='参数'!$B$2,STDEV(OFFSET(B569,1-'参数'!$B$2,0,'参数'!$B$2,1))*SQRT('参数'!$B$3),"")</f>
        <v/>
      </c>
      <c r="F569">
        <f>'对齐'!C569/'对齐'!C568-1</f>
        <v/>
      </c>
      <c r="G569">
        <f>'对齐'!C569/'对齐'!C$2*100</f>
        <v/>
      </c>
      <c r="H569">
        <f>'对齐'!C569/MAX('对齐'!C$2:'对齐'!C569)-1</f>
        <v/>
      </c>
      <c r="I569">
        <f>IF(ROW()-2&gt;='参数'!$B$2,STDEV(OFFSET(F569,1-'参数'!$B$2,0,'参数'!$B$2,1))*SQRT('参数'!$B$3),"")</f>
        <v/>
      </c>
    </row>
    <row r="570">
      <c r="A570">
        <f>'对齐'!A570</f>
        <v/>
      </c>
      <c r="B570">
        <f>'对齐'!B570/'对齐'!B569-1</f>
        <v/>
      </c>
      <c r="C570">
        <f>'对齐'!B570/'对齐'!B$2*100</f>
        <v/>
      </c>
      <c r="D570">
        <f>'对齐'!B570/MAX('对齐'!B$2:'对齐'!B570)-1</f>
        <v/>
      </c>
      <c r="E570">
        <f>IF(ROW()-2&gt;='参数'!$B$2,STDEV(OFFSET(B570,1-'参数'!$B$2,0,'参数'!$B$2,1))*SQRT('参数'!$B$3),"")</f>
        <v/>
      </c>
      <c r="F570">
        <f>'对齐'!C570/'对齐'!C569-1</f>
        <v/>
      </c>
      <c r="G570">
        <f>'对齐'!C570/'对齐'!C$2*100</f>
        <v/>
      </c>
      <c r="H570">
        <f>'对齐'!C570/MAX('对齐'!C$2:'对齐'!C570)-1</f>
        <v/>
      </c>
      <c r="I570">
        <f>IF(ROW()-2&gt;='参数'!$B$2,STDEV(OFFSET(F570,1-'参数'!$B$2,0,'参数'!$B$2,1))*SQRT('参数'!$B$3),"")</f>
        <v/>
      </c>
    </row>
    <row r="571">
      <c r="A571">
        <f>'对齐'!A571</f>
        <v/>
      </c>
      <c r="B571">
        <f>'对齐'!B571/'对齐'!B570-1</f>
        <v/>
      </c>
      <c r="C571">
        <f>'对齐'!B571/'对齐'!B$2*100</f>
        <v/>
      </c>
      <c r="D571">
        <f>'对齐'!B571/MAX('对齐'!B$2:'对齐'!B571)-1</f>
        <v/>
      </c>
      <c r="E571">
        <f>IF(ROW()-2&gt;='参数'!$B$2,STDEV(OFFSET(B571,1-'参数'!$B$2,0,'参数'!$B$2,1))*SQRT('参数'!$B$3),"")</f>
        <v/>
      </c>
      <c r="F571">
        <f>'对齐'!C571/'对齐'!C570-1</f>
        <v/>
      </c>
      <c r="G571">
        <f>'对齐'!C571/'对齐'!C$2*100</f>
        <v/>
      </c>
      <c r="H571">
        <f>'对齐'!C571/MAX('对齐'!C$2:'对齐'!C571)-1</f>
        <v/>
      </c>
      <c r="I571">
        <f>IF(ROW()-2&gt;='参数'!$B$2,STDEV(OFFSET(F571,1-'参数'!$B$2,0,'参数'!$B$2,1))*SQRT('参数'!$B$3),"")</f>
        <v/>
      </c>
    </row>
    <row r="572">
      <c r="A572">
        <f>'对齐'!A572</f>
        <v/>
      </c>
      <c r="B572">
        <f>'对齐'!B572/'对齐'!B571-1</f>
        <v/>
      </c>
      <c r="C572">
        <f>'对齐'!B572/'对齐'!B$2*100</f>
        <v/>
      </c>
      <c r="D572">
        <f>'对齐'!B572/MAX('对齐'!B$2:'对齐'!B572)-1</f>
        <v/>
      </c>
      <c r="E572">
        <f>IF(ROW()-2&gt;='参数'!$B$2,STDEV(OFFSET(B572,1-'参数'!$B$2,0,'参数'!$B$2,1))*SQRT('参数'!$B$3),"")</f>
        <v/>
      </c>
      <c r="F572">
        <f>'对齐'!C572/'对齐'!C571-1</f>
        <v/>
      </c>
      <c r="G572">
        <f>'对齐'!C572/'对齐'!C$2*100</f>
        <v/>
      </c>
      <c r="H572">
        <f>'对齐'!C572/MAX('对齐'!C$2:'对齐'!C572)-1</f>
        <v/>
      </c>
      <c r="I572">
        <f>IF(ROW()-2&gt;='参数'!$B$2,STDEV(OFFSET(F572,1-'参数'!$B$2,0,'参数'!$B$2,1))*SQRT('参数'!$B$3),"")</f>
        <v/>
      </c>
    </row>
    <row r="573">
      <c r="A573">
        <f>'对齐'!A573</f>
        <v/>
      </c>
      <c r="B573">
        <f>'对齐'!B573/'对齐'!B572-1</f>
        <v/>
      </c>
      <c r="C573">
        <f>'对齐'!B573/'对齐'!B$2*100</f>
        <v/>
      </c>
      <c r="D573">
        <f>'对齐'!B573/MAX('对齐'!B$2:'对齐'!B573)-1</f>
        <v/>
      </c>
      <c r="E573">
        <f>IF(ROW()-2&gt;='参数'!$B$2,STDEV(OFFSET(B573,1-'参数'!$B$2,0,'参数'!$B$2,1))*SQRT('参数'!$B$3),"")</f>
        <v/>
      </c>
      <c r="F573">
        <f>'对齐'!C573/'对齐'!C572-1</f>
        <v/>
      </c>
      <c r="G573">
        <f>'对齐'!C573/'对齐'!C$2*100</f>
        <v/>
      </c>
      <c r="H573">
        <f>'对齐'!C573/MAX('对齐'!C$2:'对齐'!C573)-1</f>
        <v/>
      </c>
      <c r="I573">
        <f>IF(ROW()-2&gt;='参数'!$B$2,STDEV(OFFSET(F573,1-'参数'!$B$2,0,'参数'!$B$2,1))*SQRT('参数'!$B$3),"")</f>
        <v/>
      </c>
    </row>
    <row r="574">
      <c r="A574">
        <f>'对齐'!A574</f>
        <v/>
      </c>
      <c r="B574">
        <f>'对齐'!B574/'对齐'!B573-1</f>
        <v/>
      </c>
      <c r="C574">
        <f>'对齐'!B574/'对齐'!B$2*100</f>
        <v/>
      </c>
      <c r="D574">
        <f>'对齐'!B574/MAX('对齐'!B$2:'对齐'!B574)-1</f>
        <v/>
      </c>
      <c r="E574">
        <f>IF(ROW()-2&gt;='参数'!$B$2,STDEV(OFFSET(B574,1-'参数'!$B$2,0,'参数'!$B$2,1))*SQRT('参数'!$B$3),"")</f>
        <v/>
      </c>
      <c r="F574">
        <f>'对齐'!C574/'对齐'!C573-1</f>
        <v/>
      </c>
      <c r="G574">
        <f>'对齐'!C574/'对齐'!C$2*100</f>
        <v/>
      </c>
      <c r="H574">
        <f>'对齐'!C574/MAX('对齐'!C$2:'对齐'!C574)-1</f>
        <v/>
      </c>
      <c r="I574">
        <f>IF(ROW()-2&gt;='参数'!$B$2,STDEV(OFFSET(F574,1-'参数'!$B$2,0,'参数'!$B$2,1))*SQRT('参数'!$B$3),"")</f>
        <v/>
      </c>
    </row>
    <row r="575">
      <c r="A575">
        <f>'对齐'!A575</f>
        <v/>
      </c>
      <c r="B575">
        <f>'对齐'!B575/'对齐'!B574-1</f>
        <v/>
      </c>
      <c r="C575">
        <f>'对齐'!B575/'对齐'!B$2*100</f>
        <v/>
      </c>
      <c r="D575">
        <f>'对齐'!B575/MAX('对齐'!B$2:'对齐'!B575)-1</f>
        <v/>
      </c>
      <c r="E575">
        <f>IF(ROW()-2&gt;='参数'!$B$2,STDEV(OFFSET(B575,1-'参数'!$B$2,0,'参数'!$B$2,1))*SQRT('参数'!$B$3),"")</f>
        <v/>
      </c>
      <c r="F575">
        <f>'对齐'!C575/'对齐'!C574-1</f>
        <v/>
      </c>
      <c r="G575">
        <f>'对齐'!C575/'对齐'!C$2*100</f>
        <v/>
      </c>
      <c r="H575">
        <f>'对齐'!C575/MAX('对齐'!C$2:'对齐'!C575)-1</f>
        <v/>
      </c>
      <c r="I575">
        <f>IF(ROW()-2&gt;='参数'!$B$2,STDEV(OFFSET(F575,1-'参数'!$B$2,0,'参数'!$B$2,1))*SQRT('参数'!$B$3),"")</f>
        <v/>
      </c>
    </row>
    <row r="576">
      <c r="A576">
        <f>'对齐'!A576</f>
        <v/>
      </c>
      <c r="B576">
        <f>'对齐'!B576/'对齐'!B575-1</f>
        <v/>
      </c>
      <c r="C576">
        <f>'对齐'!B576/'对齐'!B$2*100</f>
        <v/>
      </c>
      <c r="D576">
        <f>'对齐'!B576/MAX('对齐'!B$2:'对齐'!B576)-1</f>
        <v/>
      </c>
      <c r="E576">
        <f>IF(ROW()-2&gt;='参数'!$B$2,STDEV(OFFSET(B576,1-'参数'!$B$2,0,'参数'!$B$2,1))*SQRT('参数'!$B$3),"")</f>
        <v/>
      </c>
      <c r="F576">
        <f>'对齐'!C576/'对齐'!C575-1</f>
        <v/>
      </c>
      <c r="G576">
        <f>'对齐'!C576/'对齐'!C$2*100</f>
        <v/>
      </c>
      <c r="H576">
        <f>'对齐'!C576/MAX('对齐'!C$2:'对齐'!C576)-1</f>
        <v/>
      </c>
      <c r="I576">
        <f>IF(ROW()-2&gt;='参数'!$B$2,STDEV(OFFSET(F576,1-'参数'!$B$2,0,'参数'!$B$2,1))*SQRT('参数'!$B$3),"")</f>
        <v/>
      </c>
    </row>
    <row r="577">
      <c r="A577">
        <f>'对齐'!A577</f>
        <v/>
      </c>
      <c r="B577">
        <f>'对齐'!B577/'对齐'!B576-1</f>
        <v/>
      </c>
      <c r="C577">
        <f>'对齐'!B577/'对齐'!B$2*100</f>
        <v/>
      </c>
      <c r="D577">
        <f>'对齐'!B577/MAX('对齐'!B$2:'对齐'!B577)-1</f>
        <v/>
      </c>
      <c r="E577">
        <f>IF(ROW()-2&gt;='参数'!$B$2,STDEV(OFFSET(B577,1-'参数'!$B$2,0,'参数'!$B$2,1))*SQRT('参数'!$B$3),"")</f>
        <v/>
      </c>
      <c r="F577">
        <f>'对齐'!C577/'对齐'!C576-1</f>
        <v/>
      </c>
      <c r="G577">
        <f>'对齐'!C577/'对齐'!C$2*100</f>
        <v/>
      </c>
      <c r="H577">
        <f>'对齐'!C577/MAX('对齐'!C$2:'对齐'!C577)-1</f>
        <v/>
      </c>
      <c r="I577">
        <f>IF(ROW()-2&gt;='参数'!$B$2,STDEV(OFFSET(F577,1-'参数'!$B$2,0,'参数'!$B$2,1))*SQRT('参数'!$B$3),"")</f>
        <v/>
      </c>
    </row>
    <row r="578">
      <c r="A578">
        <f>'对齐'!A578</f>
        <v/>
      </c>
      <c r="B578">
        <f>'对齐'!B578/'对齐'!B577-1</f>
        <v/>
      </c>
      <c r="C578">
        <f>'对齐'!B578/'对齐'!B$2*100</f>
        <v/>
      </c>
      <c r="D578">
        <f>'对齐'!B578/MAX('对齐'!B$2:'对齐'!B578)-1</f>
        <v/>
      </c>
      <c r="E578">
        <f>IF(ROW()-2&gt;='参数'!$B$2,STDEV(OFFSET(B578,1-'参数'!$B$2,0,'参数'!$B$2,1))*SQRT('参数'!$B$3),"")</f>
        <v/>
      </c>
      <c r="F578">
        <f>'对齐'!C578/'对齐'!C577-1</f>
        <v/>
      </c>
      <c r="G578">
        <f>'对齐'!C578/'对齐'!C$2*100</f>
        <v/>
      </c>
      <c r="H578">
        <f>'对齐'!C578/MAX('对齐'!C$2:'对齐'!C578)-1</f>
        <v/>
      </c>
      <c r="I578">
        <f>IF(ROW()-2&gt;='参数'!$B$2,STDEV(OFFSET(F578,1-'参数'!$B$2,0,'参数'!$B$2,1))*SQRT('参数'!$B$3),"")</f>
        <v/>
      </c>
    </row>
    <row r="579">
      <c r="A579">
        <f>'对齐'!A579</f>
        <v/>
      </c>
      <c r="B579">
        <f>'对齐'!B579/'对齐'!B578-1</f>
        <v/>
      </c>
      <c r="C579">
        <f>'对齐'!B579/'对齐'!B$2*100</f>
        <v/>
      </c>
      <c r="D579">
        <f>'对齐'!B579/MAX('对齐'!B$2:'对齐'!B579)-1</f>
        <v/>
      </c>
      <c r="E579">
        <f>IF(ROW()-2&gt;='参数'!$B$2,STDEV(OFFSET(B579,1-'参数'!$B$2,0,'参数'!$B$2,1))*SQRT('参数'!$B$3),"")</f>
        <v/>
      </c>
      <c r="F579">
        <f>'对齐'!C579/'对齐'!C578-1</f>
        <v/>
      </c>
      <c r="G579">
        <f>'对齐'!C579/'对齐'!C$2*100</f>
        <v/>
      </c>
      <c r="H579">
        <f>'对齐'!C579/MAX('对齐'!C$2:'对齐'!C579)-1</f>
        <v/>
      </c>
      <c r="I579">
        <f>IF(ROW()-2&gt;='参数'!$B$2,STDEV(OFFSET(F579,1-'参数'!$B$2,0,'参数'!$B$2,1))*SQRT('参数'!$B$3),"")</f>
        <v/>
      </c>
    </row>
    <row r="580">
      <c r="A580">
        <f>'对齐'!A580</f>
        <v/>
      </c>
      <c r="B580">
        <f>'对齐'!B580/'对齐'!B579-1</f>
        <v/>
      </c>
      <c r="C580">
        <f>'对齐'!B580/'对齐'!B$2*100</f>
        <v/>
      </c>
      <c r="D580">
        <f>'对齐'!B580/MAX('对齐'!B$2:'对齐'!B580)-1</f>
        <v/>
      </c>
      <c r="E580">
        <f>IF(ROW()-2&gt;='参数'!$B$2,STDEV(OFFSET(B580,1-'参数'!$B$2,0,'参数'!$B$2,1))*SQRT('参数'!$B$3),"")</f>
        <v/>
      </c>
      <c r="F580">
        <f>'对齐'!C580/'对齐'!C579-1</f>
        <v/>
      </c>
      <c r="G580">
        <f>'对齐'!C580/'对齐'!C$2*100</f>
        <v/>
      </c>
      <c r="H580">
        <f>'对齐'!C580/MAX('对齐'!C$2:'对齐'!C580)-1</f>
        <v/>
      </c>
      <c r="I580">
        <f>IF(ROW()-2&gt;='参数'!$B$2,STDEV(OFFSET(F580,1-'参数'!$B$2,0,'参数'!$B$2,1))*SQRT('参数'!$B$3),"")</f>
        <v/>
      </c>
    </row>
    <row r="581">
      <c r="A581">
        <f>'对齐'!A581</f>
        <v/>
      </c>
      <c r="B581">
        <f>'对齐'!B581/'对齐'!B580-1</f>
        <v/>
      </c>
      <c r="C581">
        <f>'对齐'!B581/'对齐'!B$2*100</f>
        <v/>
      </c>
      <c r="D581">
        <f>'对齐'!B581/MAX('对齐'!B$2:'对齐'!B581)-1</f>
        <v/>
      </c>
      <c r="E581">
        <f>IF(ROW()-2&gt;='参数'!$B$2,STDEV(OFFSET(B581,1-'参数'!$B$2,0,'参数'!$B$2,1))*SQRT('参数'!$B$3),"")</f>
        <v/>
      </c>
      <c r="F581">
        <f>'对齐'!C581/'对齐'!C580-1</f>
        <v/>
      </c>
      <c r="G581">
        <f>'对齐'!C581/'对齐'!C$2*100</f>
        <v/>
      </c>
      <c r="H581">
        <f>'对齐'!C581/MAX('对齐'!C$2:'对齐'!C581)-1</f>
        <v/>
      </c>
      <c r="I581">
        <f>IF(ROW()-2&gt;='参数'!$B$2,STDEV(OFFSET(F581,1-'参数'!$B$2,0,'参数'!$B$2,1))*SQRT('参数'!$B$3),"")</f>
        <v/>
      </c>
    </row>
    <row r="582">
      <c r="A582">
        <f>'对齐'!A582</f>
        <v/>
      </c>
      <c r="B582">
        <f>'对齐'!B582/'对齐'!B581-1</f>
        <v/>
      </c>
      <c r="C582">
        <f>'对齐'!B582/'对齐'!B$2*100</f>
        <v/>
      </c>
      <c r="D582">
        <f>'对齐'!B582/MAX('对齐'!B$2:'对齐'!B582)-1</f>
        <v/>
      </c>
      <c r="E582">
        <f>IF(ROW()-2&gt;='参数'!$B$2,STDEV(OFFSET(B582,1-'参数'!$B$2,0,'参数'!$B$2,1))*SQRT('参数'!$B$3),"")</f>
        <v/>
      </c>
      <c r="F582">
        <f>'对齐'!C582/'对齐'!C581-1</f>
        <v/>
      </c>
      <c r="G582">
        <f>'对齐'!C582/'对齐'!C$2*100</f>
        <v/>
      </c>
      <c r="H582">
        <f>'对齐'!C582/MAX('对齐'!C$2:'对齐'!C582)-1</f>
        <v/>
      </c>
      <c r="I582">
        <f>IF(ROW()-2&gt;='参数'!$B$2,STDEV(OFFSET(F582,1-'参数'!$B$2,0,'参数'!$B$2,1))*SQRT('参数'!$B$3),"")</f>
        <v/>
      </c>
    </row>
    <row r="583">
      <c r="A583">
        <f>'对齐'!A583</f>
        <v/>
      </c>
      <c r="B583">
        <f>'对齐'!B583/'对齐'!B582-1</f>
        <v/>
      </c>
      <c r="C583">
        <f>'对齐'!B583/'对齐'!B$2*100</f>
        <v/>
      </c>
      <c r="D583">
        <f>'对齐'!B583/MAX('对齐'!B$2:'对齐'!B583)-1</f>
        <v/>
      </c>
      <c r="E583">
        <f>IF(ROW()-2&gt;='参数'!$B$2,STDEV(OFFSET(B583,1-'参数'!$B$2,0,'参数'!$B$2,1))*SQRT('参数'!$B$3),"")</f>
        <v/>
      </c>
      <c r="F583">
        <f>'对齐'!C583/'对齐'!C582-1</f>
        <v/>
      </c>
      <c r="G583">
        <f>'对齐'!C583/'对齐'!C$2*100</f>
        <v/>
      </c>
      <c r="H583">
        <f>'对齐'!C583/MAX('对齐'!C$2:'对齐'!C583)-1</f>
        <v/>
      </c>
      <c r="I583">
        <f>IF(ROW()-2&gt;='参数'!$B$2,STDEV(OFFSET(F583,1-'参数'!$B$2,0,'参数'!$B$2,1))*SQRT('参数'!$B$3),"")</f>
        <v/>
      </c>
    </row>
    <row r="584">
      <c r="A584">
        <f>'对齐'!A584</f>
        <v/>
      </c>
      <c r="B584">
        <f>'对齐'!B584/'对齐'!B583-1</f>
        <v/>
      </c>
      <c r="C584">
        <f>'对齐'!B584/'对齐'!B$2*100</f>
        <v/>
      </c>
      <c r="D584">
        <f>'对齐'!B584/MAX('对齐'!B$2:'对齐'!B584)-1</f>
        <v/>
      </c>
      <c r="E584">
        <f>IF(ROW()-2&gt;='参数'!$B$2,STDEV(OFFSET(B584,1-'参数'!$B$2,0,'参数'!$B$2,1))*SQRT('参数'!$B$3),"")</f>
        <v/>
      </c>
      <c r="F584">
        <f>'对齐'!C584/'对齐'!C583-1</f>
        <v/>
      </c>
      <c r="G584">
        <f>'对齐'!C584/'对齐'!C$2*100</f>
        <v/>
      </c>
      <c r="H584">
        <f>'对齐'!C584/MAX('对齐'!C$2:'对齐'!C584)-1</f>
        <v/>
      </c>
      <c r="I584">
        <f>IF(ROW()-2&gt;='参数'!$B$2,STDEV(OFFSET(F584,1-'参数'!$B$2,0,'参数'!$B$2,1))*SQRT('参数'!$B$3),"")</f>
        <v/>
      </c>
    </row>
    <row r="585">
      <c r="A585">
        <f>'对齐'!A585</f>
        <v/>
      </c>
      <c r="B585">
        <f>'对齐'!B585/'对齐'!B584-1</f>
        <v/>
      </c>
      <c r="C585">
        <f>'对齐'!B585/'对齐'!B$2*100</f>
        <v/>
      </c>
      <c r="D585">
        <f>'对齐'!B585/MAX('对齐'!B$2:'对齐'!B585)-1</f>
        <v/>
      </c>
      <c r="E585">
        <f>IF(ROW()-2&gt;='参数'!$B$2,STDEV(OFFSET(B585,1-'参数'!$B$2,0,'参数'!$B$2,1))*SQRT('参数'!$B$3),"")</f>
        <v/>
      </c>
      <c r="F585">
        <f>'对齐'!C585/'对齐'!C584-1</f>
        <v/>
      </c>
      <c r="G585">
        <f>'对齐'!C585/'对齐'!C$2*100</f>
        <v/>
      </c>
      <c r="H585">
        <f>'对齐'!C585/MAX('对齐'!C$2:'对齐'!C585)-1</f>
        <v/>
      </c>
      <c r="I585">
        <f>IF(ROW()-2&gt;='参数'!$B$2,STDEV(OFFSET(F585,1-'参数'!$B$2,0,'参数'!$B$2,1))*SQRT('参数'!$B$3),"")</f>
        <v/>
      </c>
    </row>
    <row r="586">
      <c r="A586">
        <f>'对齐'!A586</f>
        <v/>
      </c>
      <c r="B586">
        <f>'对齐'!B586/'对齐'!B585-1</f>
        <v/>
      </c>
      <c r="C586">
        <f>'对齐'!B586/'对齐'!B$2*100</f>
        <v/>
      </c>
      <c r="D586">
        <f>'对齐'!B586/MAX('对齐'!B$2:'对齐'!B586)-1</f>
        <v/>
      </c>
      <c r="E586">
        <f>IF(ROW()-2&gt;='参数'!$B$2,STDEV(OFFSET(B586,1-'参数'!$B$2,0,'参数'!$B$2,1))*SQRT('参数'!$B$3),"")</f>
        <v/>
      </c>
      <c r="F586">
        <f>'对齐'!C586/'对齐'!C585-1</f>
        <v/>
      </c>
      <c r="G586">
        <f>'对齐'!C586/'对齐'!C$2*100</f>
        <v/>
      </c>
      <c r="H586">
        <f>'对齐'!C586/MAX('对齐'!C$2:'对齐'!C586)-1</f>
        <v/>
      </c>
      <c r="I586">
        <f>IF(ROW()-2&gt;='参数'!$B$2,STDEV(OFFSET(F586,1-'参数'!$B$2,0,'参数'!$B$2,1))*SQRT('参数'!$B$3),"")</f>
        <v/>
      </c>
    </row>
    <row r="587">
      <c r="A587">
        <f>'对齐'!A587</f>
        <v/>
      </c>
      <c r="B587">
        <f>'对齐'!B587/'对齐'!B586-1</f>
        <v/>
      </c>
      <c r="C587">
        <f>'对齐'!B587/'对齐'!B$2*100</f>
        <v/>
      </c>
      <c r="D587">
        <f>'对齐'!B587/MAX('对齐'!B$2:'对齐'!B587)-1</f>
        <v/>
      </c>
      <c r="E587">
        <f>IF(ROW()-2&gt;='参数'!$B$2,STDEV(OFFSET(B587,1-'参数'!$B$2,0,'参数'!$B$2,1))*SQRT('参数'!$B$3),"")</f>
        <v/>
      </c>
      <c r="F587">
        <f>'对齐'!C587/'对齐'!C586-1</f>
        <v/>
      </c>
      <c r="G587">
        <f>'对齐'!C587/'对齐'!C$2*100</f>
        <v/>
      </c>
      <c r="H587">
        <f>'对齐'!C587/MAX('对齐'!C$2:'对齐'!C587)-1</f>
        <v/>
      </c>
      <c r="I587">
        <f>IF(ROW()-2&gt;='参数'!$B$2,STDEV(OFFSET(F587,1-'参数'!$B$2,0,'参数'!$B$2,1))*SQRT('参数'!$B$3),"")</f>
        <v/>
      </c>
    </row>
    <row r="588">
      <c r="A588">
        <f>'对齐'!A588</f>
        <v/>
      </c>
      <c r="B588">
        <f>'对齐'!B588/'对齐'!B587-1</f>
        <v/>
      </c>
      <c r="C588">
        <f>'对齐'!B588/'对齐'!B$2*100</f>
        <v/>
      </c>
      <c r="D588">
        <f>'对齐'!B588/MAX('对齐'!B$2:'对齐'!B588)-1</f>
        <v/>
      </c>
      <c r="E588">
        <f>IF(ROW()-2&gt;='参数'!$B$2,STDEV(OFFSET(B588,1-'参数'!$B$2,0,'参数'!$B$2,1))*SQRT('参数'!$B$3),"")</f>
        <v/>
      </c>
      <c r="F588">
        <f>'对齐'!C588/'对齐'!C587-1</f>
        <v/>
      </c>
      <c r="G588">
        <f>'对齐'!C588/'对齐'!C$2*100</f>
        <v/>
      </c>
      <c r="H588">
        <f>'对齐'!C588/MAX('对齐'!C$2:'对齐'!C588)-1</f>
        <v/>
      </c>
      <c r="I588">
        <f>IF(ROW()-2&gt;='参数'!$B$2,STDEV(OFFSET(F588,1-'参数'!$B$2,0,'参数'!$B$2,1))*SQRT('参数'!$B$3),"")</f>
        <v/>
      </c>
    </row>
    <row r="589">
      <c r="A589">
        <f>'对齐'!A589</f>
        <v/>
      </c>
      <c r="B589">
        <f>'对齐'!B589/'对齐'!B588-1</f>
        <v/>
      </c>
      <c r="C589">
        <f>'对齐'!B589/'对齐'!B$2*100</f>
        <v/>
      </c>
      <c r="D589">
        <f>'对齐'!B589/MAX('对齐'!B$2:'对齐'!B589)-1</f>
        <v/>
      </c>
      <c r="E589">
        <f>IF(ROW()-2&gt;='参数'!$B$2,STDEV(OFFSET(B589,1-'参数'!$B$2,0,'参数'!$B$2,1))*SQRT('参数'!$B$3),"")</f>
        <v/>
      </c>
      <c r="F589">
        <f>'对齐'!C589/'对齐'!C588-1</f>
        <v/>
      </c>
      <c r="G589">
        <f>'对齐'!C589/'对齐'!C$2*100</f>
        <v/>
      </c>
      <c r="H589">
        <f>'对齐'!C589/MAX('对齐'!C$2:'对齐'!C589)-1</f>
        <v/>
      </c>
      <c r="I589">
        <f>IF(ROW()-2&gt;='参数'!$B$2,STDEV(OFFSET(F589,1-'参数'!$B$2,0,'参数'!$B$2,1))*SQRT('参数'!$B$3),"")</f>
        <v/>
      </c>
    </row>
    <row r="590">
      <c r="A590">
        <f>'对齐'!A590</f>
        <v/>
      </c>
      <c r="B590">
        <f>'对齐'!B590/'对齐'!B589-1</f>
        <v/>
      </c>
      <c r="C590">
        <f>'对齐'!B590/'对齐'!B$2*100</f>
        <v/>
      </c>
      <c r="D590">
        <f>'对齐'!B590/MAX('对齐'!B$2:'对齐'!B590)-1</f>
        <v/>
      </c>
      <c r="E590">
        <f>IF(ROW()-2&gt;='参数'!$B$2,STDEV(OFFSET(B590,1-'参数'!$B$2,0,'参数'!$B$2,1))*SQRT('参数'!$B$3),"")</f>
        <v/>
      </c>
      <c r="F590">
        <f>'对齐'!C590/'对齐'!C589-1</f>
        <v/>
      </c>
      <c r="G590">
        <f>'对齐'!C590/'对齐'!C$2*100</f>
        <v/>
      </c>
      <c r="H590">
        <f>'对齐'!C590/MAX('对齐'!C$2:'对齐'!C590)-1</f>
        <v/>
      </c>
      <c r="I590">
        <f>IF(ROW()-2&gt;='参数'!$B$2,STDEV(OFFSET(F590,1-'参数'!$B$2,0,'参数'!$B$2,1))*SQRT('参数'!$B$3),"")</f>
        <v/>
      </c>
    </row>
    <row r="591">
      <c r="A591">
        <f>'对齐'!A591</f>
        <v/>
      </c>
      <c r="B591">
        <f>'对齐'!B591/'对齐'!B590-1</f>
        <v/>
      </c>
      <c r="C591">
        <f>'对齐'!B591/'对齐'!B$2*100</f>
        <v/>
      </c>
      <c r="D591">
        <f>'对齐'!B591/MAX('对齐'!B$2:'对齐'!B591)-1</f>
        <v/>
      </c>
      <c r="E591">
        <f>IF(ROW()-2&gt;='参数'!$B$2,STDEV(OFFSET(B591,1-'参数'!$B$2,0,'参数'!$B$2,1))*SQRT('参数'!$B$3),"")</f>
        <v/>
      </c>
      <c r="F591">
        <f>'对齐'!C591/'对齐'!C590-1</f>
        <v/>
      </c>
      <c r="G591">
        <f>'对齐'!C591/'对齐'!C$2*100</f>
        <v/>
      </c>
      <c r="H591">
        <f>'对齐'!C591/MAX('对齐'!C$2:'对齐'!C591)-1</f>
        <v/>
      </c>
      <c r="I591">
        <f>IF(ROW()-2&gt;='参数'!$B$2,STDEV(OFFSET(F591,1-'参数'!$B$2,0,'参数'!$B$2,1))*SQRT('参数'!$B$3),"")</f>
        <v/>
      </c>
    </row>
    <row r="592">
      <c r="A592">
        <f>'对齐'!A592</f>
        <v/>
      </c>
      <c r="B592">
        <f>'对齐'!B592/'对齐'!B591-1</f>
        <v/>
      </c>
      <c r="C592">
        <f>'对齐'!B592/'对齐'!B$2*100</f>
        <v/>
      </c>
      <c r="D592">
        <f>'对齐'!B592/MAX('对齐'!B$2:'对齐'!B592)-1</f>
        <v/>
      </c>
      <c r="E592">
        <f>IF(ROW()-2&gt;='参数'!$B$2,STDEV(OFFSET(B592,1-'参数'!$B$2,0,'参数'!$B$2,1))*SQRT('参数'!$B$3),"")</f>
        <v/>
      </c>
      <c r="F592">
        <f>'对齐'!C592/'对齐'!C591-1</f>
        <v/>
      </c>
      <c r="G592">
        <f>'对齐'!C592/'对齐'!C$2*100</f>
        <v/>
      </c>
      <c r="H592">
        <f>'对齐'!C592/MAX('对齐'!C$2:'对齐'!C592)-1</f>
        <v/>
      </c>
      <c r="I592">
        <f>IF(ROW()-2&gt;='参数'!$B$2,STDEV(OFFSET(F592,1-'参数'!$B$2,0,'参数'!$B$2,1))*SQRT('参数'!$B$3),"")</f>
        <v/>
      </c>
    </row>
    <row r="593">
      <c r="A593">
        <f>'对齐'!A593</f>
        <v/>
      </c>
      <c r="B593">
        <f>'对齐'!B593/'对齐'!B592-1</f>
        <v/>
      </c>
      <c r="C593">
        <f>'对齐'!B593/'对齐'!B$2*100</f>
        <v/>
      </c>
      <c r="D593">
        <f>'对齐'!B593/MAX('对齐'!B$2:'对齐'!B593)-1</f>
        <v/>
      </c>
      <c r="E593">
        <f>IF(ROW()-2&gt;='参数'!$B$2,STDEV(OFFSET(B593,1-'参数'!$B$2,0,'参数'!$B$2,1))*SQRT('参数'!$B$3),"")</f>
        <v/>
      </c>
      <c r="F593">
        <f>'对齐'!C593/'对齐'!C592-1</f>
        <v/>
      </c>
      <c r="G593">
        <f>'对齐'!C593/'对齐'!C$2*100</f>
        <v/>
      </c>
      <c r="H593">
        <f>'对齐'!C593/MAX('对齐'!C$2:'对齐'!C593)-1</f>
        <v/>
      </c>
      <c r="I593">
        <f>IF(ROW()-2&gt;='参数'!$B$2,STDEV(OFFSET(F593,1-'参数'!$B$2,0,'参数'!$B$2,1))*SQRT('参数'!$B$3),"")</f>
        <v/>
      </c>
    </row>
    <row r="594">
      <c r="A594">
        <f>'对齐'!A594</f>
        <v/>
      </c>
      <c r="B594">
        <f>'对齐'!B594/'对齐'!B593-1</f>
        <v/>
      </c>
      <c r="C594">
        <f>'对齐'!B594/'对齐'!B$2*100</f>
        <v/>
      </c>
      <c r="D594">
        <f>'对齐'!B594/MAX('对齐'!B$2:'对齐'!B594)-1</f>
        <v/>
      </c>
      <c r="E594">
        <f>IF(ROW()-2&gt;='参数'!$B$2,STDEV(OFFSET(B594,1-'参数'!$B$2,0,'参数'!$B$2,1))*SQRT('参数'!$B$3),"")</f>
        <v/>
      </c>
      <c r="F594">
        <f>'对齐'!C594/'对齐'!C593-1</f>
        <v/>
      </c>
      <c r="G594">
        <f>'对齐'!C594/'对齐'!C$2*100</f>
        <v/>
      </c>
      <c r="H594">
        <f>'对齐'!C594/MAX('对齐'!C$2:'对齐'!C594)-1</f>
        <v/>
      </c>
      <c r="I594">
        <f>IF(ROW()-2&gt;='参数'!$B$2,STDEV(OFFSET(F594,1-'参数'!$B$2,0,'参数'!$B$2,1))*SQRT('参数'!$B$3),"")</f>
        <v/>
      </c>
    </row>
    <row r="595">
      <c r="A595">
        <f>'对齐'!A595</f>
        <v/>
      </c>
      <c r="B595">
        <f>'对齐'!B595/'对齐'!B594-1</f>
        <v/>
      </c>
      <c r="C595">
        <f>'对齐'!B595/'对齐'!B$2*100</f>
        <v/>
      </c>
      <c r="D595">
        <f>'对齐'!B595/MAX('对齐'!B$2:'对齐'!B595)-1</f>
        <v/>
      </c>
      <c r="E595">
        <f>IF(ROW()-2&gt;='参数'!$B$2,STDEV(OFFSET(B595,1-'参数'!$B$2,0,'参数'!$B$2,1))*SQRT('参数'!$B$3),"")</f>
        <v/>
      </c>
      <c r="F595">
        <f>'对齐'!C595/'对齐'!C594-1</f>
        <v/>
      </c>
      <c r="G595">
        <f>'对齐'!C595/'对齐'!C$2*100</f>
        <v/>
      </c>
      <c r="H595">
        <f>'对齐'!C595/MAX('对齐'!C$2:'对齐'!C595)-1</f>
        <v/>
      </c>
      <c r="I595">
        <f>IF(ROW()-2&gt;='参数'!$B$2,STDEV(OFFSET(F595,1-'参数'!$B$2,0,'参数'!$B$2,1))*SQRT('参数'!$B$3),"")</f>
        <v/>
      </c>
    </row>
    <row r="596">
      <c r="A596">
        <f>'对齐'!A596</f>
        <v/>
      </c>
      <c r="B596">
        <f>'对齐'!B596/'对齐'!B595-1</f>
        <v/>
      </c>
      <c r="C596">
        <f>'对齐'!B596/'对齐'!B$2*100</f>
        <v/>
      </c>
      <c r="D596">
        <f>'对齐'!B596/MAX('对齐'!B$2:'对齐'!B596)-1</f>
        <v/>
      </c>
      <c r="E596">
        <f>IF(ROW()-2&gt;='参数'!$B$2,STDEV(OFFSET(B596,1-'参数'!$B$2,0,'参数'!$B$2,1))*SQRT('参数'!$B$3),"")</f>
        <v/>
      </c>
      <c r="F596">
        <f>'对齐'!C596/'对齐'!C595-1</f>
        <v/>
      </c>
      <c r="G596">
        <f>'对齐'!C596/'对齐'!C$2*100</f>
        <v/>
      </c>
      <c r="H596">
        <f>'对齐'!C596/MAX('对齐'!C$2:'对齐'!C596)-1</f>
        <v/>
      </c>
      <c r="I596">
        <f>IF(ROW()-2&gt;='参数'!$B$2,STDEV(OFFSET(F596,1-'参数'!$B$2,0,'参数'!$B$2,1))*SQRT('参数'!$B$3),"")</f>
        <v/>
      </c>
    </row>
    <row r="597">
      <c r="A597">
        <f>'对齐'!A597</f>
        <v/>
      </c>
      <c r="B597">
        <f>'对齐'!B597/'对齐'!B596-1</f>
        <v/>
      </c>
      <c r="C597">
        <f>'对齐'!B597/'对齐'!B$2*100</f>
        <v/>
      </c>
      <c r="D597">
        <f>'对齐'!B597/MAX('对齐'!B$2:'对齐'!B597)-1</f>
        <v/>
      </c>
      <c r="E597">
        <f>IF(ROW()-2&gt;='参数'!$B$2,STDEV(OFFSET(B597,1-'参数'!$B$2,0,'参数'!$B$2,1))*SQRT('参数'!$B$3),"")</f>
        <v/>
      </c>
      <c r="F597">
        <f>'对齐'!C597/'对齐'!C596-1</f>
        <v/>
      </c>
      <c r="G597">
        <f>'对齐'!C597/'对齐'!C$2*100</f>
        <v/>
      </c>
      <c r="H597">
        <f>'对齐'!C597/MAX('对齐'!C$2:'对齐'!C597)-1</f>
        <v/>
      </c>
      <c r="I597">
        <f>IF(ROW()-2&gt;='参数'!$B$2,STDEV(OFFSET(F597,1-'参数'!$B$2,0,'参数'!$B$2,1))*SQRT('参数'!$B$3),"")</f>
        <v/>
      </c>
    </row>
    <row r="598">
      <c r="A598">
        <f>'对齐'!A598</f>
        <v/>
      </c>
      <c r="B598">
        <f>'对齐'!B598/'对齐'!B597-1</f>
        <v/>
      </c>
      <c r="C598">
        <f>'对齐'!B598/'对齐'!B$2*100</f>
        <v/>
      </c>
      <c r="D598">
        <f>'对齐'!B598/MAX('对齐'!B$2:'对齐'!B598)-1</f>
        <v/>
      </c>
      <c r="E598">
        <f>IF(ROW()-2&gt;='参数'!$B$2,STDEV(OFFSET(B598,1-'参数'!$B$2,0,'参数'!$B$2,1))*SQRT('参数'!$B$3),"")</f>
        <v/>
      </c>
      <c r="F598">
        <f>'对齐'!C598/'对齐'!C597-1</f>
        <v/>
      </c>
      <c r="G598">
        <f>'对齐'!C598/'对齐'!C$2*100</f>
        <v/>
      </c>
      <c r="H598">
        <f>'对齐'!C598/MAX('对齐'!C$2:'对齐'!C598)-1</f>
        <v/>
      </c>
      <c r="I598">
        <f>IF(ROW()-2&gt;='参数'!$B$2,STDEV(OFFSET(F598,1-'参数'!$B$2,0,'参数'!$B$2,1))*SQRT('参数'!$B$3),"")</f>
        <v/>
      </c>
    </row>
    <row r="599">
      <c r="A599">
        <f>'对齐'!A599</f>
        <v/>
      </c>
      <c r="B599">
        <f>'对齐'!B599/'对齐'!B598-1</f>
        <v/>
      </c>
      <c r="C599">
        <f>'对齐'!B599/'对齐'!B$2*100</f>
        <v/>
      </c>
      <c r="D599">
        <f>'对齐'!B599/MAX('对齐'!B$2:'对齐'!B599)-1</f>
        <v/>
      </c>
      <c r="E599">
        <f>IF(ROW()-2&gt;='参数'!$B$2,STDEV(OFFSET(B599,1-'参数'!$B$2,0,'参数'!$B$2,1))*SQRT('参数'!$B$3),"")</f>
        <v/>
      </c>
      <c r="F599">
        <f>'对齐'!C599/'对齐'!C598-1</f>
        <v/>
      </c>
      <c r="G599">
        <f>'对齐'!C599/'对齐'!C$2*100</f>
        <v/>
      </c>
      <c r="H599">
        <f>'对齐'!C599/MAX('对齐'!C$2:'对齐'!C599)-1</f>
        <v/>
      </c>
      <c r="I599">
        <f>IF(ROW()-2&gt;='参数'!$B$2,STDEV(OFFSET(F599,1-'参数'!$B$2,0,'参数'!$B$2,1))*SQRT('参数'!$B$3),"")</f>
        <v/>
      </c>
    </row>
    <row r="600">
      <c r="A600">
        <f>'对齐'!A600</f>
        <v/>
      </c>
      <c r="B600">
        <f>'对齐'!B600/'对齐'!B599-1</f>
        <v/>
      </c>
      <c r="C600">
        <f>'对齐'!B600/'对齐'!B$2*100</f>
        <v/>
      </c>
      <c r="D600">
        <f>'对齐'!B600/MAX('对齐'!B$2:'对齐'!B600)-1</f>
        <v/>
      </c>
      <c r="E600">
        <f>IF(ROW()-2&gt;='参数'!$B$2,STDEV(OFFSET(B600,1-'参数'!$B$2,0,'参数'!$B$2,1))*SQRT('参数'!$B$3),"")</f>
        <v/>
      </c>
      <c r="F600">
        <f>'对齐'!C600/'对齐'!C599-1</f>
        <v/>
      </c>
      <c r="G600">
        <f>'对齐'!C600/'对齐'!C$2*100</f>
        <v/>
      </c>
      <c r="H600">
        <f>'对齐'!C600/MAX('对齐'!C$2:'对齐'!C600)-1</f>
        <v/>
      </c>
      <c r="I600">
        <f>IF(ROW()-2&gt;='参数'!$B$2,STDEV(OFFSET(F600,1-'参数'!$B$2,0,'参数'!$B$2,1))*SQRT('参数'!$B$3),"")</f>
        <v/>
      </c>
    </row>
    <row r="601">
      <c r="A601">
        <f>'对齐'!A601</f>
        <v/>
      </c>
      <c r="B601">
        <f>'对齐'!B601/'对齐'!B600-1</f>
        <v/>
      </c>
      <c r="C601">
        <f>'对齐'!B601/'对齐'!B$2*100</f>
        <v/>
      </c>
      <c r="D601">
        <f>'对齐'!B601/MAX('对齐'!B$2:'对齐'!B601)-1</f>
        <v/>
      </c>
      <c r="E601">
        <f>IF(ROW()-2&gt;='参数'!$B$2,STDEV(OFFSET(B601,1-'参数'!$B$2,0,'参数'!$B$2,1))*SQRT('参数'!$B$3),"")</f>
        <v/>
      </c>
      <c r="F601">
        <f>'对齐'!C601/'对齐'!C600-1</f>
        <v/>
      </c>
      <c r="G601">
        <f>'对齐'!C601/'对齐'!C$2*100</f>
        <v/>
      </c>
      <c r="H601">
        <f>'对齐'!C601/MAX('对齐'!C$2:'对齐'!C601)-1</f>
        <v/>
      </c>
      <c r="I601">
        <f>IF(ROW()-2&gt;='参数'!$B$2,STDEV(OFFSET(F601,1-'参数'!$B$2,0,'参数'!$B$2,1))*SQRT('参数'!$B$3),"")</f>
        <v/>
      </c>
    </row>
    <row r="602">
      <c r="A602">
        <f>'对齐'!A602</f>
        <v/>
      </c>
      <c r="B602">
        <f>'对齐'!B602/'对齐'!B601-1</f>
        <v/>
      </c>
      <c r="C602">
        <f>'对齐'!B602/'对齐'!B$2*100</f>
        <v/>
      </c>
      <c r="D602">
        <f>'对齐'!B602/MAX('对齐'!B$2:'对齐'!B602)-1</f>
        <v/>
      </c>
      <c r="E602">
        <f>IF(ROW()-2&gt;='参数'!$B$2,STDEV(OFFSET(B602,1-'参数'!$B$2,0,'参数'!$B$2,1))*SQRT('参数'!$B$3),"")</f>
        <v/>
      </c>
      <c r="F602">
        <f>'对齐'!C602/'对齐'!C601-1</f>
        <v/>
      </c>
      <c r="G602">
        <f>'对齐'!C602/'对齐'!C$2*100</f>
        <v/>
      </c>
      <c r="H602">
        <f>'对齐'!C602/MAX('对齐'!C$2:'对齐'!C602)-1</f>
        <v/>
      </c>
      <c r="I602">
        <f>IF(ROW()-2&gt;='参数'!$B$2,STDEV(OFFSET(F602,1-'参数'!$B$2,0,'参数'!$B$2,1))*SQRT('参数'!$B$3),"")</f>
        <v/>
      </c>
    </row>
    <row r="603">
      <c r="A603">
        <f>'对齐'!A603</f>
        <v/>
      </c>
      <c r="B603">
        <f>'对齐'!B603/'对齐'!B602-1</f>
        <v/>
      </c>
      <c r="C603">
        <f>'对齐'!B603/'对齐'!B$2*100</f>
        <v/>
      </c>
      <c r="D603">
        <f>'对齐'!B603/MAX('对齐'!B$2:'对齐'!B603)-1</f>
        <v/>
      </c>
      <c r="E603">
        <f>IF(ROW()-2&gt;='参数'!$B$2,STDEV(OFFSET(B603,1-'参数'!$B$2,0,'参数'!$B$2,1))*SQRT('参数'!$B$3),"")</f>
        <v/>
      </c>
      <c r="F603">
        <f>'对齐'!C603/'对齐'!C602-1</f>
        <v/>
      </c>
      <c r="G603">
        <f>'对齐'!C603/'对齐'!C$2*100</f>
        <v/>
      </c>
      <c r="H603">
        <f>'对齐'!C603/MAX('对齐'!C$2:'对齐'!C603)-1</f>
        <v/>
      </c>
      <c r="I603">
        <f>IF(ROW()-2&gt;='参数'!$B$2,STDEV(OFFSET(F603,1-'参数'!$B$2,0,'参数'!$B$2,1))*SQRT('参数'!$B$3),"")</f>
        <v/>
      </c>
    </row>
    <row r="604">
      <c r="A604">
        <f>'对齐'!A604</f>
        <v/>
      </c>
      <c r="B604">
        <f>'对齐'!B604/'对齐'!B603-1</f>
        <v/>
      </c>
      <c r="C604">
        <f>'对齐'!B604/'对齐'!B$2*100</f>
        <v/>
      </c>
      <c r="D604">
        <f>'对齐'!B604/MAX('对齐'!B$2:'对齐'!B604)-1</f>
        <v/>
      </c>
      <c r="E604">
        <f>IF(ROW()-2&gt;='参数'!$B$2,STDEV(OFFSET(B604,1-'参数'!$B$2,0,'参数'!$B$2,1))*SQRT('参数'!$B$3),"")</f>
        <v/>
      </c>
      <c r="F604">
        <f>'对齐'!C604/'对齐'!C603-1</f>
        <v/>
      </c>
      <c r="G604">
        <f>'对齐'!C604/'对齐'!C$2*100</f>
        <v/>
      </c>
      <c r="H604">
        <f>'对齐'!C604/MAX('对齐'!C$2:'对齐'!C604)-1</f>
        <v/>
      </c>
      <c r="I604">
        <f>IF(ROW()-2&gt;='参数'!$B$2,STDEV(OFFSET(F604,1-'参数'!$B$2,0,'参数'!$B$2,1))*SQRT('参数'!$B$3),"")</f>
        <v/>
      </c>
    </row>
    <row r="605">
      <c r="A605">
        <f>'对齐'!A605</f>
        <v/>
      </c>
      <c r="B605">
        <f>'对齐'!B605/'对齐'!B604-1</f>
        <v/>
      </c>
      <c r="C605">
        <f>'对齐'!B605/'对齐'!B$2*100</f>
        <v/>
      </c>
      <c r="D605">
        <f>'对齐'!B605/MAX('对齐'!B$2:'对齐'!B605)-1</f>
        <v/>
      </c>
      <c r="E605">
        <f>IF(ROW()-2&gt;='参数'!$B$2,STDEV(OFFSET(B605,1-'参数'!$B$2,0,'参数'!$B$2,1))*SQRT('参数'!$B$3),"")</f>
        <v/>
      </c>
      <c r="F605">
        <f>'对齐'!C605/'对齐'!C604-1</f>
        <v/>
      </c>
      <c r="G605">
        <f>'对齐'!C605/'对齐'!C$2*100</f>
        <v/>
      </c>
      <c r="H605">
        <f>'对齐'!C605/MAX('对齐'!C$2:'对齐'!C605)-1</f>
        <v/>
      </c>
      <c r="I605">
        <f>IF(ROW()-2&gt;='参数'!$B$2,STDEV(OFFSET(F605,1-'参数'!$B$2,0,'参数'!$B$2,1))*SQRT('参数'!$B$3),"")</f>
        <v/>
      </c>
    </row>
    <row r="606">
      <c r="A606">
        <f>'对齐'!A606</f>
        <v/>
      </c>
      <c r="B606">
        <f>'对齐'!B606/'对齐'!B605-1</f>
        <v/>
      </c>
      <c r="C606">
        <f>'对齐'!B606/'对齐'!B$2*100</f>
        <v/>
      </c>
      <c r="D606">
        <f>'对齐'!B606/MAX('对齐'!B$2:'对齐'!B606)-1</f>
        <v/>
      </c>
      <c r="E606">
        <f>IF(ROW()-2&gt;='参数'!$B$2,STDEV(OFFSET(B606,1-'参数'!$B$2,0,'参数'!$B$2,1))*SQRT('参数'!$B$3),"")</f>
        <v/>
      </c>
      <c r="F606">
        <f>'对齐'!C606/'对齐'!C605-1</f>
        <v/>
      </c>
      <c r="G606">
        <f>'对齐'!C606/'对齐'!C$2*100</f>
        <v/>
      </c>
      <c r="H606">
        <f>'对齐'!C606/MAX('对齐'!C$2:'对齐'!C606)-1</f>
        <v/>
      </c>
      <c r="I606">
        <f>IF(ROW()-2&gt;='参数'!$B$2,STDEV(OFFSET(F606,1-'参数'!$B$2,0,'参数'!$B$2,1))*SQRT('参数'!$B$3),"")</f>
        <v/>
      </c>
    </row>
    <row r="607">
      <c r="A607">
        <f>'对齐'!A607</f>
        <v/>
      </c>
      <c r="B607">
        <f>'对齐'!B607/'对齐'!B606-1</f>
        <v/>
      </c>
      <c r="C607">
        <f>'对齐'!B607/'对齐'!B$2*100</f>
        <v/>
      </c>
      <c r="D607">
        <f>'对齐'!B607/MAX('对齐'!B$2:'对齐'!B607)-1</f>
        <v/>
      </c>
      <c r="E607">
        <f>IF(ROW()-2&gt;='参数'!$B$2,STDEV(OFFSET(B607,1-'参数'!$B$2,0,'参数'!$B$2,1))*SQRT('参数'!$B$3),"")</f>
        <v/>
      </c>
      <c r="F607">
        <f>'对齐'!C607/'对齐'!C606-1</f>
        <v/>
      </c>
      <c r="G607">
        <f>'对齐'!C607/'对齐'!C$2*100</f>
        <v/>
      </c>
      <c r="H607">
        <f>'对齐'!C607/MAX('对齐'!C$2:'对齐'!C607)-1</f>
        <v/>
      </c>
      <c r="I607">
        <f>IF(ROW()-2&gt;='参数'!$B$2,STDEV(OFFSET(F607,1-'参数'!$B$2,0,'参数'!$B$2,1))*SQRT('参数'!$B$3),"")</f>
        <v/>
      </c>
    </row>
    <row r="608">
      <c r="A608">
        <f>'对齐'!A608</f>
        <v/>
      </c>
      <c r="B608">
        <f>'对齐'!B608/'对齐'!B607-1</f>
        <v/>
      </c>
      <c r="C608">
        <f>'对齐'!B608/'对齐'!B$2*100</f>
        <v/>
      </c>
      <c r="D608">
        <f>'对齐'!B608/MAX('对齐'!B$2:'对齐'!B608)-1</f>
        <v/>
      </c>
      <c r="E608">
        <f>IF(ROW()-2&gt;='参数'!$B$2,STDEV(OFFSET(B608,1-'参数'!$B$2,0,'参数'!$B$2,1))*SQRT('参数'!$B$3),"")</f>
        <v/>
      </c>
      <c r="F608">
        <f>'对齐'!C608/'对齐'!C607-1</f>
        <v/>
      </c>
      <c r="G608">
        <f>'对齐'!C608/'对齐'!C$2*100</f>
        <v/>
      </c>
      <c r="H608">
        <f>'对齐'!C608/MAX('对齐'!C$2:'对齐'!C608)-1</f>
        <v/>
      </c>
      <c r="I608">
        <f>IF(ROW()-2&gt;='参数'!$B$2,STDEV(OFFSET(F608,1-'参数'!$B$2,0,'参数'!$B$2,1))*SQRT('参数'!$B$3),"")</f>
        <v/>
      </c>
    </row>
    <row r="609">
      <c r="A609">
        <f>'对齐'!A609</f>
        <v/>
      </c>
      <c r="B609">
        <f>'对齐'!B609/'对齐'!B608-1</f>
        <v/>
      </c>
      <c r="C609">
        <f>'对齐'!B609/'对齐'!B$2*100</f>
        <v/>
      </c>
      <c r="D609">
        <f>'对齐'!B609/MAX('对齐'!B$2:'对齐'!B609)-1</f>
        <v/>
      </c>
      <c r="E609">
        <f>IF(ROW()-2&gt;='参数'!$B$2,STDEV(OFFSET(B609,1-'参数'!$B$2,0,'参数'!$B$2,1))*SQRT('参数'!$B$3),"")</f>
        <v/>
      </c>
      <c r="F609">
        <f>'对齐'!C609/'对齐'!C608-1</f>
        <v/>
      </c>
      <c r="G609">
        <f>'对齐'!C609/'对齐'!C$2*100</f>
        <v/>
      </c>
      <c r="H609">
        <f>'对齐'!C609/MAX('对齐'!C$2:'对齐'!C609)-1</f>
        <v/>
      </c>
      <c r="I609">
        <f>IF(ROW()-2&gt;='参数'!$B$2,STDEV(OFFSET(F609,1-'参数'!$B$2,0,'参数'!$B$2,1))*SQRT('参数'!$B$3),"")</f>
        <v/>
      </c>
    </row>
    <row r="610">
      <c r="A610">
        <f>'对齐'!A610</f>
        <v/>
      </c>
      <c r="B610">
        <f>'对齐'!B610/'对齐'!B609-1</f>
        <v/>
      </c>
      <c r="C610">
        <f>'对齐'!B610/'对齐'!B$2*100</f>
        <v/>
      </c>
      <c r="D610">
        <f>'对齐'!B610/MAX('对齐'!B$2:'对齐'!B610)-1</f>
        <v/>
      </c>
      <c r="E610">
        <f>IF(ROW()-2&gt;='参数'!$B$2,STDEV(OFFSET(B610,1-'参数'!$B$2,0,'参数'!$B$2,1))*SQRT('参数'!$B$3),"")</f>
        <v/>
      </c>
      <c r="F610">
        <f>'对齐'!C610/'对齐'!C609-1</f>
        <v/>
      </c>
      <c r="G610">
        <f>'对齐'!C610/'对齐'!C$2*100</f>
        <v/>
      </c>
      <c r="H610">
        <f>'对齐'!C610/MAX('对齐'!C$2:'对齐'!C610)-1</f>
        <v/>
      </c>
      <c r="I610">
        <f>IF(ROW()-2&gt;='参数'!$B$2,STDEV(OFFSET(F610,1-'参数'!$B$2,0,'参数'!$B$2,1))*SQRT('参数'!$B$3),"")</f>
        <v/>
      </c>
    </row>
    <row r="611">
      <c r="A611">
        <f>'对齐'!A611</f>
        <v/>
      </c>
      <c r="B611">
        <f>'对齐'!B611/'对齐'!B610-1</f>
        <v/>
      </c>
      <c r="C611">
        <f>'对齐'!B611/'对齐'!B$2*100</f>
        <v/>
      </c>
      <c r="D611">
        <f>'对齐'!B611/MAX('对齐'!B$2:'对齐'!B611)-1</f>
        <v/>
      </c>
      <c r="E611">
        <f>IF(ROW()-2&gt;='参数'!$B$2,STDEV(OFFSET(B611,1-'参数'!$B$2,0,'参数'!$B$2,1))*SQRT('参数'!$B$3),"")</f>
        <v/>
      </c>
      <c r="F611">
        <f>'对齐'!C611/'对齐'!C610-1</f>
        <v/>
      </c>
      <c r="G611">
        <f>'对齐'!C611/'对齐'!C$2*100</f>
        <v/>
      </c>
      <c r="H611">
        <f>'对齐'!C611/MAX('对齐'!C$2:'对齐'!C611)-1</f>
        <v/>
      </c>
      <c r="I611">
        <f>IF(ROW()-2&gt;='参数'!$B$2,STDEV(OFFSET(F611,1-'参数'!$B$2,0,'参数'!$B$2,1))*SQRT('参数'!$B$3),"")</f>
        <v/>
      </c>
    </row>
    <row r="612">
      <c r="A612">
        <f>'对齐'!A612</f>
        <v/>
      </c>
      <c r="B612">
        <f>'对齐'!B612/'对齐'!B611-1</f>
        <v/>
      </c>
      <c r="C612">
        <f>'对齐'!B612/'对齐'!B$2*100</f>
        <v/>
      </c>
      <c r="D612">
        <f>'对齐'!B612/MAX('对齐'!B$2:'对齐'!B612)-1</f>
        <v/>
      </c>
      <c r="E612">
        <f>IF(ROW()-2&gt;='参数'!$B$2,STDEV(OFFSET(B612,1-'参数'!$B$2,0,'参数'!$B$2,1))*SQRT('参数'!$B$3),"")</f>
        <v/>
      </c>
      <c r="F612">
        <f>'对齐'!C612/'对齐'!C611-1</f>
        <v/>
      </c>
      <c r="G612">
        <f>'对齐'!C612/'对齐'!C$2*100</f>
        <v/>
      </c>
      <c r="H612">
        <f>'对齐'!C612/MAX('对齐'!C$2:'对齐'!C612)-1</f>
        <v/>
      </c>
      <c r="I612">
        <f>IF(ROW()-2&gt;='参数'!$B$2,STDEV(OFFSET(F612,1-'参数'!$B$2,0,'参数'!$B$2,1))*SQRT('参数'!$B$3),"")</f>
        <v/>
      </c>
    </row>
    <row r="613">
      <c r="A613">
        <f>'对齐'!A613</f>
        <v/>
      </c>
      <c r="B613">
        <f>'对齐'!B613/'对齐'!B612-1</f>
        <v/>
      </c>
      <c r="C613">
        <f>'对齐'!B613/'对齐'!B$2*100</f>
        <v/>
      </c>
      <c r="D613">
        <f>'对齐'!B613/MAX('对齐'!B$2:'对齐'!B613)-1</f>
        <v/>
      </c>
      <c r="E613">
        <f>IF(ROW()-2&gt;='参数'!$B$2,STDEV(OFFSET(B613,1-'参数'!$B$2,0,'参数'!$B$2,1))*SQRT('参数'!$B$3),"")</f>
        <v/>
      </c>
      <c r="F613">
        <f>'对齐'!C613/'对齐'!C612-1</f>
        <v/>
      </c>
      <c r="G613">
        <f>'对齐'!C613/'对齐'!C$2*100</f>
        <v/>
      </c>
      <c r="H613">
        <f>'对齐'!C613/MAX('对齐'!C$2:'对齐'!C613)-1</f>
        <v/>
      </c>
      <c r="I613">
        <f>IF(ROW()-2&gt;='参数'!$B$2,STDEV(OFFSET(F613,1-'参数'!$B$2,0,'参数'!$B$2,1))*SQRT('参数'!$B$3),"")</f>
        <v/>
      </c>
    </row>
    <row r="614">
      <c r="A614">
        <f>'对齐'!A614</f>
        <v/>
      </c>
      <c r="B614">
        <f>'对齐'!B614/'对齐'!B613-1</f>
        <v/>
      </c>
      <c r="C614">
        <f>'对齐'!B614/'对齐'!B$2*100</f>
        <v/>
      </c>
      <c r="D614">
        <f>'对齐'!B614/MAX('对齐'!B$2:'对齐'!B614)-1</f>
        <v/>
      </c>
      <c r="E614">
        <f>IF(ROW()-2&gt;='参数'!$B$2,STDEV(OFFSET(B614,1-'参数'!$B$2,0,'参数'!$B$2,1))*SQRT('参数'!$B$3),"")</f>
        <v/>
      </c>
      <c r="F614">
        <f>'对齐'!C614/'对齐'!C613-1</f>
        <v/>
      </c>
      <c r="G614">
        <f>'对齐'!C614/'对齐'!C$2*100</f>
        <v/>
      </c>
      <c r="H614">
        <f>'对齐'!C614/MAX('对齐'!C$2:'对齐'!C614)-1</f>
        <v/>
      </c>
      <c r="I614">
        <f>IF(ROW()-2&gt;='参数'!$B$2,STDEV(OFFSET(F614,1-'参数'!$B$2,0,'参数'!$B$2,1))*SQRT('参数'!$B$3),"")</f>
        <v/>
      </c>
    </row>
    <row r="615">
      <c r="A615">
        <f>'对齐'!A615</f>
        <v/>
      </c>
      <c r="B615">
        <f>'对齐'!B615/'对齐'!B614-1</f>
        <v/>
      </c>
      <c r="C615">
        <f>'对齐'!B615/'对齐'!B$2*100</f>
        <v/>
      </c>
      <c r="D615">
        <f>'对齐'!B615/MAX('对齐'!B$2:'对齐'!B615)-1</f>
        <v/>
      </c>
      <c r="E615">
        <f>IF(ROW()-2&gt;='参数'!$B$2,STDEV(OFFSET(B615,1-'参数'!$B$2,0,'参数'!$B$2,1))*SQRT('参数'!$B$3),"")</f>
        <v/>
      </c>
      <c r="F615">
        <f>'对齐'!C615/'对齐'!C614-1</f>
        <v/>
      </c>
      <c r="G615">
        <f>'对齐'!C615/'对齐'!C$2*100</f>
        <v/>
      </c>
      <c r="H615">
        <f>'对齐'!C615/MAX('对齐'!C$2:'对齐'!C615)-1</f>
        <v/>
      </c>
      <c r="I615">
        <f>IF(ROW()-2&gt;='参数'!$B$2,STDEV(OFFSET(F615,1-'参数'!$B$2,0,'参数'!$B$2,1))*SQRT('参数'!$B$3),"")</f>
        <v/>
      </c>
    </row>
    <row r="616">
      <c r="A616">
        <f>'对齐'!A616</f>
        <v/>
      </c>
      <c r="B616">
        <f>'对齐'!B616/'对齐'!B615-1</f>
        <v/>
      </c>
      <c r="C616">
        <f>'对齐'!B616/'对齐'!B$2*100</f>
        <v/>
      </c>
      <c r="D616">
        <f>'对齐'!B616/MAX('对齐'!B$2:'对齐'!B616)-1</f>
        <v/>
      </c>
      <c r="E616">
        <f>IF(ROW()-2&gt;='参数'!$B$2,STDEV(OFFSET(B616,1-'参数'!$B$2,0,'参数'!$B$2,1))*SQRT('参数'!$B$3),"")</f>
        <v/>
      </c>
      <c r="F616">
        <f>'对齐'!C616/'对齐'!C615-1</f>
        <v/>
      </c>
      <c r="G616">
        <f>'对齐'!C616/'对齐'!C$2*100</f>
        <v/>
      </c>
      <c r="H616">
        <f>'对齐'!C616/MAX('对齐'!C$2:'对齐'!C616)-1</f>
        <v/>
      </c>
      <c r="I616">
        <f>IF(ROW()-2&gt;='参数'!$B$2,STDEV(OFFSET(F616,1-'参数'!$B$2,0,'参数'!$B$2,1))*SQRT('参数'!$B$3),"")</f>
        <v/>
      </c>
    </row>
    <row r="617">
      <c r="A617">
        <f>'对齐'!A617</f>
        <v/>
      </c>
      <c r="B617">
        <f>'对齐'!B617/'对齐'!B616-1</f>
        <v/>
      </c>
      <c r="C617">
        <f>'对齐'!B617/'对齐'!B$2*100</f>
        <v/>
      </c>
      <c r="D617">
        <f>'对齐'!B617/MAX('对齐'!B$2:'对齐'!B617)-1</f>
        <v/>
      </c>
      <c r="E617">
        <f>IF(ROW()-2&gt;='参数'!$B$2,STDEV(OFFSET(B617,1-'参数'!$B$2,0,'参数'!$B$2,1))*SQRT('参数'!$B$3),"")</f>
        <v/>
      </c>
      <c r="F617">
        <f>'对齐'!C617/'对齐'!C616-1</f>
        <v/>
      </c>
      <c r="G617">
        <f>'对齐'!C617/'对齐'!C$2*100</f>
        <v/>
      </c>
      <c r="H617">
        <f>'对齐'!C617/MAX('对齐'!C$2:'对齐'!C617)-1</f>
        <v/>
      </c>
      <c r="I617">
        <f>IF(ROW()-2&gt;='参数'!$B$2,STDEV(OFFSET(F617,1-'参数'!$B$2,0,'参数'!$B$2,1))*SQRT('参数'!$B$3),"")</f>
        <v/>
      </c>
    </row>
    <row r="618">
      <c r="A618">
        <f>'对齐'!A618</f>
        <v/>
      </c>
      <c r="B618">
        <f>'对齐'!B618/'对齐'!B617-1</f>
        <v/>
      </c>
      <c r="C618">
        <f>'对齐'!B618/'对齐'!B$2*100</f>
        <v/>
      </c>
      <c r="D618">
        <f>'对齐'!B618/MAX('对齐'!B$2:'对齐'!B618)-1</f>
        <v/>
      </c>
      <c r="E618">
        <f>IF(ROW()-2&gt;='参数'!$B$2,STDEV(OFFSET(B618,1-'参数'!$B$2,0,'参数'!$B$2,1))*SQRT('参数'!$B$3),"")</f>
        <v/>
      </c>
      <c r="F618">
        <f>'对齐'!C618/'对齐'!C617-1</f>
        <v/>
      </c>
      <c r="G618">
        <f>'对齐'!C618/'对齐'!C$2*100</f>
        <v/>
      </c>
      <c r="H618">
        <f>'对齐'!C618/MAX('对齐'!C$2:'对齐'!C618)-1</f>
        <v/>
      </c>
      <c r="I618">
        <f>IF(ROW()-2&gt;='参数'!$B$2,STDEV(OFFSET(F618,1-'参数'!$B$2,0,'参数'!$B$2,1))*SQRT('参数'!$B$3),"")</f>
        <v/>
      </c>
    </row>
    <row r="619">
      <c r="A619">
        <f>'对齐'!A619</f>
        <v/>
      </c>
      <c r="B619">
        <f>'对齐'!B619/'对齐'!B618-1</f>
        <v/>
      </c>
      <c r="C619">
        <f>'对齐'!B619/'对齐'!B$2*100</f>
        <v/>
      </c>
      <c r="D619">
        <f>'对齐'!B619/MAX('对齐'!B$2:'对齐'!B619)-1</f>
        <v/>
      </c>
      <c r="E619">
        <f>IF(ROW()-2&gt;='参数'!$B$2,STDEV(OFFSET(B619,1-'参数'!$B$2,0,'参数'!$B$2,1))*SQRT('参数'!$B$3),"")</f>
        <v/>
      </c>
      <c r="F619">
        <f>'对齐'!C619/'对齐'!C618-1</f>
        <v/>
      </c>
      <c r="G619">
        <f>'对齐'!C619/'对齐'!C$2*100</f>
        <v/>
      </c>
      <c r="H619">
        <f>'对齐'!C619/MAX('对齐'!C$2:'对齐'!C619)-1</f>
        <v/>
      </c>
      <c r="I619">
        <f>IF(ROW()-2&gt;='参数'!$B$2,STDEV(OFFSET(F619,1-'参数'!$B$2,0,'参数'!$B$2,1))*SQRT('参数'!$B$3),"")</f>
        <v/>
      </c>
    </row>
    <row r="620">
      <c r="A620">
        <f>'对齐'!A620</f>
        <v/>
      </c>
      <c r="B620">
        <f>'对齐'!B620/'对齐'!B619-1</f>
        <v/>
      </c>
      <c r="C620">
        <f>'对齐'!B620/'对齐'!B$2*100</f>
        <v/>
      </c>
      <c r="D620">
        <f>'对齐'!B620/MAX('对齐'!B$2:'对齐'!B620)-1</f>
        <v/>
      </c>
      <c r="E620">
        <f>IF(ROW()-2&gt;='参数'!$B$2,STDEV(OFFSET(B620,1-'参数'!$B$2,0,'参数'!$B$2,1))*SQRT('参数'!$B$3),"")</f>
        <v/>
      </c>
      <c r="F620">
        <f>'对齐'!C620/'对齐'!C619-1</f>
        <v/>
      </c>
      <c r="G620">
        <f>'对齐'!C620/'对齐'!C$2*100</f>
        <v/>
      </c>
      <c r="H620">
        <f>'对齐'!C620/MAX('对齐'!C$2:'对齐'!C620)-1</f>
        <v/>
      </c>
      <c r="I620">
        <f>IF(ROW()-2&gt;='参数'!$B$2,STDEV(OFFSET(F620,1-'参数'!$B$2,0,'参数'!$B$2,1))*SQRT('参数'!$B$3),"")</f>
        <v/>
      </c>
    </row>
    <row r="621">
      <c r="A621">
        <f>'对齐'!A621</f>
        <v/>
      </c>
      <c r="B621">
        <f>'对齐'!B621/'对齐'!B620-1</f>
        <v/>
      </c>
      <c r="C621">
        <f>'对齐'!B621/'对齐'!B$2*100</f>
        <v/>
      </c>
      <c r="D621">
        <f>'对齐'!B621/MAX('对齐'!B$2:'对齐'!B621)-1</f>
        <v/>
      </c>
      <c r="E621">
        <f>IF(ROW()-2&gt;='参数'!$B$2,STDEV(OFFSET(B621,1-'参数'!$B$2,0,'参数'!$B$2,1))*SQRT('参数'!$B$3),"")</f>
        <v/>
      </c>
      <c r="F621">
        <f>'对齐'!C621/'对齐'!C620-1</f>
        <v/>
      </c>
      <c r="G621">
        <f>'对齐'!C621/'对齐'!C$2*100</f>
        <v/>
      </c>
      <c r="H621">
        <f>'对齐'!C621/MAX('对齐'!C$2:'对齐'!C621)-1</f>
        <v/>
      </c>
      <c r="I621">
        <f>IF(ROW()-2&gt;='参数'!$B$2,STDEV(OFFSET(F621,1-'参数'!$B$2,0,'参数'!$B$2,1))*SQRT('参数'!$B$3),"")</f>
        <v/>
      </c>
    </row>
    <row r="622">
      <c r="A622">
        <f>'对齐'!A622</f>
        <v/>
      </c>
      <c r="B622">
        <f>'对齐'!B622/'对齐'!B621-1</f>
        <v/>
      </c>
      <c r="C622">
        <f>'对齐'!B622/'对齐'!B$2*100</f>
        <v/>
      </c>
      <c r="D622">
        <f>'对齐'!B622/MAX('对齐'!B$2:'对齐'!B622)-1</f>
        <v/>
      </c>
      <c r="E622">
        <f>IF(ROW()-2&gt;='参数'!$B$2,STDEV(OFFSET(B622,1-'参数'!$B$2,0,'参数'!$B$2,1))*SQRT('参数'!$B$3),"")</f>
        <v/>
      </c>
      <c r="F622">
        <f>'对齐'!C622/'对齐'!C621-1</f>
        <v/>
      </c>
      <c r="G622">
        <f>'对齐'!C622/'对齐'!C$2*100</f>
        <v/>
      </c>
      <c r="H622">
        <f>'对齐'!C622/MAX('对齐'!C$2:'对齐'!C622)-1</f>
        <v/>
      </c>
      <c r="I622">
        <f>IF(ROW()-2&gt;='参数'!$B$2,STDEV(OFFSET(F622,1-'参数'!$B$2,0,'参数'!$B$2,1))*SQRT('参数'!$B$3),"")</f>
        <v/>
      </c>
    </row>
    <row r="623">
      <c r="A623">
        <f>'对齐'!A623</f>
        <v/>
      </c>
      <c r="B623">
        <f>'对齐'!B623/'对齐'!B622-1</f>
        <v/>
      </c>
      <c r="C623">
        <f>'对齐'!B623/'对齐'!B$2*100</f>
        <v/>
      </c>
      <c r="D623">
        <f>'对齐'!B623/MAX('对齐'!B$2:'对齐'!B623)-1</f>
        <v/>
      </c>
      <c r="E623">
        <f>IF(ROW()-2&gt;='参数'!$B$2,STDEV(OFFSET(B623,1-'参数'!$B$2,0,'参数'!$B$2,1))*SQRT('参数'!$B$3),"")</f>
        <v/>
      </c>
      <c r="F623">
        <f>'对齐'!C623/'对齐'!C622-1</f>
        <v/>
      </c>
      <c r="G623">
        <f>'对齐'!C623/'对齐'!C$2*100</f>
        <v/>
      </c>
      <c r="H623">
        <f>'对齐'!C623/MAX('对齐'!C$2:'对齐'!C623)-1</f>
        <v/>
      </c>
      <c r="I623">
        <f>IF(ROW()-2&gt;='参数'!$B$2,STDEV(OFFSET(F623,1-'参数'!$B$2,0,'参数'!$B$2,1))*SQRT('参数'!$B$3),"")</f>
        <v/>
      </c>
    </row>
    <row r="624">
      <c r="A624">
        <f>'对齐'!A624</f>
        <v/>
      </c>
      <c r="B624">
        <f>'对齐'!B624/'对齐'!B623-1</f>
        <v/>
      </c>
      <c r="C624">
        <f>'对齐'!B624/'对齐'!B$2*100</f>
        <v/>
      </c>
      <c r="D624">
        <f>'对齐'!B624/MAX('对齐'!B$2:'对齐'!B624)-1</f>
        <v/>
      </c>
      <c r="E624">
        <f>IF(ROW()-2&gt;='参数'!$B$2,STDEV(OFFSET(B624,1-'参数'!$B$2,0,'参数'!$B$2,1))*SQRT('参数'!$B$3),"")</f>
        <v/>
      </c>
      <c r="F624">
        <f>'对齐'!C624/'对齐'!C623-1</f>
        <v/>
      </c>
      <c r="G624">
        <f>'对齐'!C624/'对齐'!C$2*100</f>
        <v/>
      </c>
      <c r="H624">
        <f>'对齐'!C624/MAX('对齐'!C$2:'对齐'!C624)-1</f>
        <v/>
      </c>
      <c r="I624">
        <f>IF(ROW()-2&gt;='参数'!$B$2,STDEV(OFFSET(F624,1-'参数'!$B$2,0,'参数'!$B$2,1))*SQRT('参数'!$B$3),"")</f>
        <v/>
      </c>
    </row>
    <row r="625">
      <c r="A625">
        <f>'对齐'!A625</f>
        <v/>
      </c>
      <c r="B625">
        <f>'对齐'!B625/'对齐'!B624-1</f>
        <v/>
      </c>
      <c r="C625">
        <f>'对齐'!B625/'对齐'!B$2*100</f>
        <v/>
      </c>
      <c r="D625">
        <f>'对齐'!B625/MAX('对齐'!B$2:'对齐'!B625)-1</f>
        <v/>
      </c>
      <c r="E625">
        <f>IF(ROW()-2&gt;='参数'!$B$2,STDEV(OFFSET(B625,1-'参数'!$B$2,0,'参数'!$B$2,1))*SQRT('参数'!$B$3),"")</f>
        <v/>
      </c>
      <c r="F625">
        <f>'对齐'!C625/'对齐'!C624-1</f>
        <v/>
      </c>
      <c r="G625">
        <f>'对齐'!C625/'对齐'!C$2*100</f>
        <v/>
      </c>
      <c r="H625">
        <f>'对齐'!C625/MAX('对齐'!C$2:'对齐'!C625)-1</f>
        <v/>
      </c>
      <c r="I625">
        <f>IF(ROW()-2&gt;='参数'!$B$2,STDEV(OFFSET(F625,1-'参数'!$B$2,0,'参数'!$B$2,1))*SQRT('参数'!$B$3),"")</f>
        <v/>
      </c>
    </row>
    <row r="626">
      <c r="A626">
        <f>'对齐'!A626</f>
        <v/>
      </c>
      <c r="B626">
        <f>'对齐'!B626/'对齐'!B625-1</f>
        <v/>
      </c>
      <c r="C626">
        <f>'对齐'!B626/'对齐'!B$2*100</f>
        <v/>
      </c>
      <c r="D626">
        <f>'对齐'!B626/MAX('对齐'!B$2:'对齐'!B626)-1</f>
        <v/>
      </c>
      <c r="E626">
        <f>IF(ROW()-2&gt;='参数'!$B$2,STDEV(OFFSET(B626,1-'参数'!$B$2,0,'参数'!$B$2,1))*SQRT('参数'!$B$3),"")</f>
        <v/>
      </c>
      <c r="F626">
        <f>'对齐'!C626/'对齐'!C625-1</f>
        <v/>
      </c>
      <c r="G626">
        <f>'对齐'!C626/'对齐'!C$2*100</f>
        <v/>
      </c>
      <c r="H626">
        <f>'对齐'!C626/MAX('对齐'!C$2:'对齐'!C626)-1</f>
        <v/>
      </c>
      <c r="I626">
        <f>IF(ROW()-2&gt;='参数'!$B$2,STDEV(OFFSET(F626,1-'参数'!$B$2,0,'参数'!$B$2,1))*SQRT('参数'!$B$3),"")</f>
        <v/>
      </c>
    </row>
    <row r="627">
      <c r="A627">
        <f>'对齐'!A627</f>
        <v/>
      </c>
      <c r="B627">
        <f>'对齐'!B627/'对齐'!B626-1</f>
        <v/>
      </c>
      <c r="C627">
        <f>'对齐'!B627/'对齐'!B$2*100</f>
        <v/>
      </c>
      <c r="D627">
        <f>'对齐'!B627/MAX('对齐'!B$2:'对齐'!B627)-1</f>
        <v/>
      </c>
      <c r="E627">
        <f>IF(ROW()-2&gt;='参数'!$B$2,STDEV(OFFSET(B627,1-'参数'!$B$2,0,'参数'!$B$2,1))*SQRT('参数'!$B$3),"")</f>
        <v/>
      </c>
      <c r="F627">
        <f>'对齐'!C627/'对齐'!C626-1</f>
        <v/>
      </c>
      <c r="G627">
        <f>'对齐'!C627/'对齐'!C$2*100</f>
        <v/>
      </c>
      <c r="H627">
        <f>'对齐'!C627/MAX('对齐'!C$2:'对齐'!C627)-1</f>
        <v/>
      </c>
      <c r="I627">
        <f>IF(ROW()-2&gt;='参数'!$B$2,STDEV(OFFSET(F627,1-'参数'!$B$2,0,'参数'!$B$2,1))*SQRT('参数'!$B$3),"")</f>
        <v/>
      </c>
    </row>
    <row r="628">
      <c r="A628">
        <f>'对齐'!A628</f>
        <v/>
      </c>
      <c r="B628">
        <f>'对齐'!B628/'对齐'!B627-1</f>
        <v/>
      </c>
      <c r="C628">
        <f>'对齐'!B628/'对齐'!B$2*100</f>
        <v/>
      </c>
      <c r="D628">
        <f>'对齐'!B628/MAX('对齐'!B$2:'对齐'!B628)-1</f>
        <v/>
      </c>
      <c r="E628">
        <f>IF(ROW()-2&gt;='参数'!$B$2,STDEV(OFFSET(B628,1-'参数'!$B$2,0,'参数'!$B$2,1))*SQRT('参数'!$B$3),"")</f>
        <v/>
      </c>
      <c r="F628">
        <f>'对齐'!C628/'对齐'!C627-1</f>
        <v/>
      </c>
      <c r="G628">
        <f>'对齐'!C628/'对齐'!C$2*100</f>
        <v/>
      </c>
      <c r="H628">
        <f>'对齐'!C628/MAX('对齐'!C$2:'对齐'!C628)-1</f>
        <v/>
      </c>
      <c r="I628">
        <f>IF(ROW()-2&gt;='参数'!$B$2,STDEV(OFFSET(F628,1-'参数'!$B$2,0,'参数'!$B$2,1))*SQRT('参数'!$B$3),"")</f>
        <v/>
      </c>
    </row>
    <row r="629">
      <c r="A629">
        <f>'对齐'!A629</f>
        <v/>
      </c>
      <c r="B629">
        <f>'对齐'!B629/'对齐'!B628-1</f>
        <v/>
      </c>
      <c r="C629">
        <f>'对齐'!B629/'对齐'!B$2*100</f>
        <v/>
      </c>
      <c r="D629">
        <f>'对齐'!B629/MAX('对齐'!B$2:'对齐'!B629)-1</f>
        <v/>
      </c>
      <c r="E629">
        <f>IF(ROW()-2&gt;='参数'!$B$2,STDEV(OFFSET(B629,1-'参数'!$B$2,0,'参数'!$B$2,1))*SQRT('参数'!$B$3),"")</f>
        <v/>
      </c>
      <c r="F629">
        <f>'对齐'!C629/'对齐'!C628-1</f>
        <v/>
      </c>
      <c r="G629">
        <f>'对齐'!C629/'对齐'!C$2*100</f>
        <v/>
      </c>
      <c r="H629">
        <f>'对齐'!C629/MAX('对齐'!C$2:'对齐'!C629)-1</f>
        <v/>
      </c>
      <c r="I629">
        <f>IF(ROW()-2&gt;='参数'!$B$2,STDEV(OFFSET(F629,1-'参数'!$B$2,0,'参数'!$B$2,1))*SQRT('参数'!$B$3),"")</f>
        <v/>
      </c>
    </row>
    <row r="630">
      <c r="A630">
        <f>'对齐'!A630</f>
        <v/>
      </c>
      <c r="B630">
        <f>'对齐'!B630/'对齐'!B629-1</f>
        <v/>
      </c>
      <c r="C630">
        <f>'对齐'!B630/'对齐'!B$2*100</f>
        <v/>
      </c>
      <c r="D630">
        <f>'对齐'!B630/MAX('对齐'!B$2:'对齐'!B630)-1</f>
        <v/>
      </c>
      <c r="E630">
        <f>IF(ROW()-2&gt;='参数'!$B$2,STDEV(OFFSET(B630,1-'参数'!$B$2,0,'参数'!$B$2,1))*SQRT('参数'!$B$3),"")</f>
        <v/>
      </c>
      <c r="F630">
        <f>'对齐'!C630/'对齐'!C629-1</f>
        <v/>
      </c>
      <c r="G630">
        <f>'对齐'!C630/'对齐'!C$2*100</f>
        <v/>
      </c>
      <c r="H630">
        <f>'对齐'!C630/MAX('对齐'!C$2:'对齐'!C630)-1</f>
        <v/>
      </c>
      <c r="I630">
        <f>IF(ROW()-2&gt;='参数'!$B$2,STDEV(OFFSET(F630,1-'参数'!$B$2,0,'参数'!$B$2,1))*SQRT('参数'!$B$3),"")</f>
        <v/>
      </c>
    </row>
    <row r="631">
      <c r="A631">
        <f>'对齐'!A631</f>
        <v/>
      </c>
      <c r="B631">
        <f>'对齐'!B631/'对齐'!B630-1</f>
        <v/>
      </c>
      <c r="C631">
        <f>'对齐'!B631/'对齐'!B$2*100</f>
        <v/>
      </c>
      <c r="D631">
        <f>'对齐'!B631/MAX('对齐'!B$2:'对齐'!B631)-1</f>
        <v/>
      </c>
      <c r="E631">
        <f>IF(ROW()-2&gt;='参数'!$B$2,STDEV(OFFSET(B631,1-'参数'!$B$2,0,'参数'!$B$2,1))*SQRT('参数'!$B$3),"")</f>
        <v/>
      </c>
      <c r="F631">
        <f>'对齐'!C631/'对齐'!C630-1</f>
        <v/>
      </c>
      <c r="G631">
        <f>'对齐'!C631/'对齐'!C$2*100</f>
        <v/>
      </c>
      <c r="H631">
        <f>'对齐'!C631/MAX('对齐'!C$2:'对齐'!C631)-1</f>
        <v/>
      </c>
      <c r="I631">
        <f>IF(ROW()-2&gt;='参数'!$B$2,STDEV(OFFSET(F631,1-'参数'!$B$2,0,'参数'!$B$2,1))*SQRT('参数'!$B$3),"")</f>
        <v/>
      </c>
    </row>
    <row r="632">
      <c r="A632">
        <f>'对齐'!A632</f>
        <v/>
      </c>
      <c r="B632">
        <f>'对齐'!B632/'对齐'!B631-1</f>
        <v/>
      </c>
      <c r="C632">
        <f>'对齐'!B632/'对齐'!B$2*100</f>
        <v/>
      </c>
      <c r="D632">
        <f>'对齐'!B632/MAX('对齐'!B$2:'对齐'!B632)-1</f>
        <v/>
      </c>
      <c r="E632">
        <f>IF(ROW()-2&gt;='参数'!$B$2,STDEV(OFFSET(B632,1-'参数'!$B$2,0,'参数'!$B$2,1))*SQRT('参数'!$B$3),"")</f>
        <v/>
      </c>
      <c r="F632">
        <f>'对齐'!C632/'对齐'!C631-1</f>
        <v/>
      </c>
      <c r="G632">
        <f>'对齐'!C632/'对齐'!C$2*100</f>
        <v/>
      </c>
      <c r="H632">
        <f>'对齐'!C632/MAX('对齐'!C$2:'对齐'!C632)-1</f>
        <v/>
      </c>
      <c r="I632">
        <f>IF(ROW()-2&gt;='参数'!$B$2,STDEV(OFFSET(F632,1-'参数'!$B$2,0,'参数'!$B$2,1))*SQRT('参数'!$B$3),"")</f>
        <v/>
      </c>
    </row>
    <row r="633">
      <c r="A633">
        <f>'对齐'!A633</f>
        <v/>
      </c>
      <c r="B633">
        <f>'对齐'!B633/'对齐'!B632-1</f>
        <v/>
      </c>
      <c r="C633">
        <f>'对齐'!B633/'对齐'!B$2*100</f>
        <v/>
      </c>
      <c r="D633">
        <f>'对齐'!B633/MAX('对齐'!B$2:'对齐'!B633)-1</f>
        <v/>
      </c>
      <c r="E633">
        <f>IF(ROW()-2&gt;='参数'!$B$2,STDEV(OFFSET(B633,1-'参数'!$B$2,0,'参数'!$B$2,1))*SQRT('参数'!$B$3),"")</f>
        <v/>
      </c>
      <c r="F633">
        <f>'对齐'!C633/'对齐'!C632-1</f>
        <v/>
      </c>
      <c r="G633">
        <f>'对齐'!C633/'对齐'!C$2*100</f>
        <v/>
      </c>
      <c r="H633">
        <f>'对齐'!C633/MAX('对齐'!C$2:'对齐'!C633)-1</f>
        <v/>
      </c>
      <c r="I633">
        <f>IF(ROW()-2&gt;='参数'!$B$2,STDEV(OFFSET(F633,1-'参数'!$B$2,0,'参数'!$B$2,1))*SQRT('参数'!$B$3),"")</f>
        <v/>
      </c>
    </row>
    <row r="634">
      <c r="A634">
        <f>'对齐'!A634</f>
        <v/>
      </c>
      <c r="B634">
        <f>'对齐'!B634/'对齐'!B633-1</f>
        <v/>
      </c>
      <c r="C634">
        <f>'对齐'!B634/'对齐'!B$2*100</f>
        <v/>
      </c>
      <c r="D634">
        <f>'对齐'!B634/MAX('对齐'!B$2:'对齐'!B634)-1</f>
        <v/>
      </c>
      <c r="E634">
        <f>IF(ROW()-2&gt;='参数'!$B$2,STDEV(OFFSET(B634,1-'参数'!$B$2,0,'参数'!$B$2,1))*SQRT('参数'!$B$3),"")</f>
        <v/>
      </c>
      <c r="F634">
        <f>'对齐'!C634/'对齐'!C633-1</f>
        <v/>
      </c>
      <c r="G634">
        <f>'对齐'!C634/'对齐'!C$2*100</f>
        <v/>
      </c>
      <c r="H634">
        <f>'对齐'!C634/MAX('对齐'!C$2:'对齐'!C634)-1</f>
        <v/>
      </c>
      <c r="I634">
        <f>IF(ROW()-2&gt;='参数'!$B$2,STDEV(OFFSET(F634,1-'参数'!$B$2,0,'参数'!$B$2,1))*SQRT('参数'!$B$3),"")</f>
        <v/>
      </c>
    </row>
    <row r="635">
      <c r="A635">
        <f>'对齐'!A635</f>
        <v/>
      </c>
      <c r="B635">
        <f>'对齐'!B635/'对齐'!B634-1</f>
        <v/>
      </c>
      <c r="C635">
        <f>'对齐'!B635/'对齐'!B$2*100</f>
        <v/>
      </c>
      <c r="D635">
        <f>'对齐'!B635/MAX('对齐'!B$2:'对齐'!B635)-1</f>
        <v/>
      </c>
      <c r="E635">
        <f>IF(ROW()-2&gt;='参数'!$B$2,STDEV(OFFSET(B635,1-'参数'!$B$2,0,'参数'!$B$2,1))*SQRT('参数'!$B$3),"")</f>
        <v/>
      </c>
      <c r="F635">
        <f>'对齐'!C635/'对齐'!C634-1</f>
        <v/>
      </c>
      <c r="G635">
        <f>'对齐'!C635/'对齐'!C$2*100</f>
        <v/>
      </c>
      <c r="H635">
        <f>'对齐'!C635/MAX('对齐'!C$2:'对齐'!C635)-1</f>
        <v/>
      </c>
      <c r="I635">
        <f>IF(ROW()-2&gt;='参数'!$B$2,STDEV(OFFSET(F635,1-'参数'!$B$2,0,'参数'!$B$2,1))*SQRT('参数'!$B$3),"")</f>
        <v/>
      </c>
    </row>
    <row r="636">
      <c r="A636">
        <f>'对齐'!A636</f>
        <v/>
      </c>
      <c r="B636">
        <f>'对齐'!B636/'对齐'!B635-1</f>
        <v/>
      </c>
      <c r="C636">
        <f>'对齐'!B636/'对齐'!B$2*100</f>
        <v/>
      </c>
      <c r="D636">
        <f>'对齐'!B636/MAX('对齐'!B$2:'对齐'!B636)-1</f>
        <v/>
      </c>
      <c r="E636">
        <f>IF(ROW()-2&gt;='参数'!$B$2,STDEV(OFFSET(B636,1-'参数'!$B$2,0,'参数'!$B$2,1))*SQRT('参数'!$B$3),"")</f>
        <v/>
      </c>
      <c r="F636">
        <f>'对齐'!C636/'对齐'!C635-1</f>
        <v/>
      </c>
      <c r="G636">
        <f>'对齐'!C636/'对齐'!C$2*100</f>
        <v/>
      </c>
      <c r="H636">
        <f>'对齐'!C636/MAX('对齐'!C$2:'对齐'!C636)-1</f>
        <v/>
      </c>
      <c r="I636">
        <f>IF(ROW()-2&gt;='参数'!$B$2,STDEV(OFFSET(F636,1-'参数'!$B$2,0,'参数'!$B$2,1))*SQRT('参数'!$B$3),"")</f>
        <v/>
      </c>
    </row>
    <row r="637">
      <c r="A637">
        <f>'对齐'!A637</f>
        <v/>
      </c>
      <c r="B637">
        <f>'对齐'!B637/'对齐'!B636-1</f>
        <v/>
      </c>
      <c r="C637">
        <f>'对齐'!B637/'对齐'!B$2*100</f>
        <v/>
      </c>
      <c r="D637">
        <f>'对齐'!B637/MAX('对齐'!B$2:'对齐'!B637)-1</f>
        <v/>
      </c>
      <c r="E637">
        <f>IF(ROW()-2&gt;='参数'!$B$2,STDEV(OFFSET(B637,1-'参数'!$B$2,0,'参数'!$B$2,1))*SQRT('参数'!$B$3),"")</f>
        <v/>
      </c>
      <c r="F637">
        <f>'对齐'!C637/'对齐'!C636-1</f>
        <v/>
      </c>
      <c r="G637">
        <f>'对齐'!C637/'对齐'!C$2*100</f>
        <v/>
      </c>
      <c r="H637">
        <f>'对齐'!C637/MAX('对齐'!C$2:'对齐'!C637)-1</f>
        <v/>
      </c>
      <c r="I637">
        <f>IF(ROW()-2&gt;='参数'!$B$2,STDEV(OFFSET(F637,1-'参数'!$B$2,0,'参数'!$B$2,1))*SQRT('参数'!$B$3),"")</f>
        <v/>
      </c>
    </row>
    <row r="638">
      <c r="A638">
        <f>'对齐'!A638</f>
        <v/>
      </c>
      <c r="B638">
        <f>'对齐'!B638/'对齐'!B637-1</f>
        <v/>
      </c>
      <c r="C638">
        <f>'对齐'!B638/'对齐'!B$2*100</f>
        <v/>
      </c>
      <c r="D638">
        <f>'对齐'!B638/MAX('对齐'!B$2:'对齐'!B638)-1</f>
        <v/>
      </c>
      <c r="E638">
        <f>IF(ROW()-2&gt;='参数'!$B$2,STDEV(OFFSET(B638,1-'参数'!$B$2,0,'参数'!$B$2,1))*SQRT('参数'!$B$3),"")</f>
        <v/>
      </c>
      <c r="F638">
        <f>'对齐'!C638/'对齐'!C637-1</f>
        <v/>
      </c>
      <c r="G638">
        <f>'对齐'!C638/'对齐'!C$2*100</f>
        <v/>
      </c>
      <c r="H638">
        <f>'对齐'!C638/MAX('对齐'!C$2:'对齐'!C638)-1</f>
        <v/>
      </c>
      <c r="I638">
        <f>IF(ROW()-2&gt;='参数'!$B$2,STDEV(OFFSET(F638,1-'参数'!$B$2,0,'参数'!$B$2,1))*SQRT('参数'!$B$3),"")</f>
        <v/>
      </c>
    </row>
    <row r="639">
      <c r="A639">
        <f>'对齐'!A639</f>
        <v/>
      </c>
      <c r="B639">
        <f>'对齐'!B639/'对齐'!B638-1</f>
        <v/>
      </c>
      <c r="C639">
        <f>'对齐'!B639/'对齐'!B$2*100</f>
        <v/>
      </c>
      <c r="D639">
        <f>'对齐'!B639/MAX('对齐'!B$2:'对齐'!B639)-1</f>
        <v/>
      </c>
      <c r="E639">
        <f>IF(ROW()-2&gt;='参数'!$B$2,STDEV(OFFSET(B639,1-'参数'!$B$2,0,'参数'!$B$2,1))*SQRT('参数'!$B$3),"")</f>
        <v/>
      </c>
      <c r="F639">
        <f>'对齐'!C639/'对齐'!C638-1</f>
        <v/>
      </c>
      <c r="G639">
        <f>'对齐'!C639/'对齐'!C$2*100</f>
        <v/>
      </c>
      <c r="H639">
        <f>'对齐'!C639/MAX('对齐'!C$2:'对齐'!C639)-1</f>
        <v/>
      </c>
      <c r="I639">
        <f>IF(ROW()-2&gt;='参数'!$B$2,STDEV(OFFSET(F639,1-'参数'!$B$2,0,'参数'!$B$2,1))*SQRT('参数'!$B$3),"")</f>
        <v/>
      </c>
    </row>
    <row r="640">
      <c r="A640">
        <f>'对齐'!A640</f>
        <v/>
      </c>
      <c r="B640">
        <f>'对齐'!B640/'对齐'!B639-1</f>
        <v/>
      </c>
      <c r="C640">
        <f>'对齐'!B640/'对齐'!B$2*100</f>
        <v/>
      </c>
      <c r="D640">
        <f>'对齐'!B640/MAX('对齐'!B$2:'对齐'!B640)-1</f>
        <v/>
      </c>
      <c r="E640">
        <f>IF(ROW()-2&gt;='参数'!$B$2,STDEV(OFFSET(B640,1-'参数'!$B$2,0,'参数'!$B$2,1))*SQRT('参数'!$B$3),"")</f>
        <v/>
      </c>
      <c r="F640">
        <f>'对齐'!C640/'对齐'!C639-1</f>
        <v/>
      </c>
      <c r="G640">
        <f>'对齐'!C640/'对齐'!C$2*100</f>
        <v/>
      </c>
      <c r="H640">
        <f>'对齐'!C640/MAX('对齐'!C$2:'对齐'!C640)-1</f>
        <v/>
      </c>
      <c r="I640">
        <f>IF(ROW()-2&gt;='参数'!$B$2,STDEV(OFFSET(F640,1-'参数'!$B$2,0,'参数'!$B$2,1))*SQRT('参数'!$B$3),"")</f>
        <v/>
      </c>
    </row>
    <row r="641">
      <c r="A641">
        <f>'对齐'!A641</f>
        <v/>
      </c>
      <c r="B641">
        <f>'对齐'!B641/'对齐'!B640-1</f>
        <v/>
      </c>
      <c r="C641">
        <f>'对齐'!B641/'对齐'!B$2*100</f>
        <v/>
      </c>
      <c r="D641">
        <f>'对齐'!B641/MAX('对齐'!B$2:'对齐'!B641)-1</f>
        <v/>
      </c>
      <c r="E641">
        <f>IF(ROW()-2&gt;='参数'!$B$2,STDEV(OFFSET(B641,1-'参数'!$B$2,0,'参数'!$B$2,1))*SQRT('参数'!$B$3),"")</f>
        <v/>
      </c>
      <c r="F641">
        <f>'对齐'!C641/'对齐'!C640-1</f>
        <v/>
      </c>
      <c r="G641">
        <f>'对齐'!C641/'对齐'!C$2*100</f>
        <v/>
      </c>
      <c r="H641">
        <f>'对齐'!C641/MAX('对齐'!C$2:'对齐'!C641)-1</f>
        <v/>
      </c>
      <c r="I641">
        <f>IF(ROW()-2&gt;='参数'!$B$2,STDEV(OFFSET(F641,1-'参数'!$B$2,0,'参数'!$B$2,1))*SQRT('参数'!$B$3),"")</f>
        <v/>
      </c>
    </row>
    <row r="642">
      <c r="A642">
        <f>'对齐'!A642</f>
        <v/>
      </c>
      <c r="B642">
        <f>'对齐'!B642/'对齐'!B641-1</f>
        <v/>
      </c>
      <c r="C642">
        <f>'对齐'!B642/'对齐'!B$2*100</f>
        <v/>
      </c>
      <c r="D642">
        <f>'对齐'!B642/MAX('对齐'!B$2:'对齐'!B642)-1</f>
        <v/>
      </c>
      <c r="E642">
        <f>IF(ROW()-2&gt;='参数'!$B$2,STDEV(OFFSET(B642,1-'参数'!$B$2,0,'参数'!$B$2,1))*SQRT('参数'!$B$3),"")</f>
        <v/>
      </c>
      <c r="F642">
        <f>'对齐'!C642/'对齐'!C641-1</f>
        <v/>
      </c>
      <c r="G642">
        <f>'对齐'!C642/'对齐'!C$2*100</f>
        <v/>
      </c>
      <c r="H642">
        <f>'对齐'!C642/MAX('对齐'!C$2:'对齐'!C642)-1</f>
        <v/>
      </c>
      <c r="I642">
        <f>IF(ROW()-2&gt;='参数'!$B$2,STDEV(OFFSET(F642,1-'参数'!$B$2,0,'参数'!$B$2,1))*SQRT('参数'!$B$3),"")</f>
        <v/>
      </c>
    </row>
    <row r="643">
      <c r="A643">
        <f>'对齐'!A643</f>
        <v/>
      </c>
      <c r="B643">
        <f>'对齐'!B643/'对齐'!B642-1</f>
        <v/>
      </c>
      <c r="C643">
        <f>'对齐'!B643/'对齐'!B$2*100</f>
        <v/>
      </c>
      <c r="D643">
        <f>'对齐'!B643/MAX('对齐'!B$2:'对齐'!B643)-1</f>
        <v/>
      </c>
      <c r="E643">
        <f>IF(ROW()-2&gt;='参数'!$B$2,STDEV(OFFSET(B643,1-'参数'!$B$2,0,'参数'!$B$2,1))*SQRT('参数'!$B$3),"")</f>
        <v/>
      </c>
      <c r="F643">
        <f>'对齐'!C643/'对齐'!C642-1</f>
        <v/>
      </c>
      <c r="G643">
        <f>'对齐'!C643/'对齐'!C$2*100</f>
        <v/>
      </c>
      <c r="H643">
        <f>'对齐'!C643/MAX('对齐'!C$2:'对齐'!C643)-1</f>
        <v/>
      </c>
      <c r="I643">
        <f>IF(ROW()-2&gt;='参数'!$B$2,STDEV(OFFSET(F643,1-'参数'!$B$2,0,'参数'!$B$2,1))*SQRT('参数'!$B$3),"")</f>
        <v/>
      </c>
    </row>
    <row r="644">
      <c r="A644">
        <f>'对齐'!A644</f>
        <v/>
      </c>
      <c r="B644">
        <f>'对齐'!B644/'对齐'!B643-1</f>
        <v/>
      </c>
      <c r="C644">
        <f>'对齐'!B644/'对齐'!B$2*100</f>
        <v/>
      </c>
      <c r="D644">
        <f>'对齐'!B644/MAX('对齐'!B$2:'对齐'!B644)-1</f>
        <v/>
      </c>
      <c r="E644">
        <f>IF(ROW()-2&gt;='参数'!$B$2,STDEV(OFFSET(B644,1-'参数'!$B$2,0,'参数'!$B$2,1))*SQRT('参数'!$B$3),"")</f>
        <v/>
      </c>
      <c r="F644">
        <f>'对齐'!C644/'对齐'!C643-1</f>
        <v/>
      </c>
      <c r="G644">
        <f>'对齐'!C644/'对齐'!C$2*100</f>
        <v/>
      </c>
      <c r="H644">
        <f>'对齐'!C644/MAX('对齐'!C$2:'对齐'!C644)-1</f>
        <v/>
      </c>
      <c r="I644">
        <f>IF(ROW()-2&gt;='参数'!$B$2,STDEV(OFFSET(F644,1-'参数'!$B$2,0,'参数'!$B$2,1))*SQRT('参数'!$B$3),"")</f>
        <v/>
      </c>
    </row>
    <row r="645">
      <c r="A645">
        <f>'对齐'!A645</f>
        <v/>
      </c>
      <c r="B645">
        <f>'对齐'!B645/'对齐'!B644-1</f>
        <v/>
      </c>
      <c r="C645">
        <f>'对齐'!B645/'对齐'!B$2*100</f>
        <v/>
      </c>
      <c r="D645">
        <f>'对齐'!B645/MAX('对齐'!B$2:'对齐'!B645)-1</f>
        <v/>
      </c>
      <c r="E645">
        <f>IF(ROW()-2&gt;='参数'!$B$2,STDEV(OFFSET(B645,1-'参数'!$B$2,0,'参数'!$B$2,1))*SQRT('参数'!$B$3),"")</f>
        <v/>
      </c>
      <c r="F645">
        <f>'对齐'!C645/'对齐'!C644-1</f>
        <v/>
      </c>
      <c r="G645">
        <f>'对齐'!C645/'对齐'!C$2*100</f>
        <v/>
      </c>
      <c r="H645">
        <f>'对齐'!C645/MAX('对齐'!C$2:'对齐'!C645)-1</f>
        <v/>
      </c>
      <c r="I645">
        <f>IF(ROW()-2&gt;='参数'!$B$2,STDEV(OFFSET(F645,1-'参数'!$B$2,0,'参数'!$B$2,1))*SQRT('参数'!$B$3),"")</f>
        <v/>
      </c>
    </row>
    <row r="646">
      <c r="A646">
        <f>'对齐'!A646</f>
        <v/>
      </c>
      <c r="B646">
        <f>'对齐'!B646/'对齐'!B645-1</f>
        <v/>
      </c>
      <c r="C646">
        <f>'对齐'!B646/'对齐'!B$2*100</f>
        <v/>
      </c>
      <c r="D646">
        <f>'对齐'!B646/MAX('对齐'!B$2:'对齐'!B646)-1</f>
        <v/>
      </c>
      <c r="E646">
        <f>IF(ROW()-2&gt;='参数'!$B$2,STDEV(OFFSET(B646,1-'参数'!$B$2,0,'参数'!$B$2,1))*SQRT('参数'!$B$3),"")</f>
        <v/>
      </c>
      <c r="F646">
        <f>'对齐'!C646/'对齐'!C645-1</f>
        <v/>
      </c>
      <c r="G646">
        <f>'对齐'!C646/'对齐'!C$2*100</f>
        <v/>
      </c>
      <c r="H646">
        <f>'对齐'!C646/MAX('对齐'!C$2:'对齐'!C646)-1</f>
        <v/>
      </c>
      <c r="I646">
        <f>IF(ROW()-2&gt;='参数'!$B$2,STDEV(OFFSET(F646,1-'参数'!$B$2,0,'参数'!$B$2,1))*SQRT('参数'!$B$3),"")</f>
        <v/>
      </c>
    </row>
    <row r="647">
      <c r="A647">
        <f>'对齐'!A647</f>
        <v/>
      </c>
      <c r="B647">
        <f>'对齐'!B647/'对齐'!B646-1</f>
        <v/>
      </c>
      <c r="C647">
        <f>'对齐'!B647/'对齐'!B$2*100</f>
        <v/>
      </c>
      <c r="D647">
        <f>'对齐'!B647/MAX('对齐'!B$2:'对齐'!B647)-1</f>
        <v/>
      </c>
      <c r="E647">
        <f>IF(ROW()-2&gt;='参数'!$B$2,STDEV(OFFSET(B647,1-'参数'!$B$2,0,'参数'!$B$2,1))*SQRT('参数'!$B$3),"")</f>
        <v/>
      </c>
      <c r="F647">
        <f>'对齐'!C647/'对齐'!C646-1</f>
        <v/>
      </c>
      <c r="G647">
        <f>'对齐'!C647/'对齐'!C$2*100</f>
        <v/>
      </c>
      <c r="H647">
        <f>'对齐'!C647/MAX('对齐'!C$2:'对齐'!C647)-1</f>
        <v/>
      </c>
      <c r="I647">
        <f>IF(ROW()-2&gt;='参数'!$B$2,STDEV(OFFSET(F647,1-'参数'!$B$2,0,'参数'!$B$2,1))*SQRT('参数'!$B$3),"")</f>
        <v/>
      </c>
    </row>
    <row r="648">
      <c r="A648">
        <f>'对齐'!A648</f>
        <v/>
      </c>
      <c r="B648">
        <f>'对齐'!B648/'对齐'!B647-1</f>
        <v/>
      </c>
      <c r="C648">
        <f>'对齐'!B648/'对齐'!B$2*100</f>
        <v/>
      </c>
      <c r="D648">
        <f>'对齐'!B648/MAX('对齐'!B$2:'对齐'!B648)-1</f>
        <v/>
      </c>
      <c r="E648">
        <f>IF(ROW()-2&gt;='参数'!$B$2,STDEV(OFFSET(B648,1-'参数'!$B$2,0,'参数'!$B$2,1))*SQRT('参数'!$B$3),"")</f>
        <v/>
      </c>
      <c r="F648">
        <f>'对齐'!C648/'对齐'!C647-1</f>
        <v/>
      </c>
      <c r="G648">
        <f>'对齐'!C648/'对齐'!C$2*100</f>
        <v/>
      </c>
      <c r="H648">
        <f>'对齐'!C648/MAX('对齐'!C$2:'对齐'!C648)-1</f>
        <v/>
      </c>
      <c r="I648">
        <f>IF(ROW()-2&gt;='参数'!$B$2,STDEV(OFFSET(F648,1-'参数'!$B$2,0,'参数'!$B$2,1))*SQRT('参数'!$B$3),"")</f>
        <v/>
      </c>
    </row>
    <row r="649">
      <c r="A649">
        <f>'对齐'!A649</f>
        <v/>
      </c>
      <c r="B649">
        <f>'对齐'!B649/'对齐'!B648-1</f>
        <v/>
      </c>
      <c r="C649">
        <f>'对齐'!B649/'对齐'!B$2*100</f>
        <v/>
      </c>
      <c r="D649">
        <f>'对齐'!B649/MAX('对齐'!B$2:'对齐'!B649)-1</f>
        <v/>
      </c>
      <c r="E649">
        <f>IF(ROW()-2&gt;='参数'!$B$2,STDEV(OFFSET(B649,1-'参数'!$B$2,0,'参数'!$B$2,1))*SQRT('参数'!$B$3),"")</f>
        <v/>
      </c>
      <c r="F649">
        <f>'对齐'!C649/'对齐'!C648-1</f>
        <v/>
      </c>
      <c r="G649">
        <f>'对齐'!C649/'对齐'!C$2*100</f>
        <v/>
      </c>
      <c r="H649">
        <f>'对齐'!C649/MAX('对齐'!C$2:'对齐'!C649)-1</f>
        <v/>
      </c>
      <c r="I649">
        <f>IF(ROW()-2&gt;='参数'!$B$2,STDEV(OFFSET(F649,1-'参数'!$B$2,0,'参数'!$B$2,1))*SQRT('参数'!$B$3),"")</f>
        <v/>
      </c>
    </row>
    <row r="650">
      <c r="A650">
        <f>'对齐'!A650</f>
        <v/>
      </c>
      <c r="B650">
        <f>'对齐'!B650/'对齐'!B649-1</f>
        <v/>
      </c>
      <c r="C650">
        <f>'对齐'!B650/'对齐'!B$2*100</f>
        <v/>
      </c>
      <c r="D650">
        <f>'对齐'!B650/MAX('对齐'!B$2:'对齐'!B650)-1</f>
        <v/>
      </c>
      <c r="E650">
        <f>IF(ROW()-2&gt;='参数'!$B$2,STDEV(OFFSET(B650,1-'参数'!$B$2,0,'参数'!$B$2,1))*SQRT('参数'!$B$3),"")</f>
        <v/>
      </c>
      <c r="F650">
        <f>'对齐'!C650/'对齐'!C649-1</f>
        <v/>
      </c>
      <c r="G650">
        <f>'对齐'!C650/'对齐'!C$2*100</f>
        <v/>
      </c>
      <c r="H650">
        <f>'对齐'!C650/MAX('对齐'!C$2:'对齐'!C650)-1</f>
        <v/>
      </c>
      <c r="I650">
        <f>IF(ROW()-2&gt;='参数'!$B$2,STDEV(OFFSET(F650,1-'参数'!$B$2,0,'参数'!$B$2,1))*SQRT('参数'!$B$3),"")</f>
        <v/>
      </c>
    </row>
    <row r="651">
      <c r="A651">
        <f>'对齐'!A651</f>
        <v/>
      </c>
      <c r="B651">
        <f>'对齐'!B651/'对齐'!B650-1</f>
        <v/>
      </c>
      <c r="C651">
        <f>'对齐'!B651/'对齐'!B$2*100</f>
        <v/>
      </c>
      <c r="D651">
        <f>'对齐'!B651/MAX('对齐'!B$2:'对齐'!B651)-1</f>
        <v/>
      </c>
      <c r="E651">
        <f>IF(ROW()-2&gt;='参数'!$B$2,STDEV(OFFSET(B651,1-'参数'!$B$2,0,'参数'!$B$2,1))*SQRT('参数'!$B$3),"")</f>
        <v/>
      </c>
      <c r="F651">
        <f>'对齐'!C651/'对齐'!C650-1</f>
        <v/>
      </c>
      <c r="G651">
        <f>'对齐'!C651/'对齐'!C$2*100</f>
        <v/>
      </c>
      <c r="H651">
        <f>'对齐'!C651/MAX('对齐'!C$2:'对齐'!C651)-1</f>
        <v/>
      </c>
      <c r="I651">
        <f>IF(ROW()-2&gt;='参数'!$B$2,STDEV(OFFSET(F651,1-'参数'!$B$2,0,'参数'!$B$2,1))*SQRT('参数'!$B$3),"")</f>
        <v/>
      </c>
    </row>
    <row r="652">
      <c r="A652">
        <f>'对齐'!A652</f>
        <v/>
      </c>
      <c r="B652">
        <f>'对齐'!B652/'对齐'!B651-1</f>
        <v/>
      </c>
      <c r="C652">
        <f>'对齐'!B652/'对齐'!B$2*100</f>
        <v/>
      </c>
      <c r="D652">
        <f>'对齐'!B652/MAX('对齐'!B$2:'对齐'!B652)-1</f>
        <v/>
      </c>
      <c r="E652">
        <f>IF(ROW()-2&gt;='参数'!$B$2,STDEV(OFFSET(B652,1-'参数'!$B$2,0,'参数'!$B$2,1))*SQRT('参数'!$B$3),"")</f>
        <v/>
      </c>
      <c r="F652">
        <f>'对齐'!C652/'对齐'!C651-1</f>
        <v/>
      </c>
      <c r="G652">
        <f>'对齐'!C652/'对齐'!C$2*100</f>
        <v/>
      </c>
      <c r="H652">
        <f>'对齐'!C652/MAX('对齐'!C$2:'对齐'!C652)-1</f>
        <v/>
      </c>
      <c r="I652">
        <f>IF(ROW()-2&gt;='参数'!$B$2,STDEV(OFFSET(F652,1-'参数'!$B$2,0,'参数'!$B$2,1))*SQRT('参数'!$B$3),"")</f>
        <v/>
      </c>
    </row>
    <row r="653">
      <c r="A653">
        <f>'对齐'!A653</f>
        <v/>
      </c>
      <c r="B653">
        <f>'对齐'!B653/'对齐'!B652-1</f>
        <v/>
      </c>
      <c r="C653">
        <f>'对齐'!B653/'对齐'!B$2*100</f>
        <v/>
      </c>
      <c r="D653">
        <f>'对齐'!B653/MAX('对齐'!B$2:'对齐'!B653)-1</f>
        <v/>
      </c>
      <c r="E653">
        <f>IF(ROW()-2&gt;='参数'!$B$2,STDEV(OFFSET(B653,1-'参数'!$B$2,0,'参数'!$B$2,1))*SQRT('参数'!$B$3),"")</f>
        <v/>
      </c>
      <c r="F653">
        <f>'对齐'!C653/'对齐'!C652-1</f>
        <v/>
      </c>
      <c r="G653">
        <f>'对齐'!C653/'对齐'!C$2*100</f>
        <v/>
      </c>
      <c r="H653">
        <f>'对齐'!C653/MAX('对齐'!C$2:'对齐'!C653)-1</f>
        <v/>
      </c>
      <c r="I653">
        <f>IF(ROW()-2&gt;='参数'!$B$2,STDEV(OFFSET(F653,1-'参数'!$B$2,0,'参数'!$B$2,1))*SQRT('参数'!$B$3),"")</f>
        <v/>
      </c>
    </row>
    <row r="654">
      <c r="A654">
        <f>'对齐'!A654</f>
        <v/>
      </c>
      <c r="B654">
        <f>'对齐'!B654/'对齐'!B653-1</f>
        <v/>
      </c>
      <c r="C654">
        <f>'对齐'!B654/'对齐'!B$2*100</f>
        <v/>
      </c>
      <c r="D654">
        <f>'对齐'!B654/MAX('对齐'!B$2:'对齐'!B654)-1</f>
        <v/>
      </c>
      <c r="E654">
        <f>IF(ROW()-2&gt;='参数'!$B$2,STDEV(OFFSET(B654,1-'参数'!$B$2,0,'参数'!$B$2,1))*SQRT('参数'!$B$3),"")</f>
        <v/>
      </c>
      <c r="F654">
        <f>'对齐'!C654/'对齐'!C653-1</f>
        <v/>
      </c>
      <c r="G654">
        <f>'对齐'!C654/'对齐'!C$2*100</f>
        <v/>
      </c>
      <c r="H654">
        <f>'对齐'!C654/MAX('对齐'!C$2:'对齐'!C654)-1</f>
        <v/>
      </c>
      <c r="I654">
        <f>IF(ROW()-2&gt;='参数'!$B$2,STDEV(OFFSET(F654,1-'参数'!$B$2,0,'参数'!$B$2,1))*SQRT('参数'!$B$3),"")</f>
        <v/>
      </c>
    </row>
    <row r="655">
      <c r="A655">
        <f>'对齐'!A655</f>
        <v/>
      </c>
      <c r="B655">
        <f>'对齐'!B655/'对齐'!B654-1</f>
        <v/>
      </c>
      <c r="C655">
        <f>'对齐'!B655/'对齐'!B$2*100</f>
        <v/>
      </c>
      <c r="D655">
        <f>'对齐'!B655/MAX('对齐'!B$2:'对齐'!B655)-1</f>
        <v/>
      </c>
      <c r="E655">
        <f>IF(ROW()-2&gt;='参数'!$B$2,STDEV(OFFSET(B655,1-'参数'!$B$2,0,'参数'!$B$2,1))*SQRT('参数'!$B$3),"")</f>
        <v/>
      </c>
      <c r="F655">
        <f>'对齐'!C655/'对齐'!C654-1</f>
        <v/>
      </c>
      <c r="G655">
        <f>'对齐'!C655/'对齐'!C$2*100</f>
        <v/>
      </c>
      <c r="H655">
        <f>'对齐'!C655/MAX('对齐'!C$2:'对齐'!C655)-1</f>
        <v/>
      </c>
      <c r="I655">
        <f>IF(ROW()-2&gt;='参数'!$B$2,STDEV(OFFSET(F655,1-'参数'!$B$2,0,'参数'!$B$2,1))*SQRT('参数'!$B$3),"")</f>
        <v/>
      </c>
    </row>
    <row r="656">
      <c r="A656">
        <f>'对齐'!A656</f>
        <v/>
      </c>
      <c r="B656">
        <f>'对齐'!B656/'对齐'!B655-1</f>
        <v/>
      </c>
      <c r="C656">
        <f>'对齐'!B656/'对齐'!B$2*100</f>
        <v/>
      </c>
      <c r="D656">
        <f>'对齐'!B656/MAX('对齐'!B$2:'对齐'!B656)-1</f>
        <v/>
      </c>
      <c r="E656">
        <f>IF(ROW()-2&gt;='参数'!$B$2,STDEV(OFFSET(B656,1-'参数'!$B$2,0,'参数'!$B$2,1))*SQRT('参数'!$B$3),"")</f>
        <v/>
      </c>
      <c r="F656">
        <f>'对齐'!C656/'对齐'!C655-1</f>
        <v/>
      </c>
      <c r="G656">
        <f>'对齐'!C656/'对齐'!C$2*100</f>
        <v/>
      </c>
      <c r="H656">
        <f>'对齐'!C656/MAX('对齐'!C$2:'对齐'!C656)-1</f>
        <v/>
      </c>
      <c r="I656">
        <f>IF(ROW()-2&gt;='参数'!$B$2,STDEV(OFFSET(F656,1-'参数'!$B$2,0,'参数'!$B$2,1))*SQRT('参数'!$B$3),"")</f>
        <v/>
      </c>
    </row>
    <row r="657">
      <c r="A657">
        <f>'对齐'!A657</f>
        <v/>
      </c>
      <c r="B657">
        <f>'对齐'!B657/'对齐'!B656-1</f>
        <v/>
      </c>
      <c r="C657">
        <f>'对齐'!B657/'对齐'!B$2*100</f>
        <v/>
      </c>
      <c r="D657">
        <f>'对齐'!B657/MAX('对齐'!B$2:'对齐'!B657)-1</f>
        <v/>
      </c>
      <c r="E657">
        <f>IF(ROW()-2&gt;='参数'!$B$2,STDEV(OFFSET(B657,1-'参数'!$B$2,0,'参数'!$B$2,1))*SQRT('参数'!$B$3),"")</f>
        <v/>
      </c>
      <c r="F657">
        <f>'对齐'!C657/'对齐'!C656-1</f>
        <v/>
      </c>
      <c r="G657">
        <f>'对齐'!C657/'对齐'!C$2*100</f>
        <v/>
      </c>
      <c r="H657">
        <f>'对齐'!C657/MAX('对齐'!C$2:'对齐'!C657)-1</f>
        <v/>
      </c>
      <c r="I657">
        <f>IF(ROW()-2&gt;='参数'!$B$2,STDEV(OFFSET(F657,1-'参数'!$B$2,0,'参数'!$B$2,1))*SQRT('参数'!$B$3),"")</f>
        <v/>
      </c>
    </row>
    <row r="658">
      <c r="A658">
        <f>'对齐'!A658</f>
        <v/>
      </c>
      <c r="B658">
        <f>'对齐'!B658/'对齐'!B657-1</f>
        <v/>
      </c>
      <c r="C658">
        <f>'对齐'!B658/'对齐'!B$2*100</f>
        <v/>
      </c>
      <c r="D658">
        <f>'对齐'!B658/MAX('对齐'!B$2:'对齐'!B658)-1</f>
        <v/>
      </c>
      <c r="E658">
        <f>IF(ROW()-2&gt;='参数'!$B$2,STDEV(OFFSET(B658,1-'参数'!$B$2,0,'参数'!$B$2,1))*SQRT('参数'!$B$3),"")</f>
        <v/>
      </c>
      <c r="F658">
        <f>'对齐'!C658/'对齐'!C657-1</f>
        <v/>
      </c>
      <c r="G658">
        <f>'对齐'!C658/'对齐'!C$2*100</f>
        <v/>
      </c>
      <c r="H658">
        <f>'对齐'!C658/MAX('对齐'!C$2:'对齐'!C658)-1</f>
        <v/>
      </c>
      <c r="I658">
        <f>IF(ROW()-2&gt;='参数'!$B$2,STDEV(OFFSET(F658,1-'参数'!$B$2,0,'参数'!$B$2,1))*SQRT('参数'!$B$3),"")</f>
        <v/>
      </c>
    </row>
    <row r="659">
      <c r="A659">
        <f>'对齐'!A659</f>
        <v/>
      </c>
      <c r="B659">
        <f>'对齐'!B659/'对齐'!B658-1</f>
        <v/>
      </c>
      <c r="C659">
        <f>'对齐'!B659/'对齐'!B$2*100</f>
        <v/>
      </c>
      <c r="D659">
        <f>'对齐'!B659/MAX('对齐'!B$2:'对齐'!B659)-1</f>
        <v/>
      </c>
      <c r="E659">
        <f>IF(ROW()-2&gt;='参数'!$B$2,STDEV(OFFSET(B659,1-'参数'!$B$2,0,'参数'!$B$2,1))*SQRT('参数'!$B$3),"")</f>
        <v/>
      </c>
      <c r="F659">
        <f>'对齐'!C659/'对齐'!C658-1</f>
        <v/>
      </c>
      <c r="G659">
        <f>'对齐'!C659/'对齐'!C$2*100</f>
        <v/>
      </c>
      <c r="H659">
        <f>'对齐'!C659/MAX('对齐'!C$2:'对齐'!C659)-1</f>
        <v/>
      </c>
      <c r="I659">
        <f>IF(ROW()-2&gt;='参数'!$B$2,STDEV(OFFSET(F659,1-'参数'!$B$2,0,'参数'!$B$2,1))*SQRT('参数'!$B$3),"")</f>
        <v/>
      </c>
    </row>
    <row r="660">
      <c r="A660">
        <f>'对齐'!A660</f>
        <v/>
      </c>
      <c r="B660">
        <f>'对齐'!B660/'对齐'!B659-1</f>
        <v/>
      </c>
      <c r="C660">
        <f>'对齐'!B660/'对齐'!B$2*100</f>
        <v/>
      </c>
      <c r="D660">
        <f>'对齐'!B660/MAX('对齐'!B$2:'对齐'!B660)-1</f>
        <v/>
      </c>
      <c r="E660">
        <f>IF(ROW()-2&gt;='参数'!$B$2,STDEV(OFFSET(B660,1-'参数'!$B$2,0,'参数'!$B$2,1))*SQRT('参数'!$B$3),"")</f>
        <v/>
      </c>
      <c r="F660">
        <f>'对齐'!C660/'对齐'!C659-1</f>
        <v/>
      </c>
      <c r="G660">
        <f>'对齐'!C660/'对齐'!C$2*100</f>
        <v/>
      </c>
      <c r="H660">
        <f>'对齐'!C660/MAX('对齐'!C$2:'对齐'!C660)-1</f>
        <v/>
      </c>
      <c r="I660">
        <f>IF(ROW()-2&gt;='参数'!$B$2,STDEV(OFFSET(F660,1-'参数'!$B$2,0,'参数'!$B$2,1))*SQRT('参数'!$B$3),"")</f>
        <v/>
      </c>
    </row>
    <row r="661">
      <c r="A661">
        <f>'对齐'!A661</f>
        <v/>
      </c>
      <c r="B661">
        <f>'对齐'!B661/'对齐'!B660-1</f>
        <v/>
      </c>
      <c r="C661">
        <f>'对齐'!B661/'对齐'!B$2*100</f>
        <v/>
      </c>
      <c r="D661">
        <f>'对齐'!B661/MAX('对齐'!B$2:'对齐'!B661)-1</f>
        <v/>
      </c>
      <c r="E661">
        <f>IF(ROW()-2&gt;='参数'!$B$2,STDEV(OFFSET(B661,1-'参数'!$B$2,0,'参数'!$B$2,1))*SQRT('参数'!$B$3),"")</f>
        <v/>
      </c>
      <c r="F661">
        <f>'对齐'!C661/'对齐'!C660-1</f>
        <v/>
      </c>
      <c r="G661">
        <f>'对齐'!C661/'对齐'!C$2*100</f>
        <v/>
      </c>
      <c r="H661">
        <f>'对齐'!C661/MAX('对齐'!C$2:'对齐'!C661)-1</f>
        <v/>
      </c>
      <c r="I661">
        <f>IF(ROW()-2&gt;='参数'!$B$2,STDEV(OFFSET(F661,1-'参数'!$B$2,0,'参数'!$B$2,1))*SQRT('参数'!$B$3),"")</f>
        <v/>
      </c>
    </row>
    <row r="662">
      <c r="A662">
        <f>'对齐'!A662</f>
        <v/>
      </c>
      <c r="B662">
        <f>'对齐'!B662/'对齐'!B661-1</f>
        <v/>
      </c>
      <c r="C662">
        <f>'对齐'!B662/'对齐'!B$2*100</f>
        <v/>
      </c>
      <c r="D662">
        <f>'对齐'!B662/MAX('对齐'!B$2:'对齐'!B662)-1</f>
        <v/>
      </c>
      <c r="E662">
        <f>IF(ROW()-2&gt;='参数'!$B$2,STDEV(OFFSET(B662,1-'参数'!$B$2,0,'参数'!$B$2,1))*SQRT('参数'!$B$3),"")</f>
        <v/>
      </c>
      <c r="F662">
        <f>'对齐'!C662/'对齐'!C661-1</f>
        <v/>
      </c>
      <c r="G662">
        <f>'对齐'!C662/'对齐'!C$2*100</f>
        <v/>
      </c>
      <c r="H662">
        <f>'对齐'!C662/MAX('对齐'!C$2:'对齐'!C662)-1</f>
        <v/>
      </c>
      <c r="I662">
        <f>IF(ROW()-2&gt;='参数'!$B$2,STDEV(OFFSET(F662,1-'参数'!$B$2,0,'参数'!$B$2,1))*SQRT('参数'!$B$3),"")</f>
        <v/>
      </c>
    </row>
    <row r="663">
      <c r="A663">
        <f>'对齐'!A663</f>
        <v/>
      </c>
      <c r="B663">
        <f>'对齐'!B663/'对齐'!B662-1</f>
        <v/>
      </c>
      <c r="C663">
        <f>'对齐'!B663/'对齐'!B$2*100</f>
        <v/>
      </c>
      <c r="D663">
        <f>'对齐'!B663/MAX('对齐'!B$2:'对齐'!B663)-1</f>
        <v/>
      </c>
      <c r="E663">
        <f>IF(ROW()-2&gt;='参数'!$B$2,STDEV(OFFSET(B663,1-'参数'!$B$2,0,'参数'!$B$2,1))*SQRT('参数'!$B$3),"")</f>
        <v/>
      </c>
      <c r="F663">
        <f>'对齐'!C663/'对齐'!C662-1</f>
        <v/>
      </c>
      <c r="G663">
        <f>'对齐'!C663/'对齐'!C$2*100</f>
        <v/>
      </c>
      <c r="H663">
        <f>'对齐'!C663/MAX('对齐'!C$2:'对齐'!C663)-1</f>
        <v/>
      </c>
      <c r="I663">
        <f>IF(ROW()-2&gt;='参数'!$B$2,STDEV(OFFSET(F663,1-'参数'!$B$2,0,'参数'!$B$2,1))*SQRT('参数'!$B$3),"")</f>
        <v/>
      </c>
    </row>
    <row r="664">
      <c r="A664">
        <f>'对齐'!A664</f>
        <v/>
      </c>
      <c r="B664">
        <f>'对齐'!B664/'对齐'!B663-1</f>
        <v/>
      </c>
      <c r="C664">
        <f>'对齐'!B664/'对齐'!B$2*100</f>
        <v/>
      </c>
      <c r="D664">
        <f>'对齐'!B664/MAX('对齐'!B$2:'对齐'!B664)-1</f>
        <v/>
      </c>
      <c r="E664">
        <f>IF(ROW()-2&gt;='参数'!$B$2,STDEV(OFFSET(B664,1-'参数'!$B$2,0,'参数'!$B$2,1))*SQRT('参数'!$B$3),"")</f>
        <v/>
      </c>
      <c r="F664">
        <f>'对齐'!C664/'对齐'!C663-1</f>
        <v/>
      </c>
      <c r="G664">
        <f>'对齐'!C664/'对齐'!C$2*100</f>
        <v/>
      </c>
      <c r="H664">
        <f>'对齐'!C664/MAX('对齐'!C$2:'对齐'!C664)-1</f>
        <v/>
      </c>
      <c r="I664">
        <f>IF(ROW()-2&gt;='参数'!$B$2,STDEV(OFFSET(F664,1-'参数'!$B$2,0,'参数'!$B$2,1))*SQRT('参数'!$B$3),"")</f>
        <v/>
      </c>
    </row>
    <row r="665">
      <c r="A665">
        <f>'对齐'!A665</f>
        <v/>
      </c>
      <c r="B665">
        <f>'对齐'!B665/'对齐'!B664-1</f>
        <v/>
      </c>
      <c r="C665">
        <f>'对齐'!B665/'对齐'!B$2*100</f>
        <v/>
      </c>
      <c r="D665">
        <f>'对齐'!B665/MAX('对齐'!B$2:'对齐'!B665)-1</f>
        <v/>
      </c>
      <c r="E665">
        <f>IF(ROW()-2&gt;='参数'!$B$2,STDEV(OFFSET(B665,1-'参数'!$B$2,0,'参数'!$B$2,1))*SQRT('参数'!$B$3),"")</f>
        <v/>
      </c>
      <c r="F665">
        <f>'对齐'!C665/'对齐'!C664-1</f>
        <v/>
      </c>
      <c r="G665">
        <f>'对齐'!C665/'对齐'!C$2*100</f>
        <v/>
      </c>
      <c r="H665">
        <f>'对齐'!C665/MAX('对齐'!C$2:'对齐'!C665)-1</f>
        <v/>
      </c>
      <c r="I665">
        <f>IF(ROW()-2&gt;='参数'!$B$2,STDEV(OFFSET(F665,1-'参数'!$B$2,0,'参数'!$B$2,1))*SQRT('参数'!$B$3),"")</f>
        <v/>
      </c>
    </row>
    <row r="666">
      <c r="A666">
        <f>'对齐'!A666</f>
        <v/>
      </c>
      <c r="B666">
        <f>'对齐'!B666/'对齐'!B665-1</f>
        <v/>
      </c>
      <c r="C666">
        <f>'对齐'!B666/'对齐'!B$2*100</f>
        <v/>
      </c>
      <c r="D666">
        <f>'对齐'!B666/MAX('对齐'!B$2:'对齐'!B666)-1</f>
        <v/>
      </c>
      <c r="E666">
        <f>IF(ROW()-2&gt;='参数'!$B$2,STDEV(OFFSET(B666,1-'参数'!$B$2,0,'参数'!$B$2,1))*SQRT('参数'!$B$3),"")</f>
        <v/>
      </c>
      <c r="F666">
        <f>'对齐'!C666/'对齐'!C665-1</f>
        <v/>
      </c>
      <c r="G666">
        <f>'对齐'!C666/'对齐'!C$2*100</f>
        <v/>
      </c>
      <c r="H666">
        <f>'对齐'!C666/MAX('对齐'!C$2:'对齐'!C666)-1</f>
        <v/>
      </c>
      <c r="I666">
        <f>IF(ROW()-2&gt;='参数'!$B$2,STDEV(OFFSET(F666,1-'参数'!$B$2,0,'参数'!$B$2,1))*SQRT('参数'!$B$3),"")</f>
        <v/>
      </c>
    </row>
    <row r="667">
      <c r="A667">
        <f>'对齐'!A667</f>
        <v/>
      </c>
      <c r="B667">
        <f>'对齐'!B667/'对齐'!B666-1</f>
        <v/>
      </c>
      <c r="C667">
        <f>'对齐'!B667/'对齐'!B$2*100</f>
        <v/>
      </c>
      <c r="D667">
        <f>'对齐'!B667/MAX('对齐'!B$2:'对齐'!B667)-1</f>
        <v/>
      </c>
      <c r="E667">
        <f>IF(ROW()-2&gt;='参数'!$B$2,STDEV(OFFSET(B667,1-'参数'!$B$2,0,'参数'!$B$2,1))*SQRT('参数'!$B$3),"")</f>
        <v/>
      </c>
      <c r="F667">
        <f>'对齐'!C667/'对齐'!C666-1</f>
        <v/>
      </c>
      <c r="G667">
        <f>'对齐'!C667/'对齐'!C$2*100</f>
        <v/>
      </c>
      <c r="H667">
        <f>'对齐'!C667/MAX('对齐'!C$2:'对齐'!C667)-1</f>
        <v/>
      </c>
      <c r="I667">
        <f>IF(ROW()-2&gt;='参数'!$B$2,STDEV(OFFSET(F667,1-'参数'!$B$2,0,'参数'!$B$2,1))*SQRT('参数'!$B$3),"")</f>
        <v/>
      </c>
    </row>
    <row r="668">
      <c r="A668">
        <f>'对齐'!A668</f>
        <v/>
      </c>
      <c r="B668">
        <f>'对齐'!B668/'对齐'!B667-1</f>
        <v/>
      </c>
      <c r="C668">
        <f>'对齐'!B668/'对齐'!B$2*100</f>
        <v/>
      </c>
      <c r="D668">
        <f>'对齐'!B668/MAX('对齐'!B$2:'对齐'!B668)-1</f>
        <v/>
      </c>
      <c r="E668">
        <f>IF(ROW()-2&gt;='参数'!$B$2,STDEV(OFFSET(B668,1-'参数'!$B$2,0,'参数'!$B$2,1))*SQRT('参数'!$B$3),"")</f>
        <v/>
      </c>
      <c r="F668">
        <f>'对齐'!C668/'对齐'!C667-1</f>
        <v/>
      </c>
      <c r="G668">
        <f>'对齐'!C668/'对齐'!C$2*100</f>
        <v/>
      </c>
      <c r="H668">
        <f>'对齐'!C668/MAX('对齐'!C$2:'对齐'!C668)-1</f>
        <v/>
      </c>
      <c r="I668">
        <f>IF(ROW()-2&gt;='参数'!$B$2,STDEV(OFFSET(F668,1-'参数'!$B$2,0,'参数'!$B$2,1))*SQRT('参数'!$B$3),"")</f>
        <v/>
      </c>
    </row>
    <row r="669">
      <c r="A669">
        <f>'对齐'!A669</f>
        <v/>
      </c>
      <c r="B669">
        <f>'对齐'!B669/'对齐'!B668-1</f>
        <v/>
      </c>
      <c r="C669">
        <f>'对齐'!B669/'对齐'!B$2*100</f>
        <v/>
      </c>
      <c r="D669">
        <f>'对齐'!B669/MAX('对齐'!B$2:'对齐'!B669)-1</f>
        <v/>
      </c>
      <c r="E669">
        <f>IF(ROW()-2&gt;='参数'!$B$2,STDEV(OFFSET(B669,1-'参数'!$B$2,0,'参数'!$B$2,1))*SQRT('参数'!$B$3),"")</f>
        <v/>
      </c>
      <c r="F669">
        <f>'对齐'!C669/'对齐'!C668-1</f>
        <v/>
      </c>
      <c r="G669">
        <f>'对齐'!C669/'对齐'!C$2*100</f>
        <v/>
      </c>
      <c r="H669">
        <f>'对齐'!C669/MAX('对齐'!C$2:'对齐'!C669)-1</f>
        <v/>
      </c>
      <c r="I669">
        <f>IF(ROW()-2&gt;='参数'!$B$2,STDEV(OFFSET(F669,1-'参数'!$B$2,0,'参数'!$B$2,1))*SQRT('参数'!$B$3),"")</f>
        <v/>
      </c>
    </row>
    <row r="670">
      <c r="A670">
        <f>'对齐'!A670</f>
        <v/>
      </c>
      <c r="B670">
        <f>'对齐'!B670/'对齐'!B669-1</f>
        <v/>
      </c>
      <c r="C670">
        <f>'对齐'!B670/'对齐'!B$2*100</f>
        <v/>
      </c>
      <c r="D670">
        <f>'对齐'!B670/MAX('对齐'!B$2:'对齐'!B670)-1</f>
        <v/>
      </c>
      <c r="E670">
        <f>IF(ROW()-2&gt;='参数'!$B$2,STDEV(OFFSET(B670,1-'参数'!$B$2,0,'参数'!$B$2,1))*SQRT('参数'!$B$3),"")</f>
        <v/>
      </c>
      <c r="F670">
        <f>'对齐'!C670/'对齐'!C669-1</f>
        <v/>
      </c>
      <c r="G670">
        <f>'对齐'!C670/'对齐'!C$2*100</f>
        <v/>
      </c>
      <c r="H670">
        <f>'对齐'!C670/MAX('对齐'!C$2:'对齐'!C670)-1</f>
        <v/>
      </c>
      <c r="I670">
        <f>IF(ROW()-2&gt;='参数'!$B$2,STDEV(OFFSET(F670,1-'参数'!$B$2,0,'参数'!$B$2,1))*SQRT('参数'!$B$3),"")</f>
        <v/>
      </c>
    </row>
    <row r="671">
      <c r="A671">
        <f>'对齐'!A671</f>
        <v/>
      </c>
      <c r="B671">
        <f>'对齐'!B671/'对齐'!B670-1</f>
        <v/>
      </c>
      <c r="C671">
        <f>'对齐'!B671/'对齐'!B$2*100</f>
        <v/>
      </c>
      <c r="D671">
        <f>'对齐'!B671/MAX('对齐'!B$2:'对齐'!B671)-1</f>
        <v/>
      </c>
      <c r="E671">
        <f>IF(ROW()-2&gt;='参数'!$B$2,STDEV(OFFSET(B671,1-'参数'!$B$2,0,'参数'!$B$2,1))*SQRT('参数'!$B$3),"")</f>
        <v/>
      </c>
      <c r="F671">
        <f>'对齐'!C671/'对齐'!C670-1</f>
        <v/>
      </c>
      <c r="G671">
        <f>'对齐'!C671/'对齐'!C$2*100</f>
        <v/>
      </c>
      <c r="H671">
        <f>'对齐'!C671/MAX('对齐'!C$2:'对齐'!C671)-1</f>
        <v/>
      </c>
      <c r="I671">
        <f>IF(ROW()-2&gt;='参数'!$B$2,STDEV(OFFSET(F671,1-'参数'!$B$2,0,'参数'!$B$2,1))*SQRT('参数'!$B$3),"")</f>
        <v/>
      </c>
    </row>
    <row r="672">
      <c r="A672">
        <f>'对齐'!A672</f>
        <v/>
      </c>
      <c r="B672">
        <f>'对齐'!B672/'对齐'!B671-1</f>
        <v/>
      </c>
      <c r="C672">
        <f>'对齐'!B672/'对齐'!B$2*100</f>
        <v/>
      </c>
      <c r="D672">
        <f>'对齐'!B672/MAX('对齐'!B$2:'对齐'!B672)-1</f>
        <v/>
      </c>
      <c r="E672">
        <f>IF(ROW()-2&gt;='参数'!$B$2,STDEV(OFFSET(B672,1-'参数'!$B$2,0,'参数'!$B$2,1))*SQRT('参数'!$B$3),"")</f>
        <v/>
      </c>
      <c r="F672">
        <f>'对齐'!C672/'对齐'!C671-1</f>
        <v/>
      </c>
      <c r="G672">
        <f>'对齐'!C672/'对齐'!C$2*100</f>
        <v/>
      </c>
      <c r="H672">
        <f>'对齐'!C672/MAX('对齐'!C$2:'对齐'!C672)-1</f>
        <v/>
      </c>
      <c r="I672">
        <f>IF(ROW()-2&gt;='参数'!$B$2,STDEV(OFFSET(F672,1-'参数'!$B$2,0,'参数'!$B$2,1))*SQRT('参数'!$B$3),"")</f>
        <v/>
      </c>
    </row>
    <row r="673">
      <c r="A673">
        <f>'对齐'!A673</f>
        <v/>
      </c>
      <c r="B673">
        <f>'对齐'!B673/'对齐'!B672-1</f>
        <v/>
      </c>
      <c r="C673">
        <f>'对齐'!B673/'对齐'!B$2*100</f>
        <v/>
      </c>
      <c r="D673">
        <f>'对齐'!B673/MAX('对齐'!B$2:'对齐'!B673)-1</f>
        <v/>
      </c>
      <c r="E673">
        <f>IF(ROW()-2&gt;='参数'!$B$2,STDEV(OFFSET(B673,1-'参数'!$B$2,0,'参数'!$B$2,1))*SQRT('参数'!$B$3),"")</f>
        <v/>
      </c>
      <c r="F673">
        <f>'对齐'!C673/'对齐'!C672-1</f>
        <v/>
      </c>
      <c r="G673">
        <f>'对齐'!C673/'对齐'!C$2*100</f>
        <v/>
      </c>
      <c r="H673">
        <f>'对齐'!C673/MAX('对齐'!C$2:'对齐'!C673)-1</f>
        <v/>
      </c>
      <c r="I673">
        <f>IF(ROW()-2&gt;='参数'!$B$2,STDEV(OFFSET(F673,1-'参数'!$B$2,0,'参数'!$B$2,1))*SQRT('参数'!$B$3),"")</f>
        <v/>
      </c>
    </row>
    <row r="674">
      <c r="A674">
        <f>'对齐'!A674</f>
        <v/>
      </c>
      <c r="B674">
        <f>'对齐'!B674/'对齐'!B673-1</f>
        <v/>
      </c>
      <c r="C674">
        <f>'对齐'!B674/'对齐'!B$2*100</f>
        <v/>
      </c>
      <c r="D674">
        <f>'对齐'!B674/MAX('对齐'!B$2:'对齐'!B674)-1</f>
        <v/>
      </c>
      <c r="E674">
        <f>IF(ROW()-2&gt;='参数'!$B$2,STDEV(OFFSET(B674,1-'参数'!$B$2,0,'参数'!$B$2,1))*SQRT('参数'!$B$3),"")</f>
        <v/>
      </c>
      <c r="F674">
        <f>'对齐'!C674/'对齐'!C673-1</f>
        <v/>
      </c>
      <c r="G674">
        <f>'对齐'!C674/'对齐'!C$2*100</f>
        <v/>
      </c>
      <c r="H674">
        <f>'对齐'!C674/MAX('对齐'!C$2:'对齐'!C674)-1</f>
        <v/>
      </c>
      <c r="I674">
        <f>IF(ROW()-2&gt;='参数'!$B$2,STDEV(OFFSET(F674,1-'参数'!$B$2,0,'参数'!$B$2,1))*SQRT('参数'!$B$3),"")</f>
        <v/>
      </c>
    </row>
    <row r="675">
      <c r="A675">
        <f>'对齐'!A675</f>
        <v/>
      </c>
      <c r="B675">
        <f>'对齐'!B675/'对齐'!B674-1</f>
        <v/>
      </c>
      <c r="C675">
        <f>'对齐'!B675/'对齐'!B$2*100</f>
        <v/>
      </c>
      <c r="D675">
        <f>'对齐'!B675/MAX('对齐'!B$2:'对齐'!B675)-1</f>
        <v/>
      </c>
      <c r="E675">
        <f>IF(ROW()-2&gt;='参数'!$B$2,STDEV(OFFSET(B675,1-'参数'!$B$2,0,'参数'!$B$2,1))*SQRT('参数'!$B$3),"")</f>
        <v/>
      </c>
      <c r="F675">
        <f>'对齐'!C675/'对齐'!C674-1</f>
        <v/>
      </c>
      <c r="G675">
        <f>'对齐'!C675/'对齐'!C$2*100</f>
        <v/>
      </c>
      <c r="H675">
        <f>'对齐'!C675/MAX('对齐'!C$2:'对齐'!C675)-1</f>
        <v/>
      </c>
      <c r="I675">
        <f>IF(ROW()-2&gt;='参数'!$B$2,STDEV(OFFSET(F675,1-'参数'!$B$2,0,'参数'!$B$2,1))*SQRT('参数'!$B$3),"")</f>
        <v/>
      </c>
    </row>
    <row r="676">
      <c r="A676">
        <f>'对齐'!A676</f>
        <v/>
      </c>
      <c r="B676">
        <f>'对齐'!B676/'对齐'!B675-1</f>
        <v/>
      </c>
      <c r="C676">
        <f>'对齐'!B676/'对齐'!B$2*100</f>
        <v/>
      </c>
      <c r="D676">
        <f>'对齐'!B676/MAX('对齐'!B$2:'对齐'!B676)-1</f>
        <v/>
      </c>
      <c r="E676">
        <f>IF(ROW()-2&gt;='参数'!$B$2,STDEV(OFFSET(B676,1-'参数'!$B$2,0,'参数'!$B$2,1))*SQRT('参数'!$B$3),"")</f>
        <v/>
      </c>
      <c r="F676">
        <f>'对齐'!C676/'对齐'!C675-1</f>
        <v/>
      </c>
      <c r="G676">
        <f>'对齐'!C676/'对齐'!C$2*100</f>
        <v/>
      </c>
      <c r="H676">
        <f>'对齐'!C676/MAX('对齐'!C$2:'对齐'!C676)-1</f>
        <v/>
      </c>
      <c r="I676">
        <f>IF(ROW()-2&gt;='参数'!$B$2,STDEV(OFFSET(F676,1-'参数'!$B$2,0,'参数'!$B$2,1))*SQRT('参数'!$B$3),"")</f>
        <v/>
      </c>
    </row>
    <row r="677">
      <c r="A677">
        <f>'对齐'!A677</f>
        <v/>
      </c>
      <c r="B677">
        <f>'对齐'!B677/'对齐'!B676-1</f>
        <v/>
      </c>
      <c r="C677">
        <f>'对齐'!B677/'对齐'!B$2*100</f>
        <v/>
      </c>
      <c r="D677">
        <f>'对齐'!B677/MAX('对齐'!B$2:'对齐'!B677)-1</f>
        <v/>
      </c>
      <c r="E677">
        <f>IF(ROW()-2&gt;='参数'!$B$2,STDEV(OFFSET(B677,1-'参数'!$B$2,0,'参数'!$B$2,1))*SQRT('参数'!$B$3),"")</f>
        <v/>
      </c>
      <c r="F677">
        <f>'对齐'!C677/'对齐'!C676-1</f>
        <v/>
      </c>
      <c r="G677">
        <f>'对齐'!C677/'对齐'!C$2*100</f>
        <v/>
      </c>
      <c r="H677">
        <f>'对齐'!C677/MAX('对齐'!C$2:'对齐'!C677)-1</f>
        <v/>
      </c>
      <c r="I677">
        <f>IF(ROW()-2&gt;='参数'!$B$2,STDEV(OFFSET(F677,1-'参数'!$B$2,0,'参数'!$B$2,1))*SQRT('参数'!$B$3),"")</f>
        <v/>
      </c>
    </row>
    <row r="678">
      <c r="A678">
        <f>'对齐'!A678</f>
        <v/>
      </c>
      <c r="B678">
        <f>'对齐'!B678/'对齐'!B677-1</f>
        <v/>
      </c>
      <c r="C678">
        <f>'对齐'!B678/'对齐'!B$2*100</f>
        <v/>
      </c>
      <c r="D678">
        <f>'对齐'!B678/MAX('对齐'!B$2:'对齐'!B678)-1</f>
        <v/>
      </c>
      <c r="E678">
        <f>IF(ROW()-2&gt;='参数'!$B$2,STDEV(OFFSET(B678,1-'参数'!$B$2,0,'参数'!$B$2,1))*SQRT('参数'!$B$3),"")</f>
        <v/>
      </c>
      <c r="F678">
        <f>'对齐'!C678/'对齐'!C677-1</f>
        <v/>
      </c>
      <c r="G678">
        <f>'对齐'!C678/'对齐'!C$2*100</f>
        <v/>
      </c>
      <c r="H678">
        <f>'对齐'!C678/MAX('对齐'!C$2:'对齐'!C678)-1</f>
        <v/>
      </c>
      <c r="I678">
        <f>IF(ROW()-2&gt;='参数'!$B$2,STDEV(OFFSET(F678,1-'参数'!$B$2,0,'参数'!$B$2,1))*SQRT('参数'!$B$3),"")</f>
        <v/>
      </c>
    </row>
    <row r="679">
      <c r="A679">
        <f>'对齐'!A679</f>
        <v/>
      </c>
      <c r="B679">
        <f>'对齐'!B679/'对齐'!B678-1</f>
        <v/>
      </c>
      <c r="C679">
        <f>'对齐'!B679/'对齐'!B$2*100</f>
        <v/>
      </c>
      <c r="D679">
        <f>'对齐'!B679/MAX('对齐'!B$2:'对齐'!B679)-1</f>
        <v/>
      </c>
      <c r="E679">
        <f>IF(ROW()-2&gt;='参数'!$B$2,STDEV(OFFSET(B679,1-'参数'!$B$2,0,'参数'!$B$2,1))*SQRT('参数'!$B$3),"")</f>
        <v/>
      </c>
      <c r="F679">
        <f>'对齐'!C679/'对齐'!C678-1</f>
        <v/>
      </c>
      <c r="G679">
        <f>'对齐'!C679/'对齐'!C$2*100</f>
        <v/>
      </c>
      <c r="H679">
        <f>'对齐'!C679/MAX('对齐'!C$2:'对齐'!C679)-1</f>
        <v/>
      </c>
      <c r="I679">
        <f>IF(ROW()-2&gt;='参数'!$B$2,STDEV(OFFSET(F679,1-'参数'!$B$2,0,'参数'!$B$2,1))*SQRT('参数'!$B$3),"")</f>
        <v/>
      </c>
    </row>
    <row r="680">
      <c r="A680">
        <f>'对齐'!A680</f>
        <v/>
      </c>
      <c r="B680">
        <f>'对齐'!B680/'对齐'!B679-1</f>
        <v/>
      </c>
      <c r="C680">
        <f>'对齐'!B680/'对齐'!B$2*100</f>
        <v/>
      </c>
      <c r="D680">
        <f>'对齐'!B680/MAX('对齐'!B$2:'对齐'!B680)-1</f>
        <v/>
      </c>
      <c r="E680">
        <f>IF(ROW()-2&gt;='参数'!$B$2,STDEV(OFFSET(B680,1-'参数'!$B$2,0,'参数'!$B$2,1))*SQRT('参数'!$B$3),"")</f>
        <v/>
      </c>
      <c r="F680">
        <f>'对齐'!C680/'对齐'!C679-1</f>
        <v/>
      </c>
      <c r="G680">
        <f>'对齐'!C680/'对齐'!C$2*100</f>
        <v/>
      </c>
      <c r="H680">
        <f>'对齐'!C680/MAX('对齐'!C$2:'对齐'!C680)-1</f>
        <v/>
      </c>
      <c r="I680">
        <f>IF(ROW()-2&gt;='参数'!$B$2,STDEV(OFFSET(F680,1-'参数'!$B$2,0,'参数'!$B$2,1))*SQRT('参数'!$B$3),"")</f>
        <v/>
      </c>
    </row>
    <row r="681">
      <c r="A681">
        <f>'对齐'!A681</f>
        <v/>
      </c>
      <c r="B681">
        <f>'对齐'!B681/'对齐'!B680-1</f>
        <v/>
      </c>
      <c r="C681">
        <f>'对齐'!B681/'对齐'!B$2*100</f>
        <v/>
      </c>
      <c r="D681">
        <f>'对齐'!B681/MAX('对齐'!B$2:'对齐'!B681)-1</f>
        <v/>
      </c>
      <c r="E681">
        <f>IF(ROW()-2&gt;='参数'!$B$2,STDEV(OFFSET(B681,1-'参数'!$B$2,0,'参数'!$B$2,1))*SQRT('参数'!$B$3),"")</f>
        <v/>
      </c>
      <c r="F681">
        <f>'对齐'!C681/'对齐'!C680-1</f>
        <v/>
      </c>
      <c r="G681">
        <f>'对齐'!C681/'对齐'!C$2*100</f>
        <v/>
      </c>
      <c r="H681">
        <f>'对齐'!C681/MAX('对齐'!C$2:'对齐'!C681)-1</f>
        <v/>
      </c>
      <c r="I681">
        <f>IF(ROW()-2&gt;='参数'!$B$2,STDEV(OFFSET(F681,1-'参数'!$B$2,0,'参数'!$B$2,1))*SQRT('参数'!$B$3),"")</f>
        <v/>
      </c>
    </row>
    <row r="682">
      <c r="A682">
        <f>'对齐'!A682</f>
        <v/>
      </c>
      <c r="B682">
        <f>'对齐'!B682/'对齐'!B681-1</f>
        <v/>
      </c>
      <c r="C682">
        <f>'对齐'!B682/'对齐'!B$2*100</f>
        <v/>
      </c>
      <c r="D682">
        <f>'对齐'!B682/MAX('对齐'!B$2:'对齐'!B682)-1</f>
        <v/>
      </c>
      <c r="E682">
        <f>IF(ROW()-2&gt;='参数'!$B$2,STDEV(OFFSET(B682,1-'参数'!$B$2,0,'参数'!$B$2,1))*SQRT('参数'!$B$3),"")</f>
        <v/>
      </c>
      <c r="F682">
        <f>'对齐'!C682/'对齐'!C681-1</f>
        <v/>
      </c>
      <c r="G682">
        <f>'对齐'!C682/'对齐'!C$2*100</f>
        <v/>
      </c>
      <c r="H682">
        <f>'对齐'!C682/MAX('对齐'!C$2:'对齐'!C682)-1</f>
        <v/>
      </c>
      <c r="I682">
        <f>IF(ROW()-2&gt;='参数'!$B$2,STDEV(OFFSET(F682,1-'参数'!$B$2,0,'参数'!$B$2,1))*SQRT('参数'!$B$3),"")</f>
        <v/>
      </c>
    </row>
    <row r="683">
      <c r="A683">
        <f>'对齐'!A683</f>
        <v/>
      </c>
      <c r="B683">
        <f>'对齐'!B683/'对齐'!B682-1</f>
        <v/>
      </c>
      <c r="C683">
        <f>'对齐'!B683/'对齐'!B$2*100</f>
        <v/>
      </c>
      <c r="D683">
        <f>'对齐'!B683/MAX('对齐'!B$2:'对齐'!B683)-1</f>
        <v/>
      </c>
      <c r="E683">
        <f>IF(ROW()-2&gt;='参数'!$B$2,STDEV(OFFSET(B683,1-'参数'!$B$2,0,'参数'!$B$2,1))*SQRT('参数'!$B$3),"")</f>
        <v/>
      </c>
      <c r="F683">
        <f>'对齐'!C683/'对齐'!C682-1</f>
        <v/>
      </c>
      <c r="G683">
        <f>'对齐'!C683/'对齐'!C$2*100</f>
        <v/>
      </c>
      <c r="H683">
        <f>'对齐'!C683/MAX('对齐'!C$2:'对齐'!C683)-1</f>
        <v/>
      </c>
      <c r="I683">
        <f>IF(ROW()-2&gt;='参数'!$B$2,STDEV(OFFSET(F683,1-'参数'!$B$2,0,'参数'!$B$2,1))*SQRT('参数'!$B$3),"")</f>
        <v/>
      </c>
    </row>
    <row r="684">
      <c r="A684">
        <f>'对齐'!A684</f>
        <v/>
      </c>
      <c r="B684">
        <f>'对齐'!B684/'对齐'!B683-1</f>
        <v/>
      </c>
      <c r="C684">
        <f>'对齐'!B684/'对齐'!B$2*100</f>
        <v/>
      </c>
      <c r="D684">
        <f>'对齐'!B684/MAX('对齐'!B$2:'对齐'!B684)-1</f>
        <v/>
      </c>
      <c r="E684">
        <f>IF(ROW()-2&gt;='参数'!$B$2,STDEV(OFFSET(B684,1-'参数'!$B$2,0,'参数'!$B$2,1))*SQRT('参数'!$B$3),"")</f>
        <v/>
      </c>
      <c r="F684">
        <f>'对齐'!C684/'对齐'!C683-1</f>
        <v/>
      </c>
      <c r="G684">
        <f>'对齐'!C684/'对齐'!C$2*100</f>
        <v/>
      </c>
      <c r="H684">
        <f>'对齐'!C684/MAX('对齐'!C$2:'对齐'!C684)-1</f>
        <v/>
      </c>
      <c r="I684">
        <f>IF(ROW()-2&gt;='参数'!$B$2,STDEV(OFFSET(F684,1-'参数'!$B$2,0,'参数'!$B$2,1))*SQRT('参数'!$B$3),"")</f>
        <v/>
      </c>
    </row>
    <row r="685">
      <c r="A685">
        <f>'对齐'!A685</f>
        <v/>
      </c>
      <c r="B685">
        <f>'对齐'!B685/'对齐'!B684-1</f>
        <v/>
      </c>
      <c r="C685">
        <f>'对齐'!B685/'对齐'!B$2*100</f>
        <v/>
      </c>
      <c r="D685">
        <f>'对齐'!B685/MAX('对齐'!B$2:'对齐'!B685)-1</f>
        <v/>
      </c>
      <c r="E685">
        <f>IF(ROW()-2&gt;='参数'!$B$2,STDEV(OFFSET(B685,1-'参数'!$B$2,0,'参数'!$B$2,1))*SQRT('参数'!$B$3),"")</f>
        <v/>
      </c>
      <c r="F685">
        <f>'对齐'!C685/'对齐'!C684-1</f>
        <v/>
      </c>
      <c r="G685">
        <f>'对齐'!C685/'对齐'!C$2*100</f>
        <v/>
      </c>
      <c r="H685">
        <f>'对齐'!C685/MAX('对齐'!C$2:'对齐'!C685)-1</f>
        <v/>
      </c>
      <c r="I685">
        <f>IF(ROW()-2&gt;='参数'!$B$2,STDEV(OFFSET(F685,1-'参数'!$B$2,0,'参数'!$B$2,1))*SQRT('参数'!$B$3),"")</f>
        <v/>
      </c>
    </row>
    <row r="686">
      <c r="A686">
        <f>'对齐'!A686</f>
        <v/>
      </c>
      <c r="B686">
        <f>'对齐'!B686/'对齐'!B685-1</f>
        <v/>
      </c>
      <c r="C686">
        <f>'对齐'!B686/'对齐'!B$2*100</f>
        <v/>
      </c>
      <c r="D686">
        <f>'对齐'!B686/MAX('对齐'!B$2:'对齐'!B686)-1</f>
        <v/>
      </c>
      <c r="E686">
        <f>IF(ROW()-2&gt;='参数'!$B$2,STDEV(OFFSET(B686,1-'参数'!$B$2,0,'参数'!$B$2,1))*SQRT('参数'!$B$3),"")</f>
        <v/>
      </c>
      <c r="F686">
        <f>'对齐'!C686/'对齐'!C685-1</f>
        <v/>
      </c>
      <c r="G686">
        <f>'对齐'!C686/'对齐'!C$2*100</f>
        <v/>
      </c>
      <c r="H686">
        <f>'对齐'!C686/MAX('对齐'!C$2:'对齐'!C686)-1</f>
        <v/>
      </c>
      <c r="I686">
        <f>IF(ROW()-2&gt;='参数'!$B$2,STDEV(OFFSET(F686,1-'参数'!$B$2,0,'参数'!$B$2,1))*SQRT('参数'!$B$3),"")</f>
        <v/>
      </c>
    </row>
    <row r="687">
      <c r="A687">
        <f>'对齐'!A687</f>
        <v/>
      </c>
      <c r="B687">
        <f>'对齐'!B687/'对齐'!B686-1</f>
        <v/>
      </c>
      <c r="C687">
        <f>'对齐'!B687/'对齐'!B$2*100</f>
        <v/>
      </c>
      <c r="D687">
        <f>'对齐'!B687/MAX('对齐'!B$2:'对齐'!B687)-1</f>
        <v/>
      </c>
      <c r="E687">
        <f>IF(ROW()-2&gt;='参数'!$B$2,STDEV(OFFSET(B687,1-'参数'!$B$2,0,'参数'!$B$2,1))*SQRT('参数'!$B$3),"")</f>
        <v/>
      </c>
      <c r="F687">
        <f>'对齐'!C687/'对齐'!C686-1</f>
        <v/>
      </c>
      <c r="G687">
        <f>'对齐'!C687/'对齐'!C$2*100</f>
        <v/>
      </c>
      <c r="H687">
        <f>'对齐'!C687/MAX('对齐'!C$2:'对齐'!C687)-1</f>
        <v/>
      </c>
      <c r="I687">
        <f>IF(ROW()-2&gt;='参数'!$B$2,STDEV(OFFSET(F687,1-'参数'!$B$2,0,'参数'!$B$2,1))*SQRT('参数'!$B$3),"")</f>
        <v/>
      </c>
    </row>
    <row r="688">
      <c r="A688">
        <f>'对齐'!A688</f>
        <v/>
      </c>
      <c r="B688">
        <f>'对齐'!B688/'对齐'!B687-1</f>
        <v/>
      </c>
      <c r="C688">
        <f>'对齐'!B688/'对齐'!B$2*100</f>
        <v/>
      </c>
      <c r="D688">
        <f>'对齐'!B688/MAX('对齐'!B$2:'对齐'!B688)-1</f>
        <v/>
      </c>
      <c r="E688">
        <f>IF(ROW()-2&gt;='参数'!$B$2,STDEV(OFFSET(B688,1-'参数'!$B$2,0,'参数'!$B$2,1))*SQRT('参数'!$B$3),"")</f>
        <v/>
      </c>
      <c r="F688">
        <f>'对齐'!C688/'对齐'!C687-1</f>
        <v/>
      </c>
      <c r="G688">
        <f>'对齐'!C688/'对齐'!C$2*100</f>
        <v/>
      </c>
      <c r="H688">
        <f>'对齐'!C688/MAX('对齐'!C$2:'对齐'!C688)-1</f>
        <v/>
      </c>
      <c r="I688">
        <f>IF(ROW()-2&gt;='参数'!$B$2,STDEV(OFFSET(F688,1-'参数'!$B$2,0,'参数'!$B$2,1))*SQRT('参数'!$B$3),"")</f>
        <v/>
      </c>
    </row>
    <row r="689">
      <c r="A689">
        <f>'对齐'!A689</f>
        <v/>
      </c>
      <c r="B689">
        <f>'对齐'!B689/'对齐'!B688-1</f>
        <v/>
      </c>
      <c r="C689">
        <f>'对齐'!B689/'对齐'!B$2*100</f>
        <v/>
      </c>
      <c r="D689">
        <f>'对齐'!B689/MAX('对齐'!B$2:'对齐'!B689)-1</f>
        <v/>
      </c>
      <c r="E689">
        <f>IF(ROW()-2&gt;='参数'!$B$2,STDEV(OFFSET(B689,1-'参数'!$B$2,0,'参数'!$B$2,1))*SQRT('参数'!$B$3),"")</f>
        <v/>
      </c>
      <c r="F689">
        <f>'对齐'!C689/'对齐'!C688-1</f>
        <v/>
      </c>
      <c r="G689">
        <f>'对齐'!C689/'对齐'!C$2*100</f>
        <v/>
      </c>
      <c r="H689">
        <f>'对齐'!C689/MAX('对齐'!C$2:'对齐'!C689)-1</f>
        <v/>
      </c>
      <c r="I689">
        <f>IF(ROW()-2&gt;='参数'!$B$2,STDEV(OFFSET(F689,1-'参数'!$B$2,0,'参数'!$B$2,1))*SQRT('参数'!$B$3),"")</f>
        <v/>
      </c>
    </row>
    <row r="690">
      <c r="A690">
        <f>'对齐'!A690</f>
        <v/>
      </c>
      <c r="B690">
        <f>'对齐'!B690/'对齐'!B689-1</f>
        <v/>
      </c>
      <c r="C690">
        <f>'对齐'!B690/'对齐'!B$2*100</f>
        <v/>
      </c>
      <c r="D690">
        <f>'对齐'!B690/MAX('对齐'!B$2:'对齐'!B690)-1</f>
        <v/>
      </c>
      <c r="E690">
        <f>IF(ROW()-2&gt;='参数'!$B$2,STDEV(OFFSET(B690,1-'参数'!$B$2,0,'参数'!$B$2,1))*SQRT('参数'!$B$3),"")</f>
        <v/>
      </c>
      <c r="F690">
        <f>'对齐'!C690/'对齐'!C689-1</f>
        <v/>
      </c>
      <c r="G690">
        <f>'对齐'!C690/'对齐'!C$2*100</f>
        <v/>
      </c>
      <c r="H690">
        <f>'对齐'!C690/MAX('对齐'!C$2:'对齐'!C690)-1</f>
        <v/>
      </c>
      <c r="I690">
        <f>IF(ROW()-2&gt;='参数'!$B$2,STDEV(OFFSET(F690,1-'参数'!$B$2,0,'参数'!$B$2,1))*SQRT('参数'!$B$3),"")</f>
        <v/>
      </c>
    </row>
    <row r="691">
      <c r="A691">
        <f>'对齐'!A691</f>
        <v/>
      </c>
      <c r="B691">
        <f>'对齐'!B691/'对齐'!B690-1</f>
        <v/>
      </c>
      <c r="C691">
        <f>'对齐'!B691/'对齐'!B$2*100</f>
        <v/>
      </c>
      <c r="D691">
        <f>'对齐'!B691/MAX('对齐'!B$2:'对齐'!B691)-1</f>
        <v/>
      </c>
      <c r="E691">
        <f>IF(ROW()-2&gt;='参数'!$B$2,STDEV(OFFSET(B691,1-'参数'!$B$2,0,'参数'!$B$2,1))*SQRT('参数'!$B$3),"")</f>
        <v/>
      </c>
      <c r="F691">
        <f>'对齐'!C691/'对齐'!C690-1</f>
        <v/>
      </c>
      <c r="G691">
        <f>'对齐'!C691/'对齐'!C$2*100</f>
        <v/>
      </c>
      <c r="H691">
        <f>'对齐'!C691/MAX('对齐'!C$2:'对齐'!C691)-1</f>
        <v/>
      </c>
      <c r="I691">
        <f>IF(ROW()-2&gt;='参数'!$B$2,STDEV(OFFSET(F691,1-'参数'!$B$2,0,'参数'!$B$2,1))*SQRT('参数'!$B$3),"")</f>
        <v/>
      </c>
    </row>
    <row r="692">
      <c r="A692">
        <f>'对齐'!A692</f>
        <v/>
      </c>
      <c r="B692">
        <f>'对齐'!B692/'对齐'!B691-1</f>
        <v/>
      </c>
      <c r="C692">
        <f>'对齐'!B692/'对齐'!B$2*100</f>
        <v/>
      </c>
      <c r="D692">
        <f>'对齐'!B692/MAX('对齐'!B$2:'对齐'!B692)-1</f>
        <v/>
      </c>
      <c r="E692">
        <f>IF(ROW()-2&gt;='参数'!$B$2,STDEV(OFFSET(B692,1-'参数'!$B$2,0,'参数'!$B$2,1))*SQRT('参数'!$B$3),"")</f>
        <v/>
      </c>
      <c r="F692">
        <f>'对齐'!C692/'对齐'!C691-1</f>
        <v/>
      </c>
      <c r="G692">
        <f>'对齐'!C692/'对齐'!C$2*100</f>
        <v/>
      </c>
      <c r="H692">
        <f>'对齐'!C692/MAX('对齐'!C$2:'对齐'!C692)-1</f>
        <v/>
      </c>
      <c r="I692">
        <f>IF(ROW()-2&gt;='参数'!$B$2,STDEV(OFFSET(F692,1-'参数'!$B$2,0,'参数'!$B$2,1))*SQRT('参数'!$B$3),"")</f>
        <v/>
      </c>
    </row>
    <row r="693">
      <c r="A693">
        <f>'对齐'!A693</f>
        <v/>
      </c>
      <c r="B693">
        <f>'对齐'!B693/'对齐'!B692-1</f>
        <v/>
      </c>
      <c r="C693">
        <f>'对齐'!B693/'对齐'!B$2*100</f>
        <v/>
      </c>
      <c r="D693">
        <f>'对齐'!B693/MAX('对齐'!B$2:'对齐'!B693)-1</f>
        <v/>
      </c>
      <c r="E693">
        <f>IF(ROW()-2&gt;='参数'!$B$2,STDEV(OFFSET(B693,1-'参数'!$B$2,0,'参数'!$B$2,1))*SQRT('参数'!$B$3),"")</f>
        <v/>
      </c>
      <c r="F693">
        <f>'对齐'!C693/'对齐'!C692-1</f>
        <v/>
      </c>
      <c r="G693">
        <f>'对齐'!C693/'对齐'!C$2*100</f>
        <v/>
      </c>
      <c r="H693">
        <f>'对齐'!C693/MAX('对齐'!C$2:'对齐'!C693)-1</f>
        <v/>
      </c>
      <c r="I693">
        <f>IF(ROW()-2&gt;='参数'!$B$2,STDEV(OFFSET(F693,1-'参数'!$B$2,0,'参数'!$B$2,1))*SQRT('参数'!$B$3),"")</f>
        <v/>
      </c>
    </row>
    <row r="694">
      <c r="A694">
        <f>'对齐'!A694</f>
        <v/>
      </c>
      <c r="B694">
        <f>'对齐'!B694/'对齐'!B693-1</f>
        <v/>
      </c>
      <c r="C694">
        <f>'对齐'!B694/'对齐'!B$2*100</f>
        <v/>
      </c>
      <c r="D694">
        <f>'对齐'!B694/MAX('对齐'!B$2:'对齐'!B694)-1</f>
        <v/>
      </c>
      <c r="E694">
        <f>IF(ROW()-2&gt;='参数'!$B$2,STDEV(OFFSET(B694,1-'参数'!$B$2,0,'参数'!$B$2,1))*SQRT('参数'!$B$3),"")</f>
        <v/>
      </c>
      <c r="F694">
        <f>'对齐'!C694/'对齐'!C693-1</f>
        <v/>
      </c>
      <c r="G694">
        <f>'对齐'!C694/'对齐'!C$2*100</f>
        <v/>
      </c>
      <c r="H694">
        <f>'对齐'!C694/MAX('对齐'!C$2:'对齐'!C694)-1</f>
        <v/>
      </c>
      <c r="I694">
        <f>IF(ROW()-2&gt;='参数'!$B$2,STDEV(OFFSET(F694,1-'参数'!$B$2,0,'参数'!$B$2,1))*SQRT('参数'!$B$3),"")</f>
        <v/>
      </c>
    </row>
    <row r="695">
      <c r="A695">
        <f>'对齐'!A695</f>
        <v/>
      </c>
      <c r="B695">
        <f>'对齐'!B695/'对齐'!B694-1</f>
        <v/>
      </c>
      <c r="C695">
        <f>'对齐'!B695/'对齐'!B$2*100</f>
        <v/>
      </c>
      <c r="D695">
        <f>'对齐'!B695/MAX('对齐'!B$2:'对齐'!B695)-1</f>
        <v/>
      </c>
      <c r="E695">
        <f>IF(ROW()-2&gt;='参数'!$B$2,STDEV(OFFSET(B695,1-'参数'!$B$2,0,'参数'!$B$2,1))*SQRT('参数'!$B$3),"")</f>
        <v/>
      </c>
      <c r="F695">
        <f>'对齐'!C695/'对齐'!C694-1</f>
        <v/>
      </c>
      <c r="G695">
        <f>'对齐'!C695/'对齐'!C$2*100</f>
        <v/>
      </c>
      <c r="H695">
        <f>'对齐'!C695/MAX('对齐'!C$2:'对齐'!C695)-1</f>
        <v/>
      </c>
      <c r="I695">
        <f>IF(ROW()-2&gt;='参数'!$B$2,STDEV(OFFSET(F695,1-'参数'!$B$2,0,'参数'!$B$2,1))*SQRT('参数'!$B$3),"")</f>
        <v/>
      </c>
    </row>
    <row r="696">
      <c r="A696">
        <f>'对齐'!A696</f>
        <v/>
      </c>
      <c r="B696">
        <f>'对齐'!B696/'对齐'!B695-1</f>
        <v/>
      </c>
      <c r="C696">
        <f>'对齐'!B696/'对齐'!B$2*100</f>
        <v/>
      </c>
      <c r="D696">
        <f>'对齐'!B696/MAX('对齐'!B$2:'对齐'!B696)-1</f>
        <v/>
      </c>
      <c r="E696">
        <f>IF(ROW()-2&gt;='参数'!$B$2,STDEV(OFFSET(B696,1-'参数'!$B$2,0,'参数'!$B$2,1))*SQRT('参数'!$B$3),"")</f>
        <v/>
      </c>
      <c r="F696">
        <f>'对齐'!C696/'对齐'!C695-1</f>
        <v/>
      </c>
      <c r="G696">
        <f>'对齐'!C696/'对齐'!C$2*100</f>
        <v/>
      </c>
      <c r="H696">
        <f>'对齐'!C696/MAX('对齐'!C$2:'对齐'!C696)-1</f>
        <v/>
      </c>
      <c r="I696">
        <f>IF(ROW()-2&gt;='参数'!$B$2,STDEV(OFFSET(F696,1-'参数'!$B$2,0,'参数'!$B$2,1))*SQRT('参数'!$B$3),"")</f>
        <v/>
      </c>
    </row>
    <row r="697">
      <c r="A697">
        <f>'对齐'!A697</f>
        <v/>
      </c>
      <c r="B697">
        <f>'对齐'!B697/'对齐'!B696-1</f>
        <v/>
      </c>
      <c r="C697">
        <f>'对齐'!B697/'对齐'!B$2*100</f>
        <v/>
      </c>
      <c r="D697">
        <f>'对齐'!B697/MAX('对齐'!B$2:'对齐'!B697)-1</f>
        <v/>
      </c>
      <c r="E697">
        <f>IF(ROW()-2&gt;='参数'!$B$2,STDEV(OFFSET(B697,1-'参数'!$B$2,0,'参数'!$B$2,1))*SQRT('参数'!$B$3),"")</f>
        <v/>
      </c>
      <c r="F697">
        <f>'对齐'!C697/'对齐'!C696-1</f>
        <v/>
      </c>
      <c r="G697">
        <f>'对齐'!C697/'对齐'!C$2*100</f>
        <v/>
      </c>
      <c r="H697">
        <f>'对齐'!C697/MAX('对齐'!C$2:'对齐'!C697)-1</f>
        <v/>
      </c>
      <c r="I697">
        <f>IF(ROW()-2&gt;='参数'!$B$2,STDEV(OFFSET(F697,1-'参数'!$B$2,0,'参数'!$B$2,1))*SQRT('参数'!$B$3),"")</f>
        <v/>
      </c>
    </row>
    <row r="698">
      <c r="A698">
        <f>'对齐'!A698</f>
        <v/>
      </c>
      <c r="B698">
        <f>'对齐'!B698/'对齐'!B697-1</f>
        <v/>
      </c>
      <c r="C698">
        <f>'对齐'!B698/'对齐'!B$2*100</f>
        <v/>
      </c>
      <c r="D698">
        <f>'对齐'!B698/MAX('对齐'!B$2:'对齐'!B698)-1</f>
        <v/>
      </c>
      <c r="E698">
        <f>IF(ROW()-2&gt;='参数'!$B$2,STDEV(OFFSET(B698,1-'参数'!$B$2,0,'参数'!$B$2,1))*SQRT('参数'!$B$3),"")</f>
        <v/>
      </c>
      <c r="F698">
        <f>'对齐'!C698/'对齐'!C697-1</f>
        <v/>
      </c>
      <c r="G698">
        <f>'对齐'!C698/'对齐'!C$2*100</f>
        <v/>
      </c>
      <c r="H698">
        <f>'对齐'!C698/MAX('对齐'!C$2:'对齐'!C698)-1</f>
        <v/>
      </c>
      <c r="I698">
        <f>IF(ROW()-2&gt;='参数'!$B$2,STDEV(OFFSET(F698,1-'参数'!$B$2,0,'参数'!$B$2,1))*SQRT('参数'!$B$3),"")</f>
        <v/>
      </c>
    </row>
    <row r="699">
      <c r="A699">
        <f>'对齐'!A699</f>
        <v/>
      </c>
      <c r="B699">
        <f>'对齐'!B699/'对齐'!B698-1</f>
        <v/>
      </c>
      <c r="C699">
        <f>'对齐'!B699/'对齐'!B$2*100</f>
        <v/>
      </c>
      <c r="D699">
        <f>'对齐'!B699/MAX('对齐'!B$2:'对齐'!B699)-1</f>
        <v/>
      </c>
      <c r="E699">
        <f>IF(ROW()-2&gt;='参数'!$B$2,STDEV(OFFSET(B699,1-'参数'!$B$2,0,'参数'!$B$2,1))*SQRT('参数'!$B$3),"")</f>
        <v/>
      </c>
      <c r="F699">
        <f>'对齐'!C699/'对齐'!C698-1</f>
        <v/>
      </c>
      <c r="G699">
        <f>'对齐'!C699/'对齐'!C$2*100</f>
        <v/>
      </c>
      <c r="H699">
        <f>'对齐'!C699/MAX('对齐'!C$2:'对齐'!C699)-1</f>
        <v/>
      </c>
      <c r="I699">
        <f>IF(ROW()-2&gt;='参数'!$B$2,STDEV(OFFSET(F699,1-'参数'!$B$2,0,'参数'!$B$2,1))*SQRT('参数'!$B$3),"")</f>
        <v/>
      </c>
    </row>
    <row r="700">
      <c r="A700">
        <f>'对齐'!A700</f>
        <v/>
      </c>
      <c r="B700">
        <f>'对齐'!B700/'对齐'!B699-1</f>
        <v/>
      </c>
      <c r="C700">
        <f>'对齐'!B700/'对齐'!B$2*100</f>
        <v/>
      </c>
      <c r="D700">
        <f>'对齐'!B700/MAX('对齐'!B$2:'对齐'!B700)-1</f>
        <v/>
      </c>
      <c r="E700">
        <f>IF(ROW()-2&gt;='参数'!$B$2,STDEV(OFFSET(B700,1-'参数'!$B$2,0,'参数'!$B$2,1))*SQRT('参数'!$B$3),"")</f>
        <v/>
      </c>
      <c r="F700">
        <f>'对齐'!C700/'对齐'!C699-1</f>
        <v/>
      </c>
      <c r="G700">
        <f>'对齐'!C700/'对齐'!C$2*100</f>
        <v/>
      </c>
      <c r="H700">
        <f>'对齐'!C700/MAX('对齐'!C$2:'对齐'!C700)-1</f>
        <v/>
      </c>
      <c r="I700">
        <f>IF(ROW()-2&gt;='参数'!$B$2,STDEV(OFFSET(F700,1-'参数'!$B$2,0,'参数'!$B$2,1))*SQRT('参数'!$B$3),"")</f>
        <v/>
      </c>
    </row>
    <row r="701">
      <c r="A701">
        <f>'对齐'!A701</f>
        <v/>
      </c>
      <c r="B701">
        <f>'对齐'!B701/'对齐'!B700-1</f>
        <v/>
      </c>
      <c r="C701">
        <f>'对齐'!B701/'对齐'!B$2*100</f>
        <v/>
      </c>
      <c r="D701">
        <f>'对齐'!B701/MAX('对齐'!B$2:'对齐'!B701)-1</f>
        <v/>
      </c>
      <c r="E701">
        <f>IF(ROW()-2&gt;='参数'!$B$2,STDEV(OFFSET(B701,1-'参数'!$B$2,0,'参数'!$B$2,1))*SQRT('参数'!$B$3),"")</f>
        <v/>
      </c>
      <c r="F701">
        <f>'对齐'!C701/'对齐'!C700-1</f>
        <v/>
      </c>
      <c r="G701">
        <f>'对齐'!C701/'对齐'!C$2*100</f>
        <v/>
      </c>
      <c r="H701">
        <f>'对齐'!C701/MAX('对齐'!C$2:'对齐'!C701)-1</f>
        <v/>
      </c>
      <c r="I701">
        <f>IF(ROW()-2&gt;='参数'!$B$2,STDEV(OFFSET(F701,1-'参数'!$B$2,0,'参数'!$B$2,1))*SQRT('参数'!$B$3),"")</f>
        <v/>
      </c>
    </row>
    <row r="702">
      <c r="A702">
        <f>'对齐'!A702</f>
        <v/>
      </c>
      <c r="B702">
        <f>'对齐'!B702/'对齐'!B701-1</f>
        <v/>
      </c>
      <c r="C702">
        <f>'对齐'!B702/'对齐'!B$2*100</f>
        <v/>
      </c>
      <c r="D702">
        <f>'对齐'!B702/MAX('对齐'!B$2:'对齐'!B702)-1</f>
        <v/>
      </c>
      <c r="E702">
        <f>IF(ROW()-2&gt;='参数'!$B$2,STDEV(OFFSET(B702,1-'参数'!$B$2,0,'参数'!$B$2,1))*SQRT('参数'!$B$3),"")</f>
        <v/>
      </c>
      <c r="F702">
        <f>'对齐'!C702/'对齐'!C701-1</f>
        <v/>
      </c>
      <c r="G702">
        <f>'对齐'!C702/'对齐'!C$2*100</f>
        <v/>
      </c>
      <c r="H702">
        <f>'对齐'!C702/MAX('对齐'!C$2:'对齐'!C702)-1</f>
        <v/>
      </c>
      <c r="I702">
        <f>IF(ROW()-2&gt;='参数'!$B$2,STDEV(OFFSET(F702,1-'参数'!$B$2,0,'参数'!$B$2,1))*SQRT('参数'!$B$3),"")</f>
        <v/>
      </c>
    </row>
    <row r="703">
      <c r="A703">
        <f>'对齐'!A703</f>
        <v/>
      </c>
      <c r="B703">
        <f>'对齐'!B703/'对齐'!B702-1</f>
        <v/>
      </c>
      <c r="C703">
        <f>'对齐'!B703/'对齐'!B$2*100</f>
        <v/>
      </c>
      <c r="D703">
        <f>'对齐'!B703/MAX('对齐'!B$2:'对齐'!B703)-1</f>
        <v/>
      </c>
      <c r="E703">
        <f>IF(ROW()-2&gt;='参数'!$B$2,STDEV(OFFSET(B703,1-'参数'!$B$2,0,'参数'!$B$2,1))*SQRT('参数'!$B$3),"")</f>
        <v/>
      </c>
      <c r="F703">
        <f>'对齐'!C703/'对齐'!C702-1</f>
        <v/>
      </c>
      <c r="G703">
        <f>'对齐'!C703/'对齐'!C$2*100</f>
        <v/>
      </c>
      <c r="H703">
        <f>'对齐'!C703/MAX('对齐'!C$2:'对齐'!C703)-1</f>
        <v/>
      </c>
      <c r="I703">
        <f>IF(ROW()-2&gt;='参数'!$B$2,STDEV(OFFSET(F703,1-'参数'!$B$2,0,'参数'!$B$2,1))*SQRT('参数'!$B$3),"")</f>
        <v/>
      </c>
    </row>
    <row r="704">
      <c r="A704">
        <f>'对齐'!A704</f>
        <v/>
      </c>
      <c r="B704">
        <f>'对齐'!B704/'对齐'!B703-1</f>
        <v/>
      </c>
      <c r="C704">
        <f>'对齐'!B704/'对齐'!B$2*100</f>
        <v/>
      </c>
      <c r="D704">
        <f>'对齐'!B704/MAX('对齐'!B$2:'对齐'!B704)-1</f>
        <v/>
      </c>
      <c r="E704">
        <f>IF(ROW()-2&gt;='参数'!$B$2,STDEV(OFFSET(B704,1-'参数'!$B$2,0,'参数'!$B$2,1))*SQRT('参数'!$B$3),"")</f>
        <v/>
      </c>
      <c r="F704">
        <f>'对齐'!C704/'对齐'!C703-1</f>
        <v/>
      </c>
      <c r="G704">
        <f>'对齐'!C704/'对齐'!C$2*100</f>
        <v/>
      </c>
      <c r="H704">
        <f>'对齐'!C704/MAX('对齐'!C$2:'对齐'!C704)-1</f>
        <v/>
      </c>
      <c r="I704">
        <f>IF(ROW()-2&gt;='参数'!$B$2,STDEV(OFFSET(F704,1-'参数'!$B$2,0,'参数'!$B$2,1))*SQRT('参数'!$B$3),"")</f>
        <v/>
      </c>
    </row>
    <row r="705">
      <c r="A705">
        <f>'对齐'!A705</f>
        <v/>
      </c>
      <c r="B705">
        <f>'对齐'!B705/'对齐'!B704-1</f>
        <v/>
      </c>
      <c r="C705">
        <f>'对齐'!B705/'对齐'!B$2*100</f>
        <v/>
      </c>
      <c r="D705">
        <f>'对齐'!B705/MAX('对齐'!B$2:'对齐'!B705)-1</f>
        <v/>
      </c>
      <c r="E705">
        <f>IF(ROW()-2&gt;='参数'!$B$2,STDEV(OFFSET(B705,1-'参数'!$B$2,0,'参数'!$B$2,1))*SQRT('参数'!$B$3),"")</f>
        <v/>
      </c>
      <c r="F705">
        <f>'对齐'!C705/'对齐'!C704-1</f>
        <v/>
      </c>
      <c r="G705">
        <f>'对齐'!C705/'对齐'!C$2*100</f>
        <v/>
      </c>
      <c r="H705">
        <f>'对齐'!C705/MAX('对齐'!C$2:'对齐'!C705)-1</f>
        <v/>
      </c>
      <c r="I705">
        <f>IF(ROW()-2&gt;='参数'!$B$2,STDEV(OFFSET(F705,1-'参数'!$B$2,0,'参数'!$B$2,1))*SQRT('参数'!$B$3),"")</f>
        <v/>
      </c>
    </row>
    <row r="706">
      <c r="A706">
        <f>'对齐'!A706</f>
        <v/>
      </c>
      <c r="B706">
        <f>'对齐'!B706/'对齐'!B705-1</f>
        <v/>
      </c>
      <c r="C706">
        <f>'对齐'!B706/'对齐'!B$2*100</f>
        <v/>
      </c>
      <c r="D706">
        <f>'对齐'!B706/MAX('对齐'!B$2:'对齐'!B706)-1</f>
        <v/>
      </c>
      <c r="E706">
        <f>IF(ROW()-2&gt;='参数'!$B$2,STDEV(OFFSET(B706,1-'参数'!$B$2,0,'参数'!$B$2,1))*SQRT('参数'!$B$3),"")</f>
        <v/>
      </c>
      <c r="F706">
        <f>'对齐'!C706/'对齐'!C705-1</f>
        <v/>
      </c>
      <c r="G706">
        <f>'对齐'!C706/'对齐'!C$2*100</f>
        <v/>
      </c>
      <c r="H706">
        <f>'对齐'!C706/MAX('对齐'!C$2:'对齐'!C706)-1</f>
        <v/>
      </c>
      <c r="I706">
        <f>IF(ROW()-2&gt;='参数'!$B$2,STDEV(OFFSET(F706,1-'参数'!$B$2,0,'参数'!$B$2,1))*SQRT('参数'!$B$3),"")</f>
        <v/>
      </c>
    </row>
    <row r="707">
      <c r="A707">
        <f>'对齐'!A707</f>
        <v/>
      </c>
      <c r="B707">
        <f>'对齐'!B707/'对齐'!B706-1</f>
        <v/>
      </c>
      <c r="C707">
        <f>'对齐'!B707/'对齐'!B$2*100</f>
        <v/>
      </c>
      <c r="D707">
        <f>'对齐'!B707/MAX('对齐'!B$2:'对齐'!B707)-1</f>
        <v/>
      </c>
      <c r="E707">
        <f>IF(ROW()-2&gt;='参数'!$B$2,STDEV(OFFSET(B707,1-'参数'!$B$2,0,'参数'!$B$2,1))*SQRT('参数'!$B$3),"")</f>
        <v/>
      </c>
      <c r="F707">
        <f>'对齐'!C707/'对齐'!C706-1</f>
        <v/>
      </c>
      <c r="G707">
        <f>'对齐'!C707/'对齐'!C$2*100</f>
        <v/>
      </c>
      <c r="H707">
        <f>'对齐'!C707/MAX('对齐'!C$2:'对齐'!C707)-1</f>
        <v/>
      </c>
      <c r="I707">
        <f>IF(ROW()-2&gt;='参数'!$B$2,STDEV(OFFSET(F707,1-'参数'!$B$2,0,'参数'!$B$2,1))*SQRT('参数'!$B$3),"")</f>
        <v/>
      </c>
    </row>
    <row r="708">
      <c r="A708">
        <f>'对齐'!A708</f>
        <v/>
      </c>
      <c r="B708">
        <f>'对齐'!B708/'对齐'!B707-1</f>
        <v/>
      </c>
      <c r="C708">
        <f>'对齐'!B708/'对齐'!B$2*100</f>
        <v/>
      </c>
      <c r="D708">
        <f>'对齐'!B708/MAX('对齐'!B$2:'对齐'!B708)-1</f>
        <v/>
      </c>
      <c r="E708">
        <f>IF(ROW()-2&gt;='参数'!$B$2,STDEV(OFFSET(B708,1-'参数'!$B$2,0,'参数'!$B$2,1))*SQRT('参数'!$B$3),"")</f>
        <v/>
      </c>
      <c r="F708">
        <f>'对齐'!C708/'对齐'!C707-1</f>
        <v/>
      </c>
      <c r="G708">
        <f>'对齐'!C708/'对齐'!C$2*100</f>
        <v/>
      </c>
      <c r="H708">
        <f>'对齐'!C708/MAX('对齐'!C$2:'对齐'!C708)-1</f>
        <v/>
      </c>
      <c r="I708">
        <f>IF(ROW()-2&gt;='参数'!$B$2,STDEV(OFFSET(F708,1-'参数'!$B$2,0,'参数'!$B$2,1))*SQRT('参数'!$B$3),"")</f>
        <v/>
      </c>
    </row>
    <row r="709">
      <c r="A709">
        <f>'对齐'!A709</f>
        <v/>
      </c>
      <c r="B709">
        <f>'对齐'!B709/'对齐'!B708-1</f>
        <v/>
      </c>
      <c r="C709">
        <f>'对齐'!B709/'对齐'!B$2*100</f>
        <v/>
      </c>
      <c r="D709">
        <f>'对齐'!B709/MAX('对齐'!B$2:'对齐'!B709)-1</f>
        <v/>
      </c>
      <c r="E709">
        <f>IF(ROW()-2&gt;='参数'!$B$2,STDEV(OFFSET(B709,1-'参数'!$B$2,0,'参数'!$B$2,1))*SQRT('参数'!$B$3),"")</f>
        <v/>
      </c>
      <c r="F709">
        <f>'对齐'!C709/'对齐'!C708-1</f>
        <v/>
      </c>
      <c r="G709">
        <f>'对齐'!C709/'对齐'!C$2*100</f>
        <v/>
      </c>
      <c r="H709">
        <f>'对齐'!C709/MAX('对齐'!C$2:'对齐'!C709)-1</f>
        <v/>
      </c>
      <c r="I709">
        <f>IF(ROW()-2&gt;='参数'!$B$2,STDEV(OFFSET(F709,1-'参数'!$B$2,0,'参数'!$B$2,1))*SQRT('参数'!$B$3),"")</f>
        <v/>
      </c>
    </row>
    <row r="710">
      <c r="A710">
        <f>'对齐'!A710</f>
        <v/>
      </c>
      <c r="B710">
        <f>'对齐'!B710/'对齐'!B709-1</f>
        <v/>
      </c>
      <c r="C710">
        <f>'对齐'!B710/'对齐'!B$2*100</f>
        <v/>
      </c>
      <c r="D710">
        <f>'对齐'!B710/MAX('对齐'!B$2:'对齐'!B710)-1</f>
        <v/>
      </c>
      <c r="E710">
        <f>IF(ROW()-2&gt;='参数'!$B$2,STDEV(OFFSET(B710,1-'参数'!$B$2,0,'参数'!$B$2,1))*SQRT('参数'!$B$3),"")</f>
        <v/>
      </c>
      <c r="F710">
        <f>'对齐'!C710/'对齐'!C709-1</f>
        <v/>
      </c>
      <c r="G710">
        <f>'对齐'!C710/'对齐'!C$2*100</f>
        <v/>
      </c>
      <c r="H710">
        <f>'对齐'!C710/MAX('对齐'!C$2:'对齐'!C710)-1</f>
        <v/>
      </c>
      <c r="I710">
        <f>IF(ROW()-2&gt;='参数'!$B$2,STDEV(OFFSET(F710,1-'参数'!$B$2,0,'参数'!$B$2,1))*SQRT('参数'!$B$3),"")</f>
        <v/>
      </c>
    </row>
    <row r="711">
      <c r="A711">
        <f>'对齐'!A711</f>
        <v/>
      </c>
      <c r="B711">
        <f>'对齐'!B711/'对齐'!B710-1</f>
        <v/>
      </c>
      <c r="C711">
        <f>'对齐'!B711/'对齐'!B$2*100</f>
        <v/>
      </c>
      <c r="D711">
        <f>'对齐'!B711/MAX('对齐'!B$2:'对齐'!B711)-1</f>
        <v/>
      </c>
      <c r="E711">
        <f>IF(ROW()-2&gt;='参数'!$B$2,STDEV(OFFSET(B711,1-'参数'!$B$2,0,'参数'!$B$2,1))*SQRT('参数'!$B$3),"")</f>
        <v/>
      </c>
      <c r="F711">
        <f>'对齐'!C711/'对齐'!C710-1</f>
        <v/>
      </c>
      <c r="G711">
        <f>'对齐'!C711/'对齐'!C$2*100</f>
        <v/>
      </c>
      <c r="H711">
        <f>'对齐'!C711/MAX('对齐'!C$2:'对齐'!C711)-1</f>
        <v/>
      </c>
      <c r="I711">
        <f>IF(ROW()-2&gt;='参数'!$B$2,STDEV(OFFSET(F711,1-'参数'!$B$2,0,'参数'!$B$2,1))*SQRT('参数'!$B$3),"")</f>
        <v/>
      </c>
    </row>
    <row r="712">
      <c r="A712">
        <f>'对齐'!A712</f>
        <v/>
      </c>
      <c r="B712">
        <f>'对齐'!B712/'对齐'!B711-1</f>
        <v/>
      </c>
      <c r="C712">
        <f>'对齐'!B712/'对齐'!B$2*100</f>
        <v/>
      </c>
      <c r="D712">
        <f>'对齐'!B712/MAX('对齐'!B$2:'对齐'!B712)-1</f>
        <v/>
      </c>
      <c r="E712">
        <f>IF(ROW()-2&gt;='参数'!$B$2,STDEV(OFFSET(B712,1-'参数'!$B$2,0,'参数'!$B$2,1))*SQRT('参数'!$B$3),"")</f>
        <v/>
      </c>
      <c r="F712">
        <f>'对齐'!C712/'对齐'!C711-1</f>
        <v/>
      </c>
      <c r="G712">
        <f>'对齐'!C712/'对齐'!C$2*100</f>
        <v/>
      </c>
      <c r="H712">
        <f>'对齐'!C712/MAX('对齐'!C$2:'对齐'!C712)-1</f>
        <v/>
      </c>
      <c r="I712">
        <f>IF(ROW()-2&gt;='参数'!$B$2,STDEV(OFFSET(F712,1-'参数'!$B$2,0,'参数'!$B$2,1))*SQRT('参数'!$B$3),"")</f>
        <v/>
      </c>
    </row>
    <row r="713">
      <c r="A713">
        <f>'对齐'!A713</f>
        <v/>
      </c>
      <c r="B713">
        <f>'对齐'!B713/'对齐'!B712-1</f>
        <v/>
      </c>
      <c r="C713">
        <f>'对齐'!B713/'对齐'!B$2*100</f>
        <v/>
      </c>
      <c r="D713">
        <f>'对齐'!B713/MAX('对齐'!B$2:'对齐'!B713)-1</f>
        <v/>
      </c>
      <c r="E713">
        <f>IF(ROW()-2&gt;='参数'!$B$2,STDEV(OFFSET(B713,1-'参数'!$B$2,0,'参数'!$B$2,1))*SQRT('参数'!$B$3),"")</f>
        <v/>
      </c>
      <c r="F713">
        <f>'对齐'!C713/'对齐'!C712-1</f>
        <v/>
      </c>
      <c r="G713">
        <f>'对齐'!C713/'对齐'!C$2*100</f>
        <v/>
      </c>
      <c r="H713">
        <f>'对齐'!C713/MAX('对齐'!C$2:'对齐'!C713)-1</f>
        <v/>
      </c>
      <c r="I713">
        <f>IF(ROW()-2&gt;='参数'!$B$2,STDEV(OFFSET(F713,1-'参数'!$B$2,0,'参数'!$B$2,1))*SQRT('参数'!$B$3),"")</f>
        <v/>
      </c>
    </row>
    <row r="714">
      <c r="A714">
        <f>'对齐'!A714</f>
        <v/>
      </c>
      <c r="B714">
        <f>'对齐'!B714/'对齐'!B713-1</f>
        <v/>
      </c>
      <c r="C714">
        <f>'对齐'!B714/'对齐'!B$2*100</f>
        <v/>
      </c>
      <c r="D714">
        <f>'对齐'!B714/MAX('对齐'!B$2:'对齐'!B714)-1</f>
        <v/>
      </c>
      <c r="E714">
        <f>IF(ROW()-2&gt;='参数'!$B$2,STDEV(OFFSET(B714,1-'参数'!$B$2,0,'参数'!$B$2,1))*SQRT('参数'!$B$3),"")</f>
        <v/>
      </c>
      <c r="F714">
        <f>'对齐'!C714/'对齐'!C713-1</f>
        <v/>
      </c>
      <c r="G714">
        <f>'对齐'!C714/'对齐'!C$2*100</f>
        <v/>
      </c>
      <c r="H714">
        <f>'对齐'!C714/MAX('对齐'!C$2:'对齐'!C714)-1</f>
        <v/>
      </c>
      <c r="I714">
        <f>IF(ROW()-2&gt;='参数'!$B$2,STDEV(OFFSET(F714,1-'参数'!$B$2,0,'参数'!$B$2,1))*SQRT('参数'!$B$3),"")</f>
        <v/>
      </c>
    </row>
    <row r="715">
      <c r="A715">
        <f>'对齐'!A715</f>
        <v/>
      </c>
      <c r="B715">
        <f>'对齐'!B715/'对齐'!B714-1</f>
        <v/>
      </c>
      <c r="C715">
        <f>'对齐'!B715/'对齐'!B$2*100</f>
        <v/>
      </c>
      <c r="D715">
        <f>'对齐'!B715/MAX('对齐'!B$2:'对齐'!B715)-1</f>
        <v/>
      </c>
      <c r="E715">
        <f>IF(ROW()-2&gt;='参数'!$B$2,STDEV(OFFSET(B715,1-'参数'!$B$2,0,'参数'!$B$2,1))*SQRT('参数'!$B$3),"")</f>
        <v/>
      </c>
      <c r="F715">
        <f>'对齐'!C715/'对齐'!C714-1</f>
        <v/>
      </c>
      <c r="G715">
        <f>'对齐'!C715/'对齐'!C$2*100</f>
        <v/>
      </c>
      <c r="H715">
        <f>'对齐'!C715/MAX('对齐'!C$2:'对齐'!C715)-1</f>
        <v/>
      </c>
      <c r="I715">
        <f>IF(ROW()-2&gt;='参数'!$B$2,STDEV(OFFSET(F715,1-'参数'!$B$2,0,'参数'!$B$2,1))*SQRT('参数'!$B$3),"")</f>
        <v/>
      </c>
    </row>
    <row r="716">
      <c r="A716">
        <f>'对齐'!A716</f>
        <v/>
      </c>
      <c r="B716">
        <f>'对齐'!B716/'对齐'!B715-1</f>
        <v/>
      </c>
      <c r="C716">
        <f>'对齐'!B716/'对齐'!B$2*100</f>
        <v/>
      </c>
      <c r="D716">
        <f>'对齐'!B716/MAX('对齐'!B$2:'对齐'!B716)-1</f>
        <v/>
      </c>
      <c r="E716">
        <f>IF(ROW()-2&gt;='参数'!$B$2,STDEV(OFFSET(B716,1-'参数'!$B$2,0,'参数'!$B$2,1))*SQRT('参数'!$B$3),"")</f>
        <v/>
      </c>
      <c r="F716">
        <f>'对齐'!C716/'对齐'!C715-1</f>
        <v/>
      </c>
      <c r="G716">
        <f>'对齐'!C716/'对齐'!C$2*100</f>
        <v/>
      </c>
      <c r="H716">
        <f>'对齐'!C716/MAX('对齐'!C$2:'对齐'!C716)-1</f>
        <v/>
      </c>
      <c r="I716">
        <f>IF(ROW()-2&gt;='参数'!$B$2,STDEV(OFFSET(F716,1-'参数'!$B$2,0,'参数'!$B$2,1))*SQRT('参数'!$B$3),"")</f>
        <v/>
      </c>
    </row>
    <row r="717">
      <c r="A717">
        <f>'对齐'!A717</f>
        <v/>
      </c>
      <c r="B717">
        <f>'对齐'!B717/'对齐'!B716-1</f>
        <v/>
      </c>
      <c r="C717">
        <f>'对齐'!B717/'对齐'!B$2*100</f>
        <v/>
      </c>
      <c r="D717">
        <f>'对齐'!B717/MAX('对齐'!B$2:'对齐'!B717)-1</f>
        <v/>
      </c>
      <c r="E717">
        <f>IF(ROW()-2&gt;='参数'!$B$2,STDEV(OFFSET(B717,1-'参数'!$B$2,0,'参数'!$B$2,1))*SQRT('参数'!$B$3),"")</f>
        <v/>
      </c>
      <c r="F717">
        <f>'对齐'!C717/'对齐'!C716-1</f>
        <v/>
      </c>
      <c r="G717">
        <f>'对齐'!C717/'对齐'!C$2*100</f>
        <v/>
      </c>
      <c r="H717">
        <f>'对齐'!C717/MAX('对齐'!C$2:'对齐'!C717)-1</f>
        <v/>
      </c>
      <c r="I717">
        <f>IF(ROW()-2&gt;='参数'!$B$2,STDEV(OFFSET(F717,1-'参数'!$B$2,0,'参数'!$B$2,1))*SQRT('参数'!$B$3),"")</f>
        <v/>
      </c>
    </row>
    <row r="718">
      <c r="A718">
        <f>'对齐'!A718</f>
        <v/>
      </c>
      <c r="B718">
        <f>'对齐'!B718/'对齐'!B717-1</f>
        <v/>
      </c>
      <c r="C718">
        <f>'对齐'!B718/'对齐'!B$2*100</f>
        <v/>
      </c>
      <c r="D718">
        <f>'对齐'!B718/MAX('对齐'!B$2:'对齐'!B718)-1</f>
        <v/>
      </c>
      <c r="E718">
        <f>IF(ROW()-2&gt;='参数'!$B$2,STDEV(OFFSET(B718,1-'参数'!$B$2,0,'参数'!$B$2,1))*SQRT('参数'!$B$3),"")</f>
        <v/>
      </c>
      <c r="F718">
        <f>'对齐'!C718/'对齐'!C717-1</f>
        <v/>
      </c>
      <c r="G718">
        <f>'对齐'!C718/'对齐'!C$2*100</f>
        <v/>
      </c>
      <c r="H718">
        <f>'对齐'!C718/MAX('对齐'!C$2:'对齐'!C718)-1</f>
        <v/>
      </c>
      <c r="I718">
        <f>IF(ROW()-2&gt;='参数'!$B$2,STDEV(OFFSET(F718,1-'参数'!$B$2,0,'参数'!$B$2,1))*SQRT('参数'!$B$3),"")</f>
        <v/>
      </c>
    </row>
    <row r="719">
      <c r="A719">
        <f>'对齐'!A719</f>
        <v/>
      </c>
      <c r="B719">
        <f>'对齐'!B719/'对齐'!B718-1</f>
        <v/>
      </c>
      <c r="C719">
        <f>'对齐'!B719/'对齐'!B$2*100</f>
        <v/>
      </c>
      <c r="D719">
        <f>'对齐'!B719/MAX('对齐'!B$2:'对齐'!B719)-1</f>
        <v/>
      </c>
      <c r="E719">
        <f>IF(ROW()-2&gt;='参数'!$B$2,STDEV(OFFSET(B719,1-'参数'!$B$2,0,'参数'!$B$2,1))*SQRT('参数'!$B$3),"")</f>
        <v/>
      </c>
      <c r="F719">
        <f>'对齐'!C719/'对齐'!C718-1</f>
        <v/>
      </c>
      <c r="G719">
        <f>'对齐'!C719/'对齐'!C$2*100</f>
        <v/>
      </c>
      <c r="H719">
        <f>'对齐'!C719/MAX('对齐'!C$2:'对齐'!C719)-1</f>
        <v/>
      </c>
      <c r="I719">
        <f>IF(ROW()-2&gt;='参数'!$B$2,STDEV(OFFSET(F719,1-'参数'!$B$2,0,'参数'!$B$2,1))*SQRT('参数'!$B$3),"")</f>
        <v/>
      </c>
    </row>
    <row r="720">
      <c r="A720">
        <f>'对齐'!A720</f>
        <v/>
      </c>
      <c r="B720">
        <f>'对齐'!B720/'对齐'!B719-1</f>
        <v/>
      </c>
      <c r="C720">
        <f>'对齐'!B720/'对齐'!B$2*100</f>
        <v/>
      </c>
      <c r="D720">
        <f>'对齐'!B720/MAX('对齐'!B$2:'对齐'!B720)-1</f>
        <v/>
      </c>
      <c r="E720">
        <f>IF(ROW()-2&gt;='参数'!$B$2,STDEV(OFFSET(B720,1-'参数'!$B$2,0,'参数'!$B$2,1))*SQRT('参数'!$B$3),"")</f>
        <v/>
      </c>
      <c r="F720">
        <f>'对齐'!C720/'对齐'!C719-1</f>
        <v/>
      </c>
      <c r="G720">
        <f>'对齐'!C720/'对齐'!C$2*100</f>
        <v/>
      </c>
      <c r="H720">
        <f>'对齐'!C720/MAX('对齐'!C$2:'对齐'!C720)-1</f>
        <v/>
      </c>
      <c r="I720">
        <f>IF(ROW()-2&gt;='参数'!$B$2,STDEV(OFFSET(F720,1-'参数'!$B$2,0,'参数'!$B$2,1))*SQRT('参数'!$B$3),"")</f>
        <v/>
      </c>
    </row>
    <row r="721">
      <c r="A721">
        <f>'对齐'!A721</f>
        <v/>
      </c>
      <c r="B721">
        <f>'对齐'!B721/'对齐'!B720-1</f>
        <v/>
      </c>
      <c r="C721">
        <f>'对齐'!B721/'对齐'!B$2*100</f>
        <v/>
      </c>
      <c r="D721">
        <f>'对齐'!B721/MAX('对齐'!B$2:'对齐'!B721)-1</f>
        <v/>
      </c>
      <c r="E721">
        <f>IF(ROW()-2&gt;='参数'!$B$2,STDEV(OFFSET(B721,1-'参数'!$B$2,0,'参数'!$B$2,1))*SQRT('参数'!$B$3),"")</f>
        <v/>
      </c>
      <c r="F721">
        <f>'对齐'!C721/'对齐'!C720-1</f>
        <v/>
      </c>
      <c r="G721">
        <f>'对齐'!C721/'对齐'!C$2*100</f>
        <v/>
      </c>
      <c r="H721">
        <f>'对齐'!C721/MAX('对齐'!C$2:'对齐'!C721)-1</f>
        <v/>
      </c>
      <c r="I721">
        <f>IF(ROW()-2&gt;='参数'!$B$2,STDEV(OFFSET(F721,1-'参数'!$B$2,0,'参数'!$B$2,1))*SQRT('参数'!$B$3),"")</f>
        <v/>
      </c>
    </row>
    <row r="722">
      <c r="A722">
        <f>'对齐'!A722</f>
        <v/>
      </c>
      <c r="B722">
        <f>'对齐'!B722/'对齐'!B721-1</f>
        <v/>
      </c>
      <c r="C722">
        <f>'对齐'!B722/'对齐'!B$2*100</f>
        <v/>
      </c>
      <c r="D722">
        <f>'对齐'!B722/MAX('对齐'!B$2:'对齐'!B722)-1</f>
        <v/>
      </c>
      <c r="E722">
        <f>IF(ROW()-2&gt;='参数'!$B$2,STDEV(OFFSET(B722,1-'参数'!$B$2,0,'参数'!$B$2,1))*SQRT('参数'!$B$3),"")</f>
        <v/>
      </c>
      <c r="F722">
        <f>'对齐'!C722/'对齐'!C721-1</f>
        <v/>
      </c>
      <c r="G722">
        <f>'对齐'!C722/'对齐'!C$2*100</f>
        <v/>
      </c>
      <c r="H722">
        <f>'对齐'!C722/MAX('对齐'!C$2:'对齐'!C722)-1</f>
        <v/>
      </c>
      <c r="I722">
        <f>IF(ROW()-2&gt;='参数'!$B$2,STDEV(OFFSET(F722,1-'参数'!$B$2,0,'参数'!$B$2,1))*SQRT('参数'!$B$3),"")</f>
        <v/>
      </c>
    </row>
    <row r="723">
      <c r="A723">
        <f>'对齐'!A723</f>
        <v/>
      </c>
      <c r="B723">
        <f>'对齐'!B723/'对齐'!B722-1</f>
        <v/>
      </c>
      <c r="C723">
        <f>'对齐'!B723/'对齐'!B$2*100</f>
        <v/>
      </c>
      <c r="D723">
        <f>'对齐'!B723/MAX('对齐'!B$2:'对齐'!B723)-1</f>
        <v/>
      </c>
      <c r="E723">
        <f>IF(ROW()-2&gt;='参数'!$B$2,STDEV(OFFSET(B723,1-'参数'!$B$2,0,'参数'!$B$2,1))*SQRT('参数'!$B$3),"")</f>
        <v/>
      </c>
      <c r="F723">
        <f>'对齐'!C723/'对齐'!C722-1</f>
        <v/>
      </c>
      <c r="G723">
        <f>'对齐'!C723/'对齐'!C$2*100</f>
        <v/>
      </c>
      <c r="H723">
        <f>'对齐'!C723/MAX('对齐'!C$2:'对齐'!C723)-1</f>
        <v/>
      </c>
      <c r="I723">
        <f>IF(ROW()-2&gt;='参数'!$B$2,STDEV(OFFSET(F723,1-'参数'!$B$2,0,'参数'!$B$2,1))*SQRT('参数'!$B$3),"")</f>
        <v/>
      </c>
    </row>
    <row r="724">
      <c r="A724">
        <f>'对齐'!A724</f>
        <v/>
      </c>
      <c r="B724">
        <f>'对齐'!B724/'对齐'!B723-1</f>
        <v/>
      </c>
      <c r="C724">
        <f>'对齐'!B724/'对齐'!B$2*100</f>
        <v/>
      </c>
      <c r="D724">
        <f>'对齐'!B724/MAX('对齐'!B$2:'对齐'!B724)-1</f>
        <v/>
      </c>
      <c r="E724">
        <f>IF(ROW()-2&gt;='参数'!$B$2,STDEV(OFFSET(B724,1-'参数'!$B$2,0,'参数'!$B$2,1))*SQRT('参数'!$B$3),"")</f>
        <v/>
      </c>
      <c r="F724">
        <f>'对齐'!C724/'对齐'!C723-1</f>
        <v/>
      </c>
      <c r="G724">
        <f>'对齐'!C724/'对齐'!C$2*100</f>
        <v/>
      </c>
      <c r="H724">
        <f>'对齐'!C724/MAX('对齐'!C$2:'对齐'!C724)-1</f>
        <v/>
      </c>
      <c r="I724">
        <f>IF(ROW()-2&gt;='参数'!$B$2,STDEV(OFFSET(F724,1-'参数'!$B$2,0,'参数'!$B$2,1))*SQRT('参数'!$B$3),"")</f>
        <v/>
      </c>
    </row>
    <row r="725">
      <c r="A725">
        <f>'对齐'!A725</f>
        <v/>
      </c>
      <c r="B725">
        <f>'对齐'!B725/'对齐'!B724-1</f>
        <v/>
      </c>
      <c r="C725">
        <f>'对齐'!B725/'对齐'!B$2*100</f>
        <v/>
      </c>
      <c r="D725">
        <f>'对齐'!B725/MAX('对齐'!B$2:'对齐'!B725)-1</f>
        <v/>
      </c>
      <c r="E725">
        <f>IF(ROW()-2&gt;='参数'!$B$2,STDEV(OFFSET(B725,1-'参数'!$B$2,0,'参数'!$B$2,1))*SQRT('参数'!$B$3),"")</f>
        <v/>
      </c>
      <c r="F725">
        <f>'对齐'!C725/'对齐'!C724-1</f>
        <v/>
      </c>
      <c r="G725">
        <f>'对齐'!C725/'对齐'!C$2*100</f>
        <v/>
      </c>
      <c r="H725">
        <f>'对齐'!C725/MAX('对齐'!C$2:'对齐'!C725)-1</f>
        <v/>
      </c>
      <c r="I725">
        <f>IF(ROW()-2&gt;='参数'!$B$2,STDEV(OFFSET(F725,1-'参数'!$B$2,0,'参数'!$B$2,1))*SQRT('参数'!$B$3),"")</f>
        <v/>
      </c>
    </row>
    <row r="726">
      <c r="A726">
        <f>'对齐'!A726</f>
        <v/>
      </c>
      <c r="B726">
        <f>'对齐'!B726/'对齐'!B725-1</f>
        <v/>
      </c>
      <c r="C726">
        <f>'对齐'!B726/'对齐'!B$2*100</f>
        <v/>
      </c>
      <c r="D726">
        <f>'对齐'!B726/MAX('对齐'!B$2:'对齐'!B726)-1</f>
        <v/>
      </c>
      <c r="E726">
        <f>IF(ROW()-2&gt;='参数'!$B$2,STDEV(OFFSET(B726,1-'参数'!$B$2,0,'参数'!$B$2,1))*SQRT('参数'!$B$3),"")</f>
        <v/>
      </c>
      <c r="F726">
        <f>'对齐'!C726/'对齐'!C725-1</f>
        <v/>
      </c>
      <c r="G726">
        <f>'对齐'!C726/'对齐'!C$2*100</f>
        <v/>
      </c>
      <c r="H726">
        <f>'对齐'!C726/MAX('对齐'!C$2:'对齐'!C726)-1</f>
        <v/>
      </c>
      <c r="I726">
        <f>IF(ROW()-2&gt;='参数'!$B$2,STDEV(OFFSET(F726,1-'参数'!$B$2,0,'参数'!$B$2,1))*SQRT('参数'!$B$3),"")</f>
        <v/>
      </c>
    </row>
    <row r="727">
      <c r="A727">
        <f>'对齐'!A727</f>
        <v/>
      </c>
      <c r="B727">
        <f>'对齐'!B727/'对齐'!B726-1</f>
        <v/>
      </c>
      <c r="C727">
        <f>'对齐'!B727/'对齐'!B$2*100</f>
        <v/>
      </c>
      <c r="D727">
        <f>'对齐'!B727/MAX('对齐'!B$2:'对齐'!B727)-1</f>
        <v/>
      </c>
      <c r="E727">
        <f>IF(ROW()-2&gt;='参数'!$B$2,STDEV(OFFSET(B727,1-'参数'!$B$2,0,'参数'!$B$2,1))*SQRT('参数'!$B$3),"")</f>
        <v/>
      </c>
      <c r="F727">
        <f>'对齐'!C727/'对齐'!C726-1</f>
        <v/>
      </c>
      <c r="G727">
        <f>'对齐'!C727/'对齐'!C$2*100</f>
        <v/>
      </c>
      <c r="H727">
        <f>'对齐'!C727/MAX('对齐'!C$2:'对齐'!C727)-1</f>
        <v/>
      </c>
      <c r="I727">
        <f>IF(ROW()-2&gt;='参数'!$B$2,STDEV(OFFSET(F727,1-'参数'!$B$2,0,'参数'!$B$2,1))*SQRT('参数'!$B$3),"")</f>
        <v/>
      </c>
    </row>
    <row r="728">
      <c r="A728">
        <f>'对齐'!A728</f>
        <v/>
      </c>
      <c r="B728">
        <f>'对齐'!B728/'对齐'!B727-1</f>
        <v/>
      </c>
      <c r="C728">
        <f>'对齐'!B728/'对齐'!B$2*100</f>
        <v/>
      </c>
      <c r="D728">
        <f>'对齐'!B728/MAX('对齐'!B$2:'对齐'!B728)-1</f>
        <v/>
      </c>
      <c r="E728">
        <f>IF(ROW()-2&gt;='参数'!$B$2,STDEV(OFFSET(B728,1-'参数'!$B$2,0,'参数'!$B$2,1))*SQRT('参数'!$B$3),"")</f>
        <v/>
      </c>
      <c r="F728">
        <f>'对齐'!C728/'对齐'!C727-1</f>
        <v/>
      </c>
      <c r="G728">
        <f>'对齐'!C728/'对齐'!C$2*100</f>
        <v/>
      </c>
      <c r="H728">
        <f>'对齐'!C728/MAX('对齐'!C$2:'对齐'!C728)-1</f>
        <v/>
      </c>
      <c r="I728">
        <f>IF(ROW()-2&gt;='参数'!$B$2,STDEV(OFFSET(F728,1-'参数'!$B$2,0,'参数'!$B$2,1))*SQRT('参数'!$B$3),"")</f>
        <v/>
      </c>
    </row>
    <row r="729">
      <c r="A729">
        <f>'对齐'!A729</f>
        <v/>
      </c>
      <c r="B729">
        <f>'对齐'!B729/'对齐'!B728-1</f>
        <v/>
      </c>
      <c r="C729">
        <f>'对齐'!B729/'对齐'!B$2*100</f>
        <v/>
      </c>
      <c r="D729">
        <f>'对齐'!B729/MAX('对齐'!B$2:'对齐'!B729)-1</f>
        <v/>
      </c>
      <c r="E729">
        <f>IF(ROW()-2&gt;='参数'!$B$2,STDEV(OFFSET(B729,1-'参数'!$B$2,0,'参数'!$B$2,1))*SQRT('参数'!$B$3),"")</f>
        <v/>
      </c>
      <c r="F729">
        <f>'对齐'!C729/'对齐'!C728-1</f>
        <v/>
      </c>
      <c r="G729">
        <f>'对齐'!C729/'对齐'!C$2*100</f>
        <v/>
      </c>
      <c r="H729">
        <f>'对齐'!C729/MAX('对齐'!C$2:'对齐'!C729)-1</f>
        <v/>
      </c>
      <c r="I729">
        <f>IF(ROW()-2&gt;='参数'!$B$2,STDEV(OFFSET(F729,1-'参数'!$B$2,0,'参数'!$B$2,1))*SQRT('参数'!$B$3),"")</f>
        <v/>
      </c>
    </row>
    <row r="730">
      <c r="A730">
        <f>'对齐'!A730</f>
        <v/>
      </c>
      <c r="B730">
        <f>'对齐'!B730/'对齐'!B729-1</f>
        <v/>
      </c>
      <c r="C730">
        <f>'对齐'!B730/'对齐'!B$2*100</f>
        <v/>
      </c>
      <c r="D730">
        <f>'对齐'!B730/MAX('对齐'!B$2:'对齐'!B730)-1</f>
        <v/>
      </c>
      <c r="E730">
        <f>IF(ROW()-2&gt;='参数'!$B$2,STDEV(OFFSET(B730,1-'参数'!$B$2,0,'参数'!$B$2,1))*SQRT('参数'!$B$3),"")</f>
        <v/>
      </c>
      <c r="F730">
        <f>'对齐'!C730/'对齐'!C729-1</f>
        <v/>
      </c>
      <c r="G730">
        <f>'对齐'!C730/'对齐'!C$2*100</f>
        <v/>
      </c>
      <c r="H730">
        <f>'对齐'!C730/MAX('对齐'!C$2:'对齐'!C730)-1</f>
        <v/>
      </c>
      <c r="I730">
        <f>IF(ROW()-2&gt;='参数'!$B$2,STDEV(OFFSET(F730,1-'参数'!$B$2,0,'参数'!$B$2,1))*SQRT('参数'!$B$3),"")</f>
        <v/>
      </c>
    </row>
    <row r="731">
      <c r="A731">
        <f>'对齐'!A731</f>
        <v/>
      </c>
      <c r="B731">
        <f>'对齐'!B731/'对齐'!B730-1</f>
        <v/>
      </c>
      <c r="C731">
        <f>'对齐'!B731/'对齐'!B$2*100</f>
        <v/>
      </c>
      <c r="D731">
        <f>'对齐'!B731/MAX('对齐'!B$2:'对齐'!B731)-1</f>
        <v/>
      </c>
      <c r="E731">
        <f>IF(ROW()-2&gt;='参数'!$B$2,STDEV(OFFSET(B731,1-'参数'!$B$2,0,'参数'!$B$2,1))*SQRT('参数'!$B$3),"")</f>
        <v/>
      </c>
      <c r="F731">
        <f>'对齐'!C731/'对齐'!C730-1</f>
        <v/>
      </c>
      <c r="G731">
        <f>'对齐'!C731/'对齐'!C$2*100</f>
        <v/>
      </c>
      <c r="H731">
        <f>'对齐'!C731/MAX('对齐'!C$2:'对齐'!C731)-1</f>
        <v/>
      </c>
      <c r="I731">
        <f>IF(ROW()-2&gt;='参数'!$B$2,STDEV(OFFSET(F731,1-'参数'!$B$2,0,'参数'!$B$2,1))*SQRT('参数'!$B$3),"")</f>
        <v/>
      </c>
    </row>
    <row r="732">
      <c r="A732">
        <f>'对齐'!A732</f>
        <v/>
      </c>
      <c r="B732">
        <f>'对齐'!B732/'对齐'!B731-1</f>
        <v/>
      </c>
      <c r="C732">
        <f>'对齐'!B732/'对齐'!B$2*100</f>
        <v/>
      </c>
      <c r="D732">
        <f>'对齐'!B732/MAX('对齐'!B$2:'对齐'!B732)-1</f>
        <v/>
      </c>
      <c r="E732">
        <f>IF(ROW()-2&gt;='参数'!$B$2,STDEV(OFFSET(B732,1-'参数'!$B$2,0,'参数'!$B$2,1))*SQRT('参数'!$B$3),"")</f>
        <v/>
      </c>
      <c r="F732">
        <f>'对齐'!C732/'对齐'!C731-1</f>
        <v/>
      </c>
      <c r="G732">
        <f>'对齐'!C732/'对齐'!C$2*100</f>
        <v/>
      </c>
      <c r="H732">
        <f>'对齐'!C732/MAX('对齐'!C$2:'对齐'!C732)-1</f>
        <v/>
      </c>
      <c r="I732">
        <f>IF(ROW()-2&gt;='参数'!$B$2,STDEV(OFFSET(F732,1-'参数'!$B$2,0,'参数'!$B$2,1))*SQRT('参数'!$B$3),"")</f>
        <v/>
      </c>
    </row>
    <row r="733">
      <c r="A733">
        <f>'对齐'!A733</f>
        <v/>
      </c>
      <c r="B733">
        <f>'对齐'!B733/'对齐'!B732-1</f>
        <v/>
      </c>
      <c r="C733">
        <f>'对齐'!B733/'对齐'!B$2*100</f>
        <v/>
      </c>
      <c r="D733">
        <f>'对齐'!B733/MAX('对齐'!B$2:'对齐'!B733)-1</f>
        <v/>
      </c>
      <c r="E733">
        <f>IF(ROW()-2&gt;='参数'!$B$2,STDEV(OFFSET(B733,1-'参数'!$B$2,0,'参数'!$B$2,1))*SQRT('参数'!$B$3),"")</f>
        <v/>
      </c>
      <c r="F733">
        <f>'对齐'!C733/'对齐'!C732-1</f>
        <v/>
      </c>
      <c r="G733">
        <f>'对齐'!C733/'对齐'!C$2*100</f>
        <v/>
      </c>
      <c r="H733">
        <f>'对齐'!C733/MAX('对齐'!C$2:'对齐'!C733)-1</f>
        <v/>
      </c>
      <c r="I733">
        <f>IF(ROW()-2&gt;='参数'!$B$2,STDEV(OFFSET(F733,1-'参数'!$B$2,0,'参数'!$B$2,1))*SQRT('参数'!$B$3),"")</f>
        <v/>
      </c>
    </row>
    <row r="734">
      <c r="A734">
        <f>'对齐'!A734</f>
        <v/>
      </c>
      <c r="B734">
        <f>'对齐'!B734/'对齐'!B733-1</f>
        <v/>
      </c>
      <c r="C734">
        <f>'对齐'!B734/'对齐'!B$2*100</f>
        <v/>
      </c>
      <c r="D734">
        <f>'对齐'!B734/MAX('对齐'!B$2:'对齐'!B734)-1</f>
        <v/>
      </c>
      <c r="E734">
        <f>IF(ROW()-2&gt;='参数'!$B$2,STDEV(OFFSET(B734,1-'参数'!$B$2,0,'参数'!$B$2,1))*SQRT('参数'!$B$3),"")</f>
        <v/>
      </c>
      <c r="F734">
        <f>'对齐'!C734/'对齐'!C733-1</f>
        <v/>
      </c>
      <c r="G734">
        <f>'对齐'!C734/'对齐'!C$2*100</f>
        <v/>
      </c>
      <c r="H734">
        <f>'对齐'!C734/MAX('对齐'!C$2:'对齐'!C734)-1</f>
        <v/>
      </c>
      <c r="I734">
        <f>IF(ROW()-2&gt;='参数'!$B$2,STDEV(OFFSET(F734,1-'参数'!$B$2,0,'参数'!$B$2,1))*SQRT('参数'!$B$3),"")</f>
        <v/>
      </c>
    </row>
    <row r="735">
      <c r="A735">
        <f>'对齐'!A735</f>
        <v/>
      </c>
      <c r="B735">
        <f>'对齐'!B735/'对齐'!B734-1</f>
        <v/>
      </c>
      <c r="C735">
        <f>'对齐'!B735/'对齐'!B$2*100</f>
        <v/>
      </c>
      <c r="D735">
        <f>'对齐'!B735/MAX('对齐'!B$2:'对齐'!B735)-1</f>
        <v/>
      </c>
      <c r="E735">
        <f>IF(ROW()-2&gt;='参数'!$B$2,STDEV(OFFSET(B735,1-'参数'!$B$2,0,'参数'!$B$2,1))*SQRT('参数'!$B$3),"")</f>
        <v/>
      </c>
      <c r="F735">
        <f>'对齐'!C735/'对齐'!C734-1</f>
        <v/>
      </c>
      <c r="G735">
        <f>'对齐'!C735/'对齐'!C$2*100</f>
        <v/>
      </c>
      <c r="H735">
        <f>'对齐'!C735/MAX('对齐'!C$2:'对齐'!C735)-1</f>
        <v/>
      </c>
      <c r="I735">
        <f>IF(ROW()-2&gt;='参数'!$B$2,STDEV(OFFSET(F735,1-'参数'!$B$2,0,'参数'!$B$2,1))*SQRT('参数'!$B$3),"")</f>
        <v/>
      </c>
    </row>
    <row r="736">
      <c r="A736">
        <f>'对齐'!A736</f>
        <v/>
      </c>
      <c r="B736">
        <f>'对齐'!B736/'对齐'!B735-1</f>
        <v/>
      </c>
      <c r="C736">
        <f>'对齐'!B736/'对齐'!B$2*100</f>
        <v/>
      </c>
      <c r="D736">
        <f>'对齐'!B736/MAX('对齐'!B$2:'对齐'!B736)-1</f>
        <v/>
      </c>
      <c r="E736">
        <f>IF(ROW()-2&gt;='参数'!$B$2,STDEV(OFFSET(B736,1-'参数'!$B$2,0,'参数'!$B$2,1))*SQRT('参数'!$B$3),"")</f>
        <v/>
      </c>
      <c r="F736">
        <f>'对齐'!C736/'对齐'!C735-1</f>
        <v/>
      </c>
      <c r="G736">
        <f>'对齐'!C736/'对齐'!C$2*100</f>
        <v/>
      </c>
      <c r="H736">
        <f>'对齐'!C736/MAX('对齐'!C$2:'对齐'!C736)-1</f>
        <v/>
      </c>
      <c r="I736">
        <f>IF(ROW()-2&gt;='参数'!$B$2,STDEV(OFFSET(F736,1-'参数'!$B$2,0,'参数'!$B$2,1))*SQRT('参数'!$B$3),"")</f>
        <v/>
      </c>
    </row>
    <row r="737">
      <c r="A737">
        <f>'对齐'!A737</f>
        <v/>
      </c>
      <c r="B737">
        <f>'对齐'!B737/'对齐'!B736-1</f>
        <v/>
      </c>
      <c r="C737">
        <f>'对齐'!B737/'对齐'!B$2*100</f>
        <v/>
      </c>
      <c r="D737">
        <f>'对齐'!B737/MAX('对齐'!B$2:'对齐'!B737)-1</f>
        <v/>
      </c>
      <c r="E737">
        <f>IF(ROW()-2&gt;='参数'!$B$2,STDEV(OFFSET(B737,1-'参数'!$B$2,0,'参数'!$B$2,1))*SQRT('参数'!$B$3),"")</f>
        <v/>
      </c>
      <c r="F737">
        <f>'对齐'!C737/'对齐'!C736-1</f>
        <v/>
      </c>
      <c r="G737">
        <f>'对齐'!C737/'对齐'!C$2*100</f>
        <v/>
      </c>
      <c r="H737">
        <f>'对齐'!C737/MAX('对齐'!C$2:'对齐'!C737)-1</f>
        <v/>
      </c>
      <c r="I737">
        <f>IF(ROW()-2&gt;='参数'!$B$2,STDEV(OFFSET(F737,1-'参数'!$B$2,0,'参数'!$B$2,1))*SQRT('参数'!$B$3),"")</f>
        <v/>
      </c>
    </row>
    <row r="738">
      <c r="A738">
        <f>'对齐'!A738</f>
        <v/>
      </c>
      <c r="B738">
        <f>'对齐'!B738/'对齐'!B737-1</f>
        <v/>
      </c>
      <c r="C738">
        <f>'对齐'!B738/'对齐'!B$2*100</f>
        <v/>
      </c>
      <c r="D738">
        <f>'对齐'!B738/MAX('对齐'!B$2:'对齐'!B738)-1</f>
        <v/>
      </c>
      <c r="E738">
        <f>IF(ROW()-2&gt;='参数'!$B$2,STDEV(OFFSET(B738,1-'参数'!$B$2,0,'参数'!$B$2,1))*SQRT('参数'!$B$3),"")</f>
        <v/>
      </c>
      <c r="F738">
        <f>'对齐'!C738/'对齐'!C737-1</f>
        <v/>
      </c>
      <c r="G738">
        <f>'对齐'!C738/'对齐'!C$2*100</f>
        <v/>
      </c>
      <c r="H738">
        <f>'对齐'!C738/MAX('对齐'!C$2:'对齐'!C738)-1</f>
        <v/>
      </c>
      <c r="I738">
        <f>IF(ROW()-2&gt;='参数'!$B$2,STDEV(OFFSET(F738,1-'参数'!$B$2,0,'参数'!$B$2,1))*SQRT('参数'!$B$3),"")</f>
        <v/>
      </c>
    </row>
    <row r="739">
      <c r="A739">
        <f>'对齐'!A739</f>
        <v/>
      </c>
      <c r="B739">
        <f>'对齐'!B739/'对齐'!B738-1</f>
        <v/>
      </c>
      <c r="C739">
        <f>'对齐'!B739/'对齐'!B$2*100</f>
        <v/>
      </c>
      <c r="D739">
        <f>'对齐'!B739/MAX('对齐'!B$2:'对齐'!B739)-1</f>
        <v/>
      </c>
      <c r="E739">
        <f>IF(ROW()-2&gt;='参数'!$B$2,STDEV(OFFSET(B739,1-'参数'!$B$2,0,'参数'!$B$2,1))*SQRT('参数'!$B$3),"")</f>
        <v/>
      </c>
      <c r="F739">
        <f>'对齐'!C739/'对齐'!C738-1</f>
        <v/>
      </c>
      <c r="G739">
        <f>'对齐'!C739/'对齐'!C$2*100</f>
        <v/>
      </c>
      <c r="H739">
        <f>'对齐'!C739/MAX('对齐'!C$2:'对齐'!C739)-1</f>
        <v/>
      </c>
      <c r="I739">
        <f>IF(ROW()-2&gt;='参数'!$B$2,STDEV(OFFSET(F739,1-'参数'!$B$2,0,'参数'!$B$2,1))*SQRT('参数'!$B$3),"")</f>
        <v/>
      </c>
    </row>
    <row r="740">
      <c r="A740">
        <f>'对齐'!A740</f>
        <v/>
      </c>
      <c r="B740">
        <f>'对齐'!B740/'对齐'!B739-1</f>
        <v/>
      </c>
      <c r="C740">
        <f>'对齐'!B740/'对齐'!B$2*100</f>
        <v/>
      </c>
      <c r="D740">
        <f>'对齐'!B740/MAX('对齐'!B$2:'对齐'!B740)-1</f>
        <v/>
      </c>
      <c r="E740">
        <f>IF(ROW()-2&gt;='参数'!$B$2,STDEV(OFFSET(B740,1-'参数'!$B$2,0,'参数'!$B$2,1))*SQRT('参数'!$B$3),"")</f>
        <v/>
      </c>
      <c r="F740">
        <f>'对齐'!C740/'对齐'!C739-1</f>
        <v/>
      </c>
      <c r="G740">
        <f>'对齐'!C740/'对齐'!C$2*100</f>
        <v/>
      </c>
      <c r="H740">
        <f>'对齐'!C740/MAX('对齐'!C$2:'对齐'!C740)-1</f>
        <v/>
      </c>
      <c r="I740">
        <f>IF(ROW()-2&gt;='参数'!$B$2,STDEV(OFFSET(F740,1-'参数'!$B$2,0,'参数'!$B$2,1))*SQRT('参数'!$B$3),"")</f>
        <v/>
      </c>
    </row>
    <row r="741">
      <c r="A741">
        <f>'对齐'!A741</f>
        <v/>
      </c>
      <c r="B741">
        <f>'对齐'!B741/'对齐'!B740-1</f>
        <v/>
      </c>
      <c r="C741">
        <f>'对齐'!B741/'对齐'!B$2*100</f>
        <v/>
      </c>
      <c r="D741">
        <f>'对齐'!B741/MAX('对齐'!B$2:'对齐'!B741)-1</f>
        <v/>
      </c>
      <c r="E741">
        <f>IF(ROW()-2&gt;='参数'!$B$2,STDEV(OFFSET(B741,1-'参数'!$B$2,0,'参数'!$B$2,1))*SQRT('参数'!$B$3),"")</f>
        <v/>
      </c>
      <c r="F741">
        <f>'对齐'!C741/'对齐'!C740-1</f>
        <v/>
      </c>
      <c r="G741">
        <f>'对齐'!C741/'对齐'!C$2*100</f>
        <v/>
      </c>
      <c r="H741">
        <f>'对齐'!C741/MAX('对齐'!C$2:'对齐'!C741)-1</f>
        <v/>
      </c>
      <c r="I741">
        <f>IF(ROW()-2&gt;='参数'!$B$2,STDEV(OFFSET(F741,1-'参数'!$B$2,0,'参数'!$B$2,1))*SQRT('参数'!$B$3),"")</f>
        <v/>
      </c>
    </row>
    <row r="742">
      <c r="A742">
        <f>'对齐'!A742</f>
        <v/>
      </c>
      <c r="B742">
        <f>'对齐'!B742/'对齐'!B741-1</f>
        <v/>
      </c>
      <c r="C742">
        <f>'对齐'!B742/'对齐'!B$2*100</f>
        <v/>
      </c>
      <c r="D742">
        <f>'对齐'!B742/MAX('对齐'!B$2:'对齐'!B742)-1</f>
        <v/>
      </c>
      <c r="E742">
        <f>IF(ROW()-2&gt;='参数'!$B$2,STDEV(OFFSET(B742,1-'参数'!$B$2,0,'参数'!$B$2,1))*SQRT('参数'!$B$3),"")</f>
        <v/>
      </c>
      <c r="F742">
        <f>'对齐'!C742/'对齐'!C741-1</f>
        <v/>
      </c>
      <c r="G742">
        <f>'对齐'!C742/'对齐'!C$2*100</f>
        <v/>
      </c>
      <c r="H742">
        <f>'对齐'!C742/MAX('对齐'!C$2:'对齐'!C742)-1</f>
        <v/>
      </c>
      <c r="I742">
        <f>IF(ROW()-2&gt;='参数'!$B$2,STDEV(OFFSET(F742,1-'参数'!$B$2,0,'参数'!$B$2,1))*SQRT('参数'!$B$3),"")</f>
        <v/>
      </c>
    </row>
    <row r="743">
      <c r="A743">
        <f>'对齐'!A743</f>
        <v/>
      </c>
      <c r="B743">
        <f>'对齐'!B743/'对齐'!B742-1</f>
        <v/>
      </c>
      <c r="C743">
        <f>'对齐'!B743/'对齐'!B$2*100</f>
        <v/>
      </c>
      <c r="D743">
        <f>'对齐'!B743/MAX('对齐'!B$2:'对齐'!B743)-1</f>
        <v/>
      </c>
      <c r="E743">
        <f>IF(ROW()-2&gt;='参数'!$B$2,STDEV(OFFSET(B743,1-'参数'!$B$2,0,'参数'!$B$2,1))*SQRT('参数'!$B$3),"")</f>
        <v/>
      </c>
      <c r="F743">
        <f>'对齐'!C743/'对齐'!C742-1</f>
        <v/>
      </c>
      <c r="G743">
        <f>'对齐'!C743/'对齐'!C$2*100</f>
        <v/>
      </c>
      <c r="H743">
        <f>'对齐'!C743/MAX('对齐'!C$2:'对齐'!C743)-1</f>
        <v/>
      </c>
      <c r="I743">
        <f>IF(ROW()-2&gt;='参数'!$B$2,STDEV(OFFSET(F743,1-'参数'!$B$2,0,'参数'!$B$2,1))*SQRT('参数'!$B$3),"")</f>
        <v/>
      </c>
    </row>
    <row r="744">
      <c r="A744">
        <f>'对齐'!A744</f>
        <v/>
      </c>
      <c r="B744">
        <f>'对齐'!B744/'对齐'!B743-1</f>
        <v/>
      </c>
      <c r="C744">
        <f>'对齐'!B744/'对齐'!B$2*100</f>
        <v/>
      </c>
      <c r="D744">
        <f>'对齐'!B744/MAX('对齐'!B$2:'对齐'!B744)-1</f>
        <v/>
      </c>
      <c r="E744">
        <f>IF(ROW()-2&gt;='参数'!$B$2,STDEV(OFFSET(B744,1-'参数'!$B$2,0,'参数'!$B$2,1))*SQRT('参数'!$B$3),"")</f>
        <v/>
      </c>
      <c r="F744">
        <f>'对齐'!C744/'对齐'!C743-1</f>
        <v/>
      </c>
      <c r="G744">
        <f>'对齐'!C744/'对齐'!C$2*100</f>
        <v/>
      </c>
      <c r="H744">
        <f>'对齐'!C744/MAX('对齐'!C$2:'对齐'!C744)-1</f>
        <v/>
      </c>
      <c r="I744">
        <f>IF(ROW()-2&gt;='参数'!$B$2,STDEV(OFFSET(F744,1-'参数'!$B$2,0,'参数'!$B$2,1))*SQRT('参数'!$B$3),"")</f>
        <v/>
      </c>
    </row>
    <row r="745">
      <c r="A745">
        <f>'对齐'!A745</f>
        <v/>
      </c>
      <c r="B745">
        <f>'对齐'!B745/'对齐'!B744-1</f>
        <v/>
      </c>
      <c r="C745">
        <f>'对齐'!B745/'对齐'!B$2*100</f>
        <v/>
      </c>
      <c r="D745">
        <f>'对齐'!B745/MAX('对齐'!B$2:'对齐'!B745)-1</f>
        <v/>
      </c>
      <c r="E745">
        <f>IF(ROW()-2&gt;='参数'!$B$2,STDEV(OFFSET(B745,1-'参数'!$B$2,0,'参数'!$B$2,1))*SQRT('参数'!$B$3),"")</f>
        <v/>
      </c>
      <c r="F745">
        <f>'对齐'!C745/'对齐'!C744-1</f>
        <v/>
      </c>
      <c r="G745">
        <f>'对齐'!C745/'对齐'!C$2*100</f>
        <v/>
      </c>
      <c r="H745">
        <f>'对齐'!C745/MAX('对齐'!C$2:'对齐'!C745)-1</f>
        <v/>
      </c>
      <c r="I745">
        <f>IF(ROW()-2&gt;='参数'!$B$2,STDEV(OFFSET(F745,1-'参数'!$B$2,0,'参数'!$B$2,1))*SQRT('参数'!$B$3),"")</f>
        <v/>
      </c>
    </row>
    <row r="746">
      <c r="A746">
        <f>'对齐'!A746</f>
        <v/>
      </c>
      <c r="B746">
        <f>'对齐'!B746/'对齐'!B745-1</f>
        <v/>
      </c>
      <c r="C746">
        <f>'对齐'!B746/'对齐'!B$2*100</f>
        <v/>
      </c>
      <c r="D746">
        <f>'对齐'!B746/MAX('对齐'!B$2:'对齐'!B746)-1</f>
        <v/>
      </c>
      <c r="E746">
        <f>IF(ROW()-2&gt;='参数'!$B$2,STDEV(OFFSET(B746,1-'参数'!$B$2,0,'参数'!$B$2,1))*SQRT('参数'!$B$3),"")</f>
        <v/>
      </c>
      <c r="F746">
        <f>'对齐'!C746/'对齐'!C745-1</f>
        <v/>
      </c>
      <c r="G746">
        <f>'对齐'!C746/'对齐'!C$2*100</f>
        <v/>
      </c>
      <c r="H746">
        <f>'对齐'!C746/MAX('对齐'!C$2:'对齐'!C746)-1</f>
        <v/>
      </c>
      <c r="I746">
        <f>IF(ROW()-2&gt;='参数'!$B$2,STDEV(OFFSET(F746,1-'参数'!$B$2,0,'参数'!$B$2,1))*SQRT('参数'!$B$3),"")</f>
        <v/>
      </c>
    </row>
    <row r="747">
      <c r="A747">
        <f>'对齐'!A747</f>
        <v/>
      </c>
      <c r="B747">
        <f>'对齐'!B747/'对齐'!B746-1</f>
        <v/>
      </c>
      <c r="C747">
        <f>'对齐'!B747/'对齐'!B$2*100</f>
        <v/>
      </c>
      <c r="D747">
        <f>'对齐'!B747/MAX('对齐'!B$2:'对齐'!B747)-1</f>
        <v/>
      </c>
      <c r="E747">
        <f>IF(ROW()-2&gt;='参数'!$B$2,STDEV(OFFSET(B747,1-'参数'!$B$2,0,'参数'!$B$2,1))*SQRT('参数'!$B$3),"")</f>
        <v/>
      </c>
      <c r="F747">
        <f>'对齐'!C747/'对齐'!C746-1</f>
        <v/>
      </c>
      <c r="G747">
        <f>'对齐'!C747/'对齐'!C$2*100</f>
        <v/>
      </c>
      <c r="H747">
        <f>'对齐'!C747/MAX('对齐'!C$2:'对齐'!C747)-1</f>
        <v/>
      </c>
      <c r="I747">
        <f>IF(ROW()-2&gt;='参数'!$B$2,STDEV(OFFSET(F747,1-'参数'!$B$2,0,'参数'!$B$2,1))*SQRT('参数'!$B$3),"")</f>
        <v/>
      </c>
    </row>
    <row r="748">
      <c r="A748">
        <f>'对齐'!A748</f>
        <v/>
      </c>
      <c r="B748">
        <f>'对齐'!B748/'对齐'!B747-1</f>
        <v/>
      </c>
      <c r="C748">
        <f>'对齐'!B748/'对齐'!B$2*100</f>
        <v/>
      </c>
      <c r="D748">
        <f>'对齐'!B748/MAX('对齐'!B$2:'对齐'!B748)-1</f>
        <v/>
      </c>
      <c r="E748">
        <f>IF(ROW()-2&gt;='参数'!$B$2,STDEV(OFFSET(B748,1-'参数'!$B$2,0,'参数'!$B$2,1))*SQRT('参数'!$B$3),"")</f>
        <v/>
      </c>
      <c r="F748">
        <f>'对齐'!C748/'对齐'!C747-1</f>
        <v/>
      </c>
      <c r="G748">
        <f>'对齐'!C748/'对齐'!C$2*100</f>
        <v/>
      </c>
      <c r="H748">
        <f>'对齐'!C748/MAX('对齐'!C$2:'对齐'!C748)-1</f>
        <v/>
      </c>
      <c r="I748">
        <f>IF(ROW()-2&gt;='参数'!$B$2,STDEV(OFFSET(F748,1-'参数'!$B$2,0,'参数'!$B$2,1))*SQRT('参数'!$B$3),"")</f>
        <v/>
      </c>
    </row>
    <row r="749">
      <c r="A749">
        <f>'对齐'!A749</f>
        <v/>
      </c>
      <c r="B749">
        <f>'对齐'!B749/'对齐'!B748-1</f>
        <v/>
      </c>
      <c r="C749">
        <f>'对齐'!B749/'对齐'!B$2*100</f>
        <v/>
      </c>
      <c r="D749">
        <f>'对齐'!B749/MAX('对齐'!B$2:'对齐'!B749)-1</f>
        <v/>
      </c>
      <c r="E749">
        <f>IF(ROW()-2&gt;='参数'!$B$2,STDEV(OFFSET(B749,1-'参数'!$B$2,0,'参数'!$B$2,1))*SQRT('参数'!$B$3),"")</f>
        <v/>
      </c>
      <c r="F749">
        <f>'对齐'!C749/'对齐'!C748-1</f>
        <v/>
      </c>
      <c r="G749">
        <f>'对齐'!C749/'对齐'!C$2*100</f>
        <v/>
      </c>
      <c r="H749">
        <f>'对齐'!C749/MAX('对齐'!C$2:'对齐'!C749)-1</f>
        <v/>
      </c>
      <c r="I749">
        <f>IF(ROW()-2&gt;='参数'!$B$2,STDEV(OFFSET(F749,1-'参数'!$B$2,0,'参数'!$B$2,1))*SQRT('参数'!$B$3),"")</f>
        <v/>
      </c>
    </row>
    <row r="750">
      <c r="A750">
        <f>'对齐'!A750</f>
        <v/>
      </c>
      <c r="B750">
        <f>'对齐'!B750/'对齐'!B749-1</f>
        <v/>
      </c>
      <c r="C750">
        <f>'对齐'!B750/'对齐'!B$2*100</f>
        <v/>
      </c>
      <c r="D750">
        <f>'对齐'!B750/MAX('对齐'!B$2:'对齐'!B750)-1</f>
        <v/>
      </c>
      <c r="E750">
        <f>IF(ROW()-2&gt;='参数'!$B$2,STDEV(OFFSET(B750,1-'参数'!$B$2,0,'参数'!$B$2,1))*SQRT('参数'!$B$3),"")</f>
        <v/>
      </c>
      <c r="F750">
        <f>'对齐'!C750/'对齐'!C749-1</f>
        <v/>
      </c>
      <c r="G750">
        <f>'对齐'!C750/'对齐'!C$2*100</f>
        <v/>
      </c>
      <c r="H750">
        <f>'对齐'!C750/MAX('对齐'!C$2:'对齐'!C750)-1</f>
        <v/>
      </c>
      <c r="I750">
        <f>IF(ROW()-2&gt;='参数'!$B$2,STDEV(OFFSET(F750,1-'参数'!$B$2,0,'参数'!$B$2,1))*SQRT('参数'!$B$3),"")</f>
        <v/>
      </c>
    </row>
    <row r="751">
      <c r="A751">
        <f>'对齐'!A751</f>
        <v/>
      </c>
      <c r="B751">
        <f>'对齐'!B751/'对齐'!B750-1</f>
        <v/>
      </c>
      <c r="C751">
        <f>'对齐'!B751/'对齐'!B$2*100</f>
        <v/>
      </c>
      <c r="D751">
        <f>'对齐'!B751/MAX('对齐'!B$2:'对齐'!B751)-1</f>
        <v/>
      </c>
      <c r="E751">
        <f>IF(ROW()-2&gt;='参数'!$B$2,STDEV(OFFSET(B751,1-'参数'!$B$2,0,'参数'!$B$2,1))*SQRT('参数'!$B$3),"")</f>
        <v/>
      </c>
      <c r="F751">
        <f>'对齐'!C751/'对齐'!C750-1</f>
        <v/>
      </c>
      <c r="G751">
        <f>'对齐'!C751/'对齐'!C$2*100</f>
        <v/>
      </c>
      <c r="H751">
        <f>'对齐'!C751/MAX('对齐'!C$2:'对齐'!C751)-1</f>
        <v/>
      </c>
      <c r="I751">
        <f>IF(ROW()-2&gt;='参数'!$B$2,STDEV(OFFSET(F751,1-'参数'!$B$2,0,'参数'!$B$2,1))*SQRT('参数'!$B$3),"")</f>
        <v/>
      </c>
    </row>
    <row r="752">
      <c r="A752">
        <f>'对齐'!A752</f>
        <v/>
      </c>
      <c r="B752">
        <f>'对齐'!B752/'对齐'!B751-1</f>
        <v/>
      </c>
      <c r="C752">
        <f>'对齐'!B752/'对齐'!B$2*100</f>
        <v/>
      </c>
      <c r="D752">
        <f>'对齐'!B752/MAX('对齐'!B$2:'对齐'!B752)-1</f>
        <v/>
      </c>
      <c r="E752">
        <f>IF(ROW()-2&gt;='参数'!$B$2,STDEV(OFFSET(B752,1-'参数'!$B$2,0,'参数'!$B$2,1))*SQRT('参数'!$B$3),"")</f>
        <v/>
      </c>
      <c r="F752">
        <f>'对齐'!C752/'对齐'!C751-1</f>
        <v/>
      </c>
      <c r="G752">
        <f>'对齐'!C752/'对齐'!C$2*100</f>
        <v/>
      </c>
      <c r="H752">
        <f>'对齐'!C752/MAX('对齐'!C$2:'对齐'!C752)-1</f>
        <v/>
      </c>
      <c r="I752">
        <f>IF(ROW()-2&gt;='参数'!$B$2,STDEV(OFFSET(F752,1-'参数'!$B$2,0,'参数'!$B$2,1))*SQRT('参数'!$B$3),"")</f>
        <v/>
      </c>
    </row>
    <row r="753">
      <c r="A753">
        <f>'对齐'!A753</f>
        <v/>
      </c>
      <c r="B753">
        <f>'对齐'!B753/'对齐'!B752-1</f>
        <v/>
      </c>
      <c r="C753">
        <f>'对齐'!B753/'对齐'!B$2*100</f>
        <v/>
      </c>
      <c r="D753">
        <f>'对齐'!B753/MAX('对齐'!B$2:'对齐'!B753)-1</f>
        <v/>
      </c>
      <c r="E753">
        <f>IF(ROW()-2&gt;='参数'!$B$2,STDEV(OFFSET(B753,1-'参数'!$B$2,0,'参数'!$B$2,1))*SQRT('参数'!$B$3),"")</f>
        <v/>
      </c>
      <c r="F753">
        <f>'对齐'!C753/'对齐'!C752-1</f>
        <v/>
      </c>
      <c r="G753">
        <f>'对齐'!C753/'对齐'!C$2*100</f>
        <v/>
      </c>
      <c r="H753">
        <f>'对齐'!C753/MAX('对齐'!C$2:'对齐'!C753)-1</f>
        <v/>
      </c>
      <c r="I753">
        <f>IF(ROW()-2&gt;='参数'!$B$2,STDEV(OFFSET(F753,1-'参数'!$B$2,0,'参数'!$B$2,1))*SQRT('参数'!$B$3),"")</f>
        <v/>
      </c>
    </row>
    <row r="754">
      <c r="A754">
        <f>'对齐'!A754</f>
        <v/>
      </c>
      <c r="B754">
        <f>'对齐'!B754/'对齐'!B753-1</f>
        <v/>
      </c>
      <c r="C754">
        <f>'对齐'!B754/'对齐'!B$2*100</f>
        <v/>
      </c>
      <c r="D754">
        <f>'对齐'!B754/MAX('对齐'!B$2:'对齐'!B754)-1</f>
        <v/>
      </c>
      <c r="E754">
        <f>IF(ROW()-2&gt;='参数'!$B$2,STDEV(OFFSET(B754,1-'参数'!$B$2,0,'参数'!$B$2,1))*SQRT('参数'!$B$3),"")</f>
        <v/>
      </c>
      <c r="F754">
        <f>'对齐'!C754/'对齐'!C753-1</f>
        <v/>
      </c>
      <c r="G754">
        <f>'对齐'!C754/'对齐'!C$2*100</f>
        <v/>
      </c>
      <c r="H754">
        <f>'对齐'!C754/MAX('对齐'!C$2:'对齐'!C754)-1</f>
        <v/>
      </c>
      <c r="I754">
        <f>IF(ROW()-2&gt;='参数'!$B$2,STDEV(OFFSET(F754,1-'参数'!$B$2,0,'参数'!$B$2,1))*SQRT('参数'!$B$3),"")</f>
        <v/>
      </c>
    </row>
    <row r="755">
      <c r="A755">
        <f>'对齐'!A755</f>
        <v/>
      </c>
      <c r="B755">
        <f>'对齐'!B755/'对齐'!B754-1</f>
        <v/>
      </c>
      <c r="C755">
        <f>'对齐'!B755/'对齐'!B$2*100</f>
        <v/>
      </c>
      <c r="D755">
        <f>'对齐'!B755/MAX('对齐'!B$2:'对齐'!B755)-1</f>
        <v/>
      </c>
      <c r="E755">
        <f>IF(ROW()-2&gt;='参数'!$B$2,STDEV(OFFSET(B755,1-'参数'!$B$2,0,'参数'!$B$2,1))*SQRT('参数'!$B$3),"")</f>
        <v/>
      </c>
      <c r="F755">
        <f>'对齐'!C755/'对齐'!C754-1</f>
        <v/>
      </c>
      <c r="G755">
        <f>'对齐'!C755/'对齐'!C$2*100</f>
        <v/>
      </c>
      <c r="H755">
        <f>'对齐'!C755/MAX('对齐'!C$2:'对齐'!C755)-1</f>
        <v/>
      </c>
      <c r="I755">
        <f>IF(ROW()-2&gt;='参数'!$B$2,STDEV(OFFSET(F755,1-'参数'!$B$2,0,'参数'!$B$2,1))*SQRT('参数'!$B$3),"")</f>
        <v/>
      </c>
    </row>
    <row r="756">
      <c r="A756">
        <f>'对齐'!A756</f>
        <v/>
      </c>
      <c r="B756">
        <f>'对齐'!B756/'对齐'!B755-1</f>
        <v/>
      </c>
      <c r="C756">
        <f>'对齐'!B756/'对齐'!B$2*100</f>
        <v/>
      </c>
      <c r="D756">
        <f>'对齐'!B756/MAX('对齐'!B$2:'对齐'!B756)-1</f>
        <v/>
      </c>
      <c r="E756">
        <f>IF(ROW()-2&gt;='参数'!$B$2,STDEV(OFFSET(B756,1-'参数'!$B$2,0,'参数'!$B$2,1))*SQRT('参数'!$B$3),"")</f>
        <v/>
      </c>
      <c r="F756">
        <f>'对齐'!C756/'对齐'!C755-1</f>
        <v/>
      </c>
      <c r="G756">
        <f>'对齐'!C756/'对齐'!C$2*100</f>
        <v/>
      </c>
      <c r="H756">
        <f>'对齐'!C756/MAX('对齐'!C$2:'对齐'!C756)-1</f>
        <v/>
      </c>
      <c r="I756">
        <f>IF(ROW()-2&gt;='参数'!$B$2,STDEV(OFFSET(F756,1-'参数'!$B$2,0,'参数'!$B$2,1))*SQRT('参数'!$B$3),"")</f>
        <v/>
      </c>
    </row>
    <row r="757">
      <c r="A757">
        <f>'对齐'!A757</f>
        <v/>
      </c>
      <c r="B757">
        <f>'对齐'!B757/'对齐'!B756-1</f>
        <v/>
      </c>
      <c r="C757">
        <f>'对齐'!B757/'对齐'!B$2*100</f>
        <v/>
      </c>
      <c r="D757">
        <f>'对齐'!B757/MAX('对齐'!B$2:'对齐'!B757)-1</f>
        <v/>
      </c>
      <c r="E757">
        <f>IF(ROW()-2&gt;='参数'!$B$2,STDEV(OFFSET(B757,1-'参数'!$B$2,0,'参数'!$B$2,1))*SQRT('参数'!$B$3),"")</f>
        <v/>
      </c>
      <c r="F757">
        <f>'对齐'!C757/'对齐'!C756-1</f>
        <v/>
      </c>
      <c r="G757">
        <f>'对齐'!C757/'对齐'!C$2*100</f>
        <v/>
      </c>
      <c r="H757">
        <f>'对齐'!C757/MAX('对齐'!C$2:'对齐'!C757)-1</f>
        <v/>
      </c>
      <c r="I757">
        <f>IF(ROW()-2&gt;='参数'!$B$2,STDEV(OFFSET(F757,1-'参数'!$B$2,0,'参数'!$B$2,1))*SQRT('参数'!$B$3),"")</f>
        <v/>
      </c>
    </row>
    <row r="758">
      <c r="A758">
        <f>'对齐'!A758</f>
        <v/>
      </c>
      <c r="B758">
        <f>'对齐'!B758/'对齐'!B757-1</f>
        <v/>
      </c>
      <c r="C758">
        <f>'对齐'!B758/'对齐'!B$2*100</f>
        <v/>
      </c>
      <c r="D758">
        <f>'对齐'!B758/MAX('对齐'!B$2:'对齐'!B758)-1</f>
        <v/>
      </c>
      <c r="E758">
        <f>IF(ROW()-2&gt;='参数'!$B$2,STDEV(OFFSET(B758,1-'参数'!$B$2,0,'参数'!$B$2,1))*SQRT('参数'!$B$3),"")</f>
        <v/>
      </c>
      <c r="F758">
        <f>'对齐'!C758/'对齐'!C757-1</f>
        <v/>
      </c>
      <c r="G758">
        <f>'对齐'!C758/'对齐'!C$2*100</f>
        <v/>
      </c>
      <c r="H758">
        <f>'对齐'!C758/MAX('对齐'!C$2:'对齐'!C758)-1</f>
        <v/>
      </c>
      <c r="I758">
        <f>IF(ROW()-2&gt;='参数'!$B$2,STDEV(OFFSET(F758,1-'参数'!$B$2,0,'参数'!$B$2,1))*SQRT('参数'!$B$3),"")</f>
        <v/>
      </c>
    </row>
    <row r="759">
      <c r="A759">
        <f>'对齐'!A759</f>
        <v/>
      </c>
      <c r="B759">
        <f>'对齐'!B759/'对齐'!B758-1</f>
        <v/>
      </c>
      <c r="C759">
        <f>'对齐'!B759/'对齐'!B$2*100</f>
        <v/>
      </c>
      <c r="D759">
        <f>'对齐'!B759/MAX('对齐'!B$2:'对齐'!B759)-1</f>
        <v/>
      </c>
      <c r="E759">
        <f>IF(ROW()-2&gt;='参数'!$B$2,STDEV(OFFSET(B759,1-'参数'!$B$2,0,'参数'!$B$2,1))*SQRT('参数'!$B$3),"")</f>
        <v/>
      </c>
      <c r="F759">
        <f>'对齐'!C759/'对齐'!C758-1</f>
        <v/>
      </c>
      <c r="G759">
        <f>'对齐'!C759/'对齐'!C$2*100</f>
        <v/>
      </c>
      <c r="H759">
        <f>'对齐'!C759/MAX('对齐'!C$2:'对齐'!C759)-1</f>
        <v/>
      </c>
      <c r="I759">
        <f>IF(ROW()-2&gt;='参数'!$B$2,STDEV(OFFSET(F759,1-'参数'!$B$2,0,'参数'!$B$2,1))*SQRT('参数'!$B$3),"")</f>
        <v/>
      </c>
    </row>
    <row r="760">
      <c r="A760">
        <f>'对齐'!A760</f>
        <v/>
      </c>
      <c r="B760">
        <f>'对齐'!B760/'对齐'!B759-1</f>
        <v/>
      </c>
      <c r="C760">
        <f>'对齐'!B760/'对齐'!B$2*100</f>
        <v/>
      </c>
      <c r="D760">
        <f>'对齐'!B760/MAX('对齐'!B$2:'对齐'!B760)-1</f>
        <v/>
      </c>
      <c r="E760">
        <f>IF(ROW()-2&gt;='参数'!$B$2,STDEV(OFFSET(B760,1-'参数'!$B$2,0,'参数'!$B$2,1))*SQRT('参数'!$B$3),"")</f>
        <v/>
      </c>
      <c r="F760">
        <f>'对齐'!C760/'对齐'!C759-1</f>
        <v/>
      </c>
      <c r="G760">
        <f>'对齐'!C760/'对齐'!C$2*100</f>
        <v/>
      </c>
      <c r="H760">
        <f>'对齐'!C760/MAX('对齐'!C$2:'对齐'!C760)-1</f>
        <v/>
      </c>
      <c r="I760">
        <f>IF(ROW()-2&gt;='参数'!$B$2,STDEV(OFFSET(F760,1-'参数'!$B$2,0,'参数'!$B$2,1))*SQRT('参数'!$B$3),"")</f>
        <v/>
      </c>
    </row>
    <row r="761">
      <c r="A761">
        <f>'对齐'!A761</f>
        <v/>
      </c>
      <c r="B761">
        <f>'对齐'!B761/'对齐'!B760-1</f>
        <v/>
      </c>
      <c r="C761">
        <f>'对齐'!B761/'对齐'!B$2*100</f>
        <v/>
      </c>
      <c r="D761">
        <f>'对齐'!B761/MAX('对齐'!B$2:'对齐'!B761)-1</f>
        <v/>
      </c>
      <c r="E761">
        <f>IF(ROW()-2&gt;='参数'!$B$2,STDEV(OFFSET(B761,1-'参数'!$B$2,0,'参数'!$B$2,1))*SQRT('参数'!$B$3),"")</f>
        <v/>
      </c>
      <c r="F761">
        <f>'对齐'!C761/'对齐'!C760-1</f>
        <v/>
      </c>
      <c r="G761">
        <f>'对齐'!C761/'对齐'!C$2*100</f>
        <v/>
      </c>
      <c r="H761">
        <f>'对齐'!C761/MAX('对齐'!C$2:'对齐'!C761)-1</f>
        <v/>
      </c>
      <c r="I761">
        <f>IF(ROW()-2&gt;='参数'!$B$2,STDEV(OFFSET(F761,1-'参数'!$B$2,0,'参数'!$B$2,1))*SQRT('参数'!$B$3),"")</f>
        <v/>
      </c>
    </row>
    <row r="762">
      <c r="A762">
        <f>'对齐'!A762</f>
        <v/>
      </c>
      <c r="B762">
        <f>'对齐'!B762/'对齐'!B761-1</f>
        <v/>
      </c>
      <c r="C762">
        <f>'对齐'!B762/'对齐'!B$2*100</f>
        <v/>
      </c>
      <c r="D762">
        <f>'对齐'!B762/MAX('对齐'!B$2:'对齐'!B762)-1</f>
        <v/>
      </c>
      <c r="E762">
        <f>IF(ROW()-2&gt;='参数'!$B$2,STDEV(OFFSET(B762,1-'参数'!$B$2,0,'参数'!$B$2,1))*SQRT('参数'!$B$3),"")</f>
        <v/>
      </c>
      <c r="F762">
        <f>'对齐'!C762/'对齐'!C761-1</f>
        <v/>
      </c>
      <c r="G762">
        <f>'对齐'!C762/'对齐'!C$2*100</f>
        <v/>
      </c>
      <c r="H762">
        <f>'对齐'!C762/MAX('对齐'!C$2:'对齐'!C762)-1</f>
        <v/>
      </c>
      <c r="I762">
        <f>IF(ROW()-2&gt;='参数'!$B$2,STDEV(OFFSET(F762,1-'参数'!$B$2,0,'参数'!$B$2,1))*SQRT('参数'!$B$3),"")</f>
        <v/>
      </c>
    </row>
    <row r="763">
      <c r="A763">
        <f>'对齐'!A763</f>
        <v/>
      </c>
      <c r="B763">
        <f>'对齐'!B763/'对齐'!B762-1</f>
        <v/>
      </c>
      <c r="C763">
        <f>'对齐'!B763/'对齐'!B$2*100</f>
        <v/>
      </c>
      <c r="D763">
        <f>'对齐'!B763/MAX('对齐'!B$2:'对齐'!B763)-1</f>
        <v/>
      </c>
      <c r="E763">
        <f>IF(ROW()-2&gt;='参数'!$B$2,STDEV(OFFSET(B763,1-'参数'!$B$2,0,'参数'!$B$2,1))*SQRT('参数'!$B$3),"")</f>
        <v/>
      </c>
      <c r="F763">
        <f>'对齐'!C763/'对齐'!C762-1</f>
        <v/>
      </c>
      <c r="G763">
        <f>'对齐'!C763/'对齐'!C$2*100</f>
        <v/>
      </c>
      <c r="H763">
        <f>'对齐'!C763/MAX('对齐'!C$2:'对齐'!C763)-1</f>
        <v/>
      </c>
      <c r="I763">
        <f>IF(ROW()-2&gt;='参数'!$B$2,STDEV(OFFSET(F763,1-'参数'!$B$2,0,'参数'!$B$2,1))*SQRT('参数'!$B$3),"")</f>
        <v/>
      </c>
    </row>
    <row r="764">
      <c r="A764">
        <f>'对齐'!A764</f>
        <v/>
      </c>
      <c r="B764">
        <f>'对齐'!B764/'对齐'!B763-1</f>
        <v/>
      </c>
      <c r="C764">
        <f>'对齐'!B764/'对齐'!B$2*100</f>
        <v/>
      </c>
      <c r="D764">
        <f>'对齐'!B764/MAX('对齐'!B$2:'对齐'!B764)-1</f>
        <v/>
      </c>
      <c r="E764">
        <f>IF(ROW()-2&gt;='参数'!$B$2,STDEV(OFFSET(B764,1-'参数'!$B$2,0,'参数'!$B$2,1))*SQRT('参数'!$B$3),"")</f>
        <v/>
      </c>
      <c r="F764">
        <f>'对齐'!C764/'对齐'!C763-1</f>
        <v/>
      </c>
      <c r="G764">
        <f>'对齐'!C764/'对齐'!C$2*100</f>
        <v/>
      </c>
      <c r="H764">
        <f>'对齐'!C764/MAX('对齐'!C$2:'对齐'!C764)-1</f>
        <v/>
      </c>
      <c r="I764">
        <f>IF(ROW()-2&gt;='参数'!$B$2,STDEV(OFFSET(F764,1-'参数'!$B$2,0,'参数'!$B$2,1))*SQRT('参数'!$B$3),"")</f>
        <v/>
      </c>
    </row>
    <row r="765">
      <c r="A765">
        <f>'对齐'!A765</f>
        <v/>
      </c>
      <c r="B765">
        <f>'对齐'!B765/'对齐'!B764-1</f>
        <v/>
      </c>
      <c r="C765">
        <f>'对齐'!B765/'对齐'!B$2*100</f>
        <v/>
      </c>
      <c r="D765">
        <f>'对齐'!B765/MAX('对齐'!B$2:'对齐'!B765)-1</f>
        <v/>
      </c>
      <c r="E765">
        <f>IF(ROW()-2&gt;='参数'!$B$2,STDEV(OFFSET(B765,1-'参数'!$B$2,0,'参数'!$B$2,1))*SQRT('参数'!$B$3),"")</f>
        <v/>
      </c>
      <c r="F765">
        <f>'对齐'!C765/'对齐'!C764-1</f>
        <v/>
      </c>
      <c r="G765">
        <f>'对齐'!C765/'对齐'!C$2*100</f>
        <v/>
      </c>
      <c r="H765">
        <f>'对齐'!C765/MAX('对齐'!C$2:'对齐'!C765)-1</f>
        <v/>
      </c>
      <c r="I765">
        <f>IF(ROW()-2&gt;='参数'!$B$2,STDEV(OFFSET(F765,1-'参数'!$B$2,0,'参数'!$B$2,1))*SQRT('参数'!$B$3),"")</f>
        <v/>
      </c>
    </row>
    <row r="766">
      <c r="A766">
        <f>'对齐'!A766</f>
        <v/>
      </c>
      <c r="B766">
        <f>'对齐'!B766/'对齐'!B765-1</f>
        <v/>
      </c>
      <c r="C766">
        <f>'对齐'!B766/'对齐'!B$2*100</f>
        <v/>
      </c>
      <c r="D766">
        <f>'对齐'!B766/MAX('对齐'!B$2:'对齐'!B766)-1</f>
        <v/>
      </c>
      <c r="E766">
        <f>IF(ROW()-2&gt;='参数'!$B$2,STDEV(OFFSET(B766,1-'参数'!$B$2,0,'参数'!$B$2,1))*SQRT('参数'!$B$3),"")</f>
        <v/>
      </c>
      <c r="F766">
        <f>'对齐'!C766/'对齐'!C765-1</f>
        <v/>
      </c>
      <c r="G766">
        <f>'对齐'!C766/'对齐'!C$2*100</f>
        <v/>
      </c>
      <c r="H766">
        <f>'对齐'!C766/MAX('对齐'!C$2:'对齐'!C766)-1</f>
        <v/>
      </c>
      <c r="I766">
        <f>IF(ROW()-2&gt;='参数'!$B$2,STDEV(OFFSET(F766,1-'参数'!$B$2,0,'参数'!$B$2,1))*SQRT('参数'!$B$3),"")</f>
        <v/>
      </c>
    </row>
    <row r="767">
      <c r="A767">
        <f>'对齐'!A767</f>
        <v/>
      </c>
      <c r="B767">
        <f>'对齐'!B767/'对齐'!B766-1</f>
        <v/>
      </c>
      <c r="C767">
        <f>'对齐'!B767/'对齐'!B$2*100</f>
        <v/>
      </c>
      <c r="D767">
        <f>'对齐'!B767/MAX('对齐'!B$2:'对齐'!B767)-1</f>
        <v/>
      </c>
      <c r="E767">
        <f>IF(ROW()-2&gt;='参数'!$B$2,STDEV(OFFSET(B767,1-'参数'!$B$2,0,'参数'!$B$2,1))*SQRT('参数'!$B$3),"")</f>
        <v/>
      </c>
      <c r="F767">
        <f>'对齐'!C767/'对齐'!C766-1</f>
        <v/>
      </c>
      <c r="G767">
        <f>'对齐'!C767/'对齐'!C$2*100</f>
        <v/>
      </c>
      <c r="H767">
        <f>'对齐'!C767/MAX('对齐'!C$2:'对齐'!C767)-1</f>
        <v/>
      </c>
      <c r="I767">
        <f>IF(ROW()-2&gt;='参数'!$B$2,STDEV(OFFSET(F767,1-'参数'!$B$2,0,'参数'!$B$2,1))*SQRT('参数'!$B$3),"")</f>
        <v/>
      </c>
    </row>
    <row r="768">
      <c r="A768">
        <f>'对齐'!A768</f>
        <v/>
      </c>
      <c r="B768">
        <f>'对齐'!B768/'对齐'!B767-1</f>
        <v/>
      </c>
      <c r="C768">
        <f>'对齐'!B768/'对齐'!B$2*100</f>
        <v/>
      </c>
      <c r="D768">
        <f>'对齐'!B768/MAX('对齐'!B$2:'对齐'!B768)-1</f>
        <v/>
      </c>
      <c r="E768">
        <f>IF(ROW()-2&gt;='参数'!$B$2,STDEV(OFFSET(B768,1-'参数'!$B$2,0,'参数'!$B$2,1))*SQRT('参数'!$B$3),"")</f>
        <v/>
      </c>
      <c r="F768">
        <f>'对齐'!C768/'对齐'!C767-1</f>
        <v/>
      </c>
      <c r="G768">
        <f>'对齐'!C768/'对齐'!C$2*100</f>
        <v/>
      </c>
      <c r="H768">
        <f>'对齐'!C768/MAX('对齐'!C$2:'对齐'!C768)-1</f>
        <v/>
      </c>
      <c r="I768">
        <f>IF(ROW()-2&gt;='参数'!$B$2,STDEV(OFFSET(F768,1-'参数'!$B$2,0,'参数'!$B$2,1))*SQRT('参数'!$B$3),"")</f>
        <v/>
      </c>
    </row>
    <row r="769">
      <c r="A769">
        <f>'对齐'!A769</f>
        <v/>
      </c>
      <c r="B769">
        <f>'对齐'!B769/'对齐'!B768-1</f>
        <v/>
      </c>
      <c r="C769">
        <f>'对齐'!B769/'对齐'!B$2*100</f>
        <v/>
      </c>
      <c r="D769">
        <f>'对齐'!B769/MAX('对齐'!B$2:'对齐'!B769)-1</f>
        <v/>
      </c>
      <c r="E769">
        <f>IF(ROW()-2&gt;='参数'!$B$2,STDEV(OFFSET(B769,1-'参数'!$B$2,0,'参数'!$B$2,1))*SQRT('参数'!$B$3),"")</f>
        <v/>
      </c>
      <c r="F769">
        <f>'对齐'!C769/'对齐'!C768-1</f>
        <v/>
      </c>
      <c r="G769">
        <f>'对齐'!C769/'对齐'!C$2*100</f>
        <v/>
      </c>
      <c r="H769">
        <f>'对齐'!C769/MAX('对齐'!C$2:'对齐'!C769)-1</f>
        <v/>
      </c>
      <c r="I769">
        <f>IF(ROW()-2&gt;='参数'!$B$2,STDEV(OFFSET(F769,1-'参数'!$B$2,0,'参数'!$B$2,1))*SQRT('参数'!$B$3),"")</f>
        <v/>
      </c>
    </row>
    <row r="770">
      <c r="A770">
        <f>'对齐'!A770</f>
        <v/>
      </c>
      <c r="B770">
        <f>'对齐'!B770/'对齐'!B769-1</f>
        <v/>
      </c>
      <c r="C770">
        <f>'对齐'!B770/'对齐'!B$2*100</f>
        <v/>
      </c>
      <c r="D770">
        <f>'对齐'!B770/MAX('对齐'!B$2:'对齐'!B770)-1</f>
        <v/>
      </c>
      <c r="E770">
        <f>IF(ROW()-2&gt;='参数'!$B$2,STDEV(OFFSET(B770,1-'参数'!$B$2,0,'参数'!$B$2,1))*SQRT('参数'!$B$3),"")</f>
        <v/>
      </c>
      <c r="F770">
        <f>'对齐'!C770/'对齐'!C769-1</f>
        <v/>
      </c>
      <c r="G770">
        <f>'对齐'!C770/'对齐'!C$2*100</f>
        <v/>
      </c>
      <c r="H770">
        <f>'对齐'!C770/MAX('对齐'!C$2:'对齐'!C770)-1</f>
        <v/>
      </c>
      <c r="I770">
        <f>IF(ROW()-2&gt;='参数'!$B$2,STDEV(OFFSET(F770,1-'参数'!$B$2,0,'参数'!$B$2,1))*SQRT('参数'!$B$3),"")</f>
        <v/>
      </c>
    </row>
    <row r="771">
      <c r="A771">
        <f>'对齐'!A771</f>
        <v/>
      </c>
      <c r="B771">
        <f>'对齐'!B771/'对齐'!B770-1</f>
        <v/>
      </c>
      <c r="C771">
        <f>'对齐'!B771/'对齐'!B$2*100</f>
        <v/>
      </c>
      <c r="D771">
        <f>'对齐'!B771/MAX('对齐'!B$2:'对齐'!B771)-1</f>
        <v/>
      </c>
      <c r="E771">
        <f>IF(ROW()-2&gt;='参数'!$B$2,STDEV(OFFSET(B771,1-'参数'!$B$2,0,'参数'!$B$2,1))*SQRT('参数'!$B$3),"")</f>
        <v/>
      </c>
      <c r="F771">
        <f>'对齐'!C771/'对齐'!C770-1</f>
        <v/>
      </c>
      <c r="G771">
        <f>'对齐'!C771/'对齐'!C$2*100</f>
        <v/>
      </c>
      <c r="H771">
        <f>'对齐'!C771/MAX('对齐'!C$2:'对齐'!C771)-1</f>
        <v/>
      </c>
      <c r="I771">
        <f>IF(ROW()-2&gt;='参数'!$B$2,STDEV(OFFSET(F771,1-'参数'!$B$2,0,'参数'!$B$2,1))*SQRT('参数'!$B$3),"")</f>
        <v/>
      </c>
    </row>
    <row r="772">
      <c r="A772">
        <f>'对齐'!A772</f>
        <v/>
      </c>
      <c r="B772">
        <f>'对齐'!B772/'对齐'!B771-1</f>
        <v/>
      </c>
      <c r="C772">
        <f>'对齐'!B772/'对齐'!B$2*100</f>
        <v/>
      </c>
      <c r="D772">
        <f>'对齐'!B772/MAX('对齐'!B$2:'对齐'!B772)-1</f>
        <v/>
      </c>
      <c r="E772">
        <f>IF(ROW()-2&gt;='参数'!$B$2,STDEV(OFFSET(B772,1-'参数'!$B$2,0,'参数'!$B$2,1))*SQRT('参数'!$B$3),"")</f>
        <v/>
      </c>
      <c r="F772">
        <f>'对齐'!C772/'对齐'!C771-1</f>
        <v/>
      </c>
      <c r="G772">
        <f>'对齐'!C772/'对齐'!C$2*100</f>
        <v/>
      </c>
      <c r="H772">
        <f>'对齐'!C772/MAX('对齐'!C$2:'对齐'!C772)-1</f>
        <v/>
      </c>
      <c r="I772">
        <f>IF(ROW()-2&gt;='参数'!$B$2,STDEV(OFFSET(F772,1-'参数'!$B$2,0,'参数'!$B$2,1))*SQRT('参数'!$B$3),"")</f>
        <v/>
      </c>
    </row>
    <row r="773">
      <c r="A773">
        <f>'对齐'!A773</f>
        <v/>
      </c>
      <c r="B773">
        <f>'对齐'!B773/'对齐'!B772-1</f>
        <v/>
      </c>
      <c r="C773">
        <f>'对齐'!B773/'对齐'!B$2*100</f>
        <v/>
      </c>
      <c r="D773">
        <f>'对齐'!B773/MAX('对齐'!B$2:'对齐'!B773)-1</f>
        <v/>
      </c>
      <c r="E773">
        <f>IF(ROW()-2&gt;='参数'!$B$2,STDEV(OFFSET(B773,1-'参数'!$B$2,0,'参数'!$B$2,1))*SQRT('参数'!$B$3),"")</f>
        <v/>
      </c>
      <c r="F773">
        <f>'对齐'!C773/'对齐'!C772-1</f>
        <v/>
      </c>
      <c r="G773">
        <f>'对齐'!C773/'对齐'!C$2*100</f>
        <v/>
      </c>
      <c r="H773">
        <f>'对齐'!C773/MAX('对齐'!C$2:'对齐'!C773)-1</f>
        <v/>
      </c>
      <c r="I773">
        <f>IF(ROW()-2&gt;='参数'!$B$2,STDEV(OFFSET(F773,1-'参数'!$B$2,0,'参数'!$B$2,1))*SQRT('参数'!$B$3),"")</f>
        <v/>
      </c>
    </row>
    <row r="774">
      <c r="A774">
        <f>'对齐'!A774</f>
        <v/>
      </c>
      <c r="B774">
        <f>'对齐'!B774/'对齐'!B773-1</f>
        <v/>
      </c>
      <c r="C774">
        <f>'对齐'!B774/'对齐'!B$2*100</f>
        <v/>
      </c>
      <c r="D774">
        <f>'对齐'!B774/MAX('对齐'!B$2:'对齐'!B774)-1</f>
        <v/>
      </c>
      <c r="E774">
        <f>IF(ROW()-2&gt;='参数'!$B$2,STDEV(OFFSET(B774,1-'参数'!$B$2,0,'参数'!$B$2,1))*SQRT('参数'!$B$3),"")</f>
        <v/>
      </c>
      <c r="F774">
        <f>'对齐'!C774/'对齐'!C773-1</f>
        <v/>
      </c>
      <c r="G774">
        <f>'对齐'!C774/'对齐'!C$2*100</f>
        <v/>
      </c>
      <c r="H774">
        <f>'对齐'!C774/MAX('对齐'!C$2:'对齐'!C774)-1</f>
        <v/>
      </c>
      <c r="I774">
        <f>IF(ROW()-2&gt;='参数'!$B$2,STDEV(OFFSET(F774,1-'参数'!$B$2,0,'参数'!$B$2,1))*SQRT('参数'!$B$3),"")</f>
        <v/>
      </c>
    </row>
    <row r="775">
      <c r="A775">
        <f>'对齐'!A775</f>
        <v/>
      </c>
      <c r="B775">
        <f>'对齐'!B775/'对齐'!B774-1</f>
        <v/>
      </c>
      <c r="C775">
        <f>'对齐'!B775/'对齐'!B$2*100</f>
        <v/>
      </c>
      <c r="D775">
        <f>'对齐'!B775/MAX('对齐'!B$2:'对齐'!B775)-1</f>
        <v/>
      </c>
      <c r="E775">
        <f>IF(ROW()-2&gt;='参数'!$B$2,STDEV(OFFSET(B775,1-'参数'!$B$2,0,'参数'!$B$2,1))*SQRT('参数'!$B$3),"")</f>
        <v/>
      </c>
      <c r="F775">
        <f>'对齐'!C775/'对齐'!C774-1</f>
        <v/>
      </c>
      <c r="G775">
        <f>'对齐'!C775/'对齐'!C$2*100</f>
        <v/>
      </c>
      <c r="H775">
        <f>'对齐'!C775/MAX('对齐'!C$2:'对齐'!C775)-1</f>
        <v/>
      </c>
      <c r="I775">
        <f>IF(ROW()-2&gt;='参数'!$B$2,STDEV(OFFSET(F775,1-'参数'!$B$2,0,'参数'!$B$2,1))*SQRT('参数'!$B$3),"")</f>
        <v/>
      </c>
    </row>
    <row r="776">
      <c r="A776">
        <f>'对齐'!A776</f>
        <v/>
      </c>
      <c r="B776">
        <f>'对齐'!B776/'对齐'!B775-1</f>
        <v/>
      </c>
      <c r="C776">
        <f>'对齐'!B776/'对齐'!B$2*100</f>
        <v/>
      </c>
      <c r="D776">
        <f>'对齐'!B776/MAX('对齐'!B$2:'对齐'!B776)-1</f>
        <v/>
      </c>
      <c r="E776">
        <f>IF(ROW()-2&gt;='参数'!$B$2,STDEV(OFFSET(B776,1-'参数'!$B$2,0,'参数'!$B$2,1))*SQRT('参数'!$B$3),"")</f>
        <v/>
      </c>
      <c r="F776">
        <f>'对齐'!C776/'对齐'!C775-1</f>
        <v/>
      </c>
      <c r="G776">
        <f>'对齐'!C776/'对齐'!C$2*100</f>
        <v/>
      </c>
      <c r="H776">
        <f>'对齐'!C776/MAX('对齐'!C$2:'对齐'!C776)-1</f>
        <v/>
      </c>
      <c r="I776">
        <f>IF(ROW()-2&gt;='参数'!$B$2,STDEV(OFFSET(F776,1-'参数'!$B$2,0,'参数'!$B$2,1))*SQRT('参数'!$B$3),"")</f>
        <v/>
      </c>
    </row>
    <row r="777">
      <c r="A777">
        <f>'对齐'!A777</f>
        <v/>
      </c>
      <c r="B777">
        <f>'对齐'!B777/'对齐'!B776-1</f>
        <v/>
      </c>
      <c r="C777">
        <f>'对齐'!B777/'对齐'!B$2*100</f>
        <v/>
      </c>
      <c r="D777">
        <f>'对齐'!B777/MAX('对齐'!B$2:'对齐'!B777)-1</f>
        <v/>
      </c>
      <c r="E777">
        <f>IF(ROW()-2&gt;='参数'!$B$2,STDEV(OFFSET(B777,1-'参数'!$B$2,0,'参数'!$B$2,1))*SQRT('参数'!$B$3),"")</f>
        <v/>
      </c>
      <c r="F777">
        <f>'对齐'!C777/'对齐'!C776-1</f>
        <v/>
      </c>
      <c r="G777">
        <f>'对齐'!C777/'对齐'!C$2*100</f>
        <v/>
      </c>
      <c r="H777">
        <f>'对齐'!C777/MAX('对齐'!C$2:'对齐'!C777)-1</f>
        <v/>
      </c>
      <c r="I777">
        <f>IF(ROW()-2&gt;='参数'!$B$2,STDEV(OFFSET(F777,1-'参数'!$B$2,0,'参数'!$B$2,1))*SQRT('参数'!$B$3),"")</f>
        <v/>
      </c>
    </row>
    <row r="778">
      <c r="A778">
        <f>'对齐'!A778</f>
        <v/>
      </c>
      <c r="B778">
        <f>'对齐'!B778/'对齐'!B777-1</f>
        <v/>
      </c>
      <c r="C778">
        <f>'对齐'!B778/'对齐'!B$2*100</f>
        <v/>
      </c>
      <c r="D778">
        <f>'对齐'!B778/MAX('对齐'!B$2:'对齐'!B778)-1</f>
        <v/>
      </c>
      <c r="E778">
        <f>IF(ROW()-2&gt;='参数'!$B$2,STDEV(OFFSET(B778,1-'参数'!$B$2,0,'参数'!$B$2,1))*SQRT('参数'!$B$3),"")</f>
        <v/>
      </c>
      <c r="F778">
        <f>'对齐'!C778/'对齐'!C777-1</f>
        <v/>
      </c>
      <c r="G778">
        <f>'对齐'!C778/'对齐'!C$2*100</f>
        <v/>
      </c>
      <c r="H778">
        <f>'对齐'!C778/MAX('对齐'!C$2:'对齐'!C778)-1</f>
        <v/>
      </c>
      <c r="I778">
        <f>IF(ROW()-2&gt;='参数'!$B$2,STDEV(OFFSET(F778,1-'参数'!$B$2,0,'参数'!$B$2,1))*SQRT('参数'!$B$3),"")</f>
        <v/>
      </c>
    </row>
    <row r="779">
      <c r="A779">
        <f>'对齐'!A779</f>
        <v/>
      </c>
      <c r="B779">
        <f>'对齐'!B779/'对齐'!B778-1</f>
        <v/>
      </c>
      <c r="C779">
        <f>'对齐'!B779/'对齐'!B$2*100</f>
        <v/>
      </c>
      <c r="D779">
        <f>'对齐'!B779/MAX('对齐'!B$2:'对齐'!B779)-1</f>
        <v/>
      </c>
      <c r="E779">
        <f>IF(ROW()-2&gt;='参数'!$B$2,STDEV(OFFSET(B779,1-'参数'!$B$2,0,'参数'!$B$2,1))*SQRT('参数'!$B$3),"")</f>
        <v/>
      </c>
      <c r="F779">
        <f>'对齐'!C779/'对齐'!C778-1</f>
        <v/>
      </c>
      <c r="G779">
        <f>'对齐'!C779/'对齐'!C$2*100</f>
        <v/>
      </c>
      <c r="H779">
        <f>'对齐'!C779/MAX('对齐'!C$2:'对齐'!C779)-1</f>
        <v/>
      </c>
      <c r="I779">
        <f>IF(ROW()-2&gt;='参数'!$B$2,STDEV(OFFSET(F779,1-'参数'!$B$2,0,'参数'!$B$2,1))*SQRT('参数'!$B$3),"")</f>
        <v/>
      </c>
    </row>
    <row r="780">
      <c r="A780">
        <f>'对齐'!A780</f>
        <v/>
      </c>
      <c r="B780">
        <f>'对齐'!B780/'对齐'!B779-1</f>
        <v/>
      </c>
      <c r="C780">
        <f>'对齐'!B780/'对齐'!B$2*100</f>
        <v/>
      </c>
      <c r="D780">
        <f>'对齐'!B780/MAX('对齐'!B$2:'对齐'!B780)-1</f>
        <v/>
      </c>
      <c r="E780">
        <f>IF(ROW()-2&gt;='参数'!$B$2,STDEV(OFFSET(B780,1-'参数'!$B$2,0,'参数'!$B$2,1))*SQRT('参数'!$B$3),"")</f>
        <v/>
      </c>
      <c r="F780">
        <f>'对齐'!C780/'对齐'!C779-1</f>
        <v/>
      </c>
      <c r="G780">
        <f>'对齐'!C780/'对齐'!C$2*100</f>
        <v/>
      </c>
      <c r="H780">
        <f>'对齐'!C780/MAX('对齐'!C$2:'对齐'!C780)-1</f>
        <v/>
      </c>
      <c r="I780">
        <f>IF(ROW()-2&gt;='参数'!$B$2,STDEV(OFFSET(F780,1-'参数'!$B$2,0,'参数'!$B$2,1))*SQRT('参数'!$B$3),"")</f>
        <v/>
      </c>
    </row>
    <row r="781">
      <c r="A781">
        <f>'对齐'!A781</f>
        <v/>
      </c>
      <c r="B781">
        <f>'对齐'!B781/'对齐'!B780-1</f>
        <v/>
      </c>
      <c r="C781">
        <f>'对齐'!B781/'对齐'!B$2*100</f>
        <v/>
      </c>
      <c r="D781">
        <f>'对齐'!B781/MAX('对齐'!B$2:'对齐'!B781)-1</f>
        <v/>
      </c>
      <c r="E781">
        <f>IF(ROW()-2&gt;='参数'!$B$2,STDEV(OFFSET(B781,1-'参数'!$B$2,0,'参数'!$B$2,1))*SQRT('参数'!$B$3),"")</f>
        <v/>
      </c>
      <c r="F781">
        <f>'对齐'!C781/'对齐'!C780-1</f>
        <v/>
      </c>
      <c r="G781">
        <f>'对齐'!C781/'对齐'!C$2*100</f>
        <v/>
      </c>
      <c r="H781">
        <f>'对齐'!C781/MAX('对齐'!C$2:'对齐'!C781)-1</f>
        <v/>
      </c>
      <c r="I781">
        <f>IF(ROW()-2&gt;='参数'!$B$2,STDEV(OFFSET(F781,1-'参数'!$B$2,0,'参数'!$B$2,1))*SQRT('参数'!$B$3),"")</f>
        <v/>
      </c>
    </row>
    <row r="782">
      <c r="A782">
        <f>'对齐'!A782</f>
        <v/>
      </c>
      <c r="B782">
        <f>'对齐'!B782/'对齐'!B781-1</f>
        <v/>
      </c>
      <c r="C782">
        <f>'对齐'!B782/'对齐'!B$2*100</f>
        <v/>
      </c>
      <c r="D782">
        <f>'对齐'!B782/MAX('对齐'!B$2:'对齐'!B782)-1</f>
        <v/>
      </c>
      <c r="E782">
        <f>IF(ROW()-2&gt;='参数'!$B$2,STDEV(OFFSET(B782,1-'参数'!$B$2,0,'参数'!$B$2,1))*SQRT('参数'!$B$3),"")</f>
        <v/>
      </c>
      <c r="F782">
        <f>'对齐'!C782/'对齐'!C781-1</f>
        <v/>
      </c>
      <c r="G782">
        <f>'对齐'!C782/'对齐'!C$2*100</f>
        <v/>
      </c>
      <c r="H782">
        <f>'对齐'!C782/MAX('对齐'!C$2:'对齐'!C782)-1</f>
        <v/>
      </c>
      <c r="I782">
        <f>IF(ROW()-2&gt;='参数'!$B$2,STDEV(OFFSET(F782,1-'参数'!$B$2,0,'参数'!$B$2,1))*SQRT('参数'!$B$3),"")</f>
        <v/>
      </c>
    </row>
    <row r="783">
      <c r="A783">
        <f>'对齐'!A783</f>
        <v/>
      </c>
      <c r="B783">
        <f>'对齐'!B783/'对齐'!B782-1</f>
        <v/>
      </c>
      <c r="C783">
        <f>'对齐'!B783/'对齐'!B$2*100</f>
        <v/>
      </c>
      <c r="D783">
        <f>'对齐'!B783/MAX('对齐'!B$2:'对齐'!B783)-1</f>
        <v/>
      </c>
      <c r="E783">
        <f>IF(ROW()-2&gt;='参数'!$B$2,STDEV(OFFSET(B783,1-'参数'!$B$2,0,'参数'!$B$2,1))*SQRT('参数'!$B$3),"")</f>
        <v/>
      </c>
      <c r="F783">
        <f>'对齐'!C783/'对齐'!C782-1</f>
        <v/>
      </c>
      <c r="G783">
        <f>'对齐'!C783/'对齐'!C$2*100</f>
        <v/>
      </c>
      <c r="H783">
        <f>'对齐'!C783/MAX('对齐'!C$2:'对齐'!C783)-1</f>
        <v/>
      </c>
      <c r="I783">
        <f>IF(ROW()-2&gt;='参数'!$B$2,STDEV(OFFSET(F783,1-'参数'!$B$2,0,'参数'!$B$2,1))*SQRT('参数'!$B$3),"")</f>
        <v/>
      </c>
    </row>
    <row r="784">
      <c r="A784">
        <f>'对齐'!A784</f>
        <v/>
      </c>
      <c r="B784">
        <f>'对齐'!B784/'对齐'!B783-1</f>
        <v/>
      </c>
      <c r="C784">
        <f>'对齐'!B784/'对齐'!B$2*100</f>
        <v/>
      </c>
      <c r="D784">
        <f>'对齐'!B784/MAX('对齐'!B$2:'对齐'!B784)-1</f>
        <v/>
      </c>
      <c r="E784">
        <f>IF(ROW()-2&gt;='参数'!$B$2,STDEV(OFFSET(B784,1-'参数'!$B$2,0,'参数'!$B$2,1))*SQRT('参数'!$B$3),"")</f>
        <v/>
      </c>
      <c r="F784">
        <f>'对齐'!C784/'对齐'!C783-1</f>
        <v/>
      </c>
      <c r="G784">
        <f>'对齐'!C784/'对齐'!C$2*100</f>
        <v/>
      </c>
      <c r="H784">
        <f>'对齐'!C784/MAX('对齐'!C$2:'对齐'!C784)-1</f>
        <v/>
      </c>
      <c r="I784">
        <f>IF(ROW()-2&gt;='参数'!$B$2,STDEV(OFFSET(F784,1-'参数'!$B$2,0,'参数'!$B$2,1))*SQRT('参数'!$B$3),"")</f>
        <v/>
      </c>
    </row>
    <row r="785">
      <c r="A785">
        <f>'对齐'!A785</f>
        <v/>
      </c>
      <c r="B785">
        <f>'对齐'!B785/'对齐'!B784-1</f>
        <v/>
      </c>
      <c r="C785">
        <f>'对齐'!B785/'对齐'!B$2*100</f>
        <v/>
      </c>
      <c r="D785">
        <f>'对齐'!B785/MAX('对齐'!B$2:'对齐'!B785)-1</f>
        <v/>
      </c>
      <c r="E785">
        <f>IF(ROW()-2&gt;='参数'!$B$2,STDEV(OFFSET(B785,1-'参数'!$B$2,0,'参数'!$B$2,1))*SQRT('参数'!$B$3),"")</f>
        <v/>
      </c>
      <c r="F785">
        <f>'对齐'!C785/'对齐'!C784-1</f>
        <v/>
      </c>
      <c r="G785">
        <f>'对齐'!C785/'对齐'!C$2*100</f>
        <v/>
      </c>
      <c r="H785">
        <f>'对齐'!C785/MAX('对齐'!C$2:'对齐'!C785)-1</f>
        <v/>
      </c>
      <c r="I785">
        <f>IF(ROW()-2&gt;='参数'!$B$2,STDEV(OFFSET(F785,1-'参数'!$B$2,0,'参数'!$B$2,1))*SQRT('参数'!$B$3),"")</f>
        <v/>
      </c>
    </row>
    <row r="786">
      <c r="A786">
        <f>'对齐'!A786</f>
        <v/>
      </c>
      <c r="B786">
        <f>'对齐'!B786/'对齐'!B785-1</f>
        <v/>
      </c>
      <c r="C786">
        <f>'对齐'!B786/'对齐'!B$2*100</f>
        <v/>
      </c>
      <c r="D786">
        <f>'对齐'!B786/MAX('对齐'!B$2:'对齐'!B786)-1</f>
        <v/>
      </c>
      <c r="E786">
        <f>IF(ROW()-2&gt;='参数'!$B$2,STDEV(OFFSET(B786,1-'参数'!$B$2,0,'参数'!$B$2,1))*SQRT('参数'!$B$3),"")</f>
        <v/>
      </c>
      <c r="F786">
        <f>'对齐'!C786/'对齐'!C785-1</f>
        <v/>
      </c>
      <c r="G786">
        <f>'对齐'!C786/'对齐'!C$2*100</f>
        <v/>
      </c>
      <c r="H786">
        <f>'对齐'!C786/MAX('对齐'!C$2:'对齐'!C786)-1</f>
        <v/>
      </c>
      <c r="I786">
        <f>IF(ROW()-2&gt;='参数'!$B$2,STDEV(OFFSET(F786,1-'参数'!$B$2,0,'参数'!$B$2,1))*SQRT('参数'!$B$3),"")</f>
        <v/>
      </c>
    </row>
    <row r="787">
      <c r="A787">
        <f>'对齐'!A787</f>
        <v/>
      </c>
      <c r="B787">
        <f>'对齐'!B787/'对齐'!B786-1</f>
        <v/>
      </c>
      <c r="C787">
        <f>'对齐'!B787/'对齐'!B$2*100</f>
        <v/>
      </c>
      <c r="D787">
        <f>'对齐'!B787/MAX('对齐'!B$2:'对齐'!B787)-1</f>
        <v/>
      </c>
      <c r="E787">
        <f>IF(ROW()-2&gt;='参数'!$B$2,STDEV(OFFSET(B787,1-'参数'!$B$2,0,'参数'!$B$2,1))*SQRT('参数'!$B$3),"")</f>
        <v/>
      </c>
      <c r="F787">
        <f>'对齐'!C787/'对齐'!C786-1</f>
        <v/>
      </c>
      <c r="G787">
        <f>'对齐'!C787/'对齐'!C$2*100</f>
        <v/>
      </c>
      <c r="H787">
        <f>'对齐'!C787/MAX('对齐'!C$2:'对齐'!C787)-1</f>
        <v/>
      </c>
      <c r="I787">
        <f>IF(ROW()-2&gt;='参数'!$B$2,STDEV(OFFSET(F787,1-'参数'!$B$2,0,'参数'!$B$2,1))*SQRT('参数'!$B$3),"")</f>
        <v/>
      </c>
    </row>
    <row r="788">
      <c r="A788">
        <f>'对齐'!A788</f>
        <v/>
      </c>
      <c r="B788">
        <f>'对齐'!B788/'对齐'!B787-1</f>
        <v/>
      </c>
      <c r="C788">
        <f>'对齐'!B788/'对齐'!B$2*100</f>
        <v/>
      </c>
      <c r="D788">
        <f>'对齐'!B788/MAX('对齐'!B$2:'对齐'!B788)-1</f>
        <v/>
      </c>
      <c r="E788">
        <f>IF(ROW()-2&gt;='参数'!$B$2,STDEV(OFFSET(B788,1-'参数'!$B$2,0,'参数'!$B$2,1))*SQRT('参数'!$B$3),"")</f>
        <v/>
      </c>
      <c r="F788">
        <f>'对齐'!C788/'对齐'!C787-1</f>
        <v/>
      </c>
      <c r="G788">
        <f>'对齐'!C788/'对齐'!C$2*100</f>
        <v/>
      </c>
      <c r="H788">
        <f>'对齐'!C788/MAX('对齐'!C$2:'对齐'!C788)-1</f>
        <v/>
      </c>
      <c r="I788">
        <f>IF(ROW()-2&gt;='参数'!$B$2,STDEV(OFFSET(F788,1-'参数'!$B$2,0,'参数'!$B$2,1))*SQRT('参数'!$B$3),"")</f>
        <v/>
      </c>
    </row>
    <row r="789">
      <c r="A789">
        <f>'对齐'!A789</f>
        <v/>
      </c>
      <c r="B789">
        <f>'对齐'!B789/'对齐'!B788-1</f>
        <v/>
      </c>
      <c r="C789">
        <f>'对齐'!B789/'对齐'!B$2*100</f>
        <v/>
      </c>
      <c r="D789">
        <f>'对齐'!B789/MAX('对齐'!B$2:'对齐'!B789)-1</f>
        <v/>
      </c>
      <c r="E789">
        <f>IF(ROW()-2&gt;='参数'!$B$2,STDEV(OFFSET(B789,1-'参数'!$B$2,0,'参数'!$B$2,1))*SQRT('参数'!$B$3),"")</f>
        <v/>
      </c>
      <c r="F789">
        <f>'对齐'!C789/'对齐'!C788-1</f>
        <v/>
      </c>
      <c r="G789">
        <f>'对齐'!C789/'对齐'!C$2*100</f>
        <v/>
      </c>
      <c r="H789">
        <f>'对齐'!C789/MAX('对齐'!C$2:'对齐'!C789)-1</f>
        <v/>
      </c>
      <c r="I789">
        <f>IF(ROW()-2&gt;='参数'!$B$2,STDEV(OFFSET(F789,1-'参数'!$B$2,0,'参数'!$B$2,1))*SQRT('参数'!$B$3),"")</f>
        <v/>
      </c>
    </row>
    <row r="790">
      <c r="A790">
        <f>'对齐'!A790</f>
        <v/>
      </c>
      <c r="B790">
        <f>'对齐'!B790/'对齐'!B789-1</f>
        <v/>
      </c>
      <c r="C790">
        <f>'对齐'!B790/'对齐'!B$2*100</f>
        <v/>
      </c>
      <c r="D790">
        <f>'对齐'!B790/MAX('对齐'!B$2:'对齐'!B790)-1</f>
        <v/>
      </c>
      <c r="E790">
        <f>IF(ROW()-2&gt;='参数'!$B$2,STDEV(OFFSET(B790,1-'参数'!$B$2,0,'参数'!$B$2,1))*SQRT('参数'!$B$3),"")</f>
        <v/>
      </c>
      <c r="F790">
        <f>'对齐'!C790/'对齐'!C789-1</f>
        <v/>
      </c>
      <c r="G790">
        <f>'对齐'!C790/'对齐'!C$2*100</f>
        <v/>
      </c>
      <c r="H790">
        <f>'对齐'!C790/MAX('对齐'!C$2:'对齐'!C790)-1</f>
        <v/>
      </c>
      <c r="I790">
        <f>IF(ROW()-2&gt;='参数'!$B$2,STDEV(OFFSET(F790,1-'参数'!$B$2,0,'参数'!$B$2,1))*SQRT('参数'!$B$3),"")</f>
        <v/>
      </c>
    </row>
    <row r="791">
      <c r="A791">
        <f>'对齐'!A791</f>
        <v/>
      </c>
      <c r="B791">
        <f>'对齐'!B791/'对齐'!B790-1</f>
        <v/>
      </c>
      <c r="C791">
        <f>'对齐'!B791/'对齐'!B$2*100</f>
        <v/>
      </c>
      <c r="D791">
        <f>'对齐'!B791/MAX('对齐'!B$2:'对齐'!B791)-1</f>
        <v/>
      </c>
      <c r="E791">
        <f>IF(ROW()-2&gt;='参数'!$B$2,STDEV(OFFSET(B791,1-'参数'!$B$2,0,'参数'!$B$2,1))*SQRT('参数'!$B$3),"")</f>
        <v/>
      </c>
      <c r="F791">
        <f>'对齐'!C791/'对齐'!C790-1</f>
        <v/>
      </c>
      <c r="G791">
        <f>'对齐'!C791/'对齐'!C$2*100</f>
        <v/>
      </c>
      <c r="H791">
        <f>'对齐'!C791/MAX('对齐'!C$2:'对齐'!C791)-1</f>
        <v/>
      </c>
      <c r="I791">
        <f>IF(ROW()-2&gt;='参数'!$B$2,STDEV(OFFSET(F791,1-'参数'!$B$2,0,'参数'!$B$2,1))*SQRT('参数'!$B$3),"")</f>
        <v/>
      </c>
    </row>
    <row r="792">
      <c r="A792">
        <f>'对齐'!A792</f>
        <v/>
      </c>
      <c r="B792">
        <f>'对齐'!B792/'对齐'!B791-1</f>
        <v/>
      </c>
      <c r="C792">
        <f>'对齐'!B792/'对齐'!B$2*100</f>
        <v/>
      </c>
      <c r="D792">
        <f>'对齐'!B792/MAX('对齐'!B$2:'对齐'!B792)-1</f>
        <v/>
      </c>
      <c r="E792">
        <f>IF(ROW()-2&gt;='参数'!$B$2,STDEV(OFFSET(B792,1-'参数'!$B$2,0,'参数'!$B$2,1))*SQRT('参数'!$B$3),"")</f>
        <v/>
      </c>
      <c r="F792">
        <f>'对齐'!C792/'对齐'!C791-1</f>
        <v/>
      </c>
      <c r="G792">
        <f>'对齐'!C792/'对齐'!C$2*100</f>
        <v/>
      </c>
      <c r="H792">
        <f>'对齐'!C792/MAX('对齐'!C$2:'对齐'!C792)-1</f>
        <v/>
      </c>
      <c r="I792">
        <f>IF(ROW()-2&gt;='参数'!$B$2,STDEV(OFFSET(F792,1-'参数'!$B$2,0,'参数'!$B$2,1))*SQRT('参数'!$B$3),"")</f>
        <v/>
      </c>
    </row>
    <row r="793">
      <c r="A793">
        <f>'对齐'!A793</f>
        <v/>
      </c>
      <c r="B793">
        <f>'对齐'!B793/'对齐'!B792-1</f>
        <v/>
      </c>
      <c r="C793">
        <f>'对齐'!B793/'对齐'!B$2*100</f>
        <v/>
      </c>
      <c r="D793">
        <f>'对齐'!B793/MAX('对齐'!B$2:'对齐'!B793)-1</f>
        <v/>
      </c>
      <c r="E793">
        <f>IF(ROW()-2&gt;='参数'!$B$2,STDEV(OFFSET(B793,1-'参数'!$B$2,0,'参数'!$B$2,1))*SQRT('参数'!$B$3),"")</f>
        <v/>
      </c>
      <c r="F793">
        <f>'对齐'!C793/'对齐'!C792-1</f>
        <v/>
      </c>
      <c r="G793">
        <f>'对齐'!C793/'对齐'!C$2*100</f>
        <v/>
      </c>
      <c r="H793">
        <f>'对齐'!C793/MAX('对齐'!C$2:'对齐'!C793)-1</f>
        <v/>
      </c>
      <c r="I793">
        <f>IF(ROW()-2&gt;='参数'!$B$2,STDEV(OFFSET(F793,1-'参数'!$B$2,0,'参数'!$B$2,1))*SQRT('参数'!$B$3),"")</f>
        <v/>
      </c>
    </row>
    <row r="794">
      <c r="A794">
        <f>'对齐'!A794</f>
        <v/>
      </c>
      <c r="B794">
        <f>'对齐'!B794/'对齐'!B793-1</f>
        <v/>
      </c>
      <c r="C794">
        <f>'对齐'!B794/'对齐'!B$2*100</f>
        <v/>
      </c>
      <c r="D794">
        <f>'对齐'!B794/MAX('对齐'!B$2:'对齐'!B794)-1</f>
        <v/>
      </c>
      <c r="E794">
        <f>IF(ROW()-2&gt;='参数'!$B$2,STDEV(OFFSET(B794,1-'参数'!$B$2,0,'参数'!$B$2,1))*SQRT('参数'!$B$3),"")</f>
        <v/>
      </c>
      <c r="F794">
        <f>'对齐'!C794/'对齐'!C793-1</f>
        <v/>
      </c>
      <c r="G794">
        <f>'对齐'!C794/'对齐'!C$2*100</f>
        <v/>
      </c>
      <c r="H794">
        <f>'对齐'!C794/MAX('对齐'!C$2:'对齐'!C794)-1</f>
        <v/>
      </c>
      <c r="I794">
        <f>IF(ROW()-2&gt;='参数'!$B$2,STDEV(OFFSET(F794,1-'参数'!$B$2,0,'参数'!$B$2,1))*SQRT('参数'!$B$3),"")</f>
        <v/>
      </c>
    </row>
    <row r="795">
      <c r="A795">
        <f>'对齐'!A795</f>
        <v/>
      </c>
      <c r="B795">
        <f>'对齐'!B795/'对齐'!B794-1</f>
        <v/>
      </c>
      <c r="C795">
        <f>'对齐'!B795/'对齐'!B$2*100</f>
        <v/>
      </c>
      <c r="D795">
        <f>'对齐'!B795/MAX('对齐'!B$2:'对齐'!B795)-1</f>
        <v/>
      </c>
      <c r="E795">
        <f>IF(ROW()-2&gt;='参数'!$B$2,STDEV(OFFSET(B795,1-'参数'!$B$2,0,'参数'!$B$2,1))*SQRT('参数'!$B$3),"")</f>
        <v/>
      </c>
      <c r="F795">
        <f>'对齐'!C795/'对齐'!C794-1</f>
        <v/>
      </c>
      <c r="G795">
        <f>'对齐'!C795/'对齐'!C$2*100</f>
        <v/>
      </c>
      <c r="H795">
        <f>'对齐'!C795/MAX('对齐'!C$2:'对齐'!C795)-1</f>
        <v/>
      </c>
      <c r="I795">
        <f>IF(ROW()-2&gt;='参数'!$B$2,STDEV(OFFSET(F795,1-'参数'!$B$2,0,'参数'!$B$2,1))*SQRT('参数'!$B$3),"")</f>
        <v/>
      </c>
    </row>
    <row r="796">
      <c r="A796">
        <f>'对齐'!A796</f>
        <v/>
      </c>
      <c r="B796">
        <f>'对齐'!B796/'对齐'!B795-1</f>
        <v/>
      </c>
      <c r="C796">
        <f>'对齐'!B796/'对齐'!B$2*100</f>
        <v/>
      </c>
      <c r="D796">
        <f>'对齐'!B796/MAX('对齐'!B$2:'对齐'!B796)-1</f>
        <v/>
      </c>
      <c r="E796">
        <f>IF(ROW()-2&gt;='参数'!$B$2,STDEV(OFFSET(B796,1-'参数'!$B$2,0,'参数'!$B$2,1))*SQRT('参数'!$B$3),"")</f>
        <v/>
      </c>
      <c r="F796">
        <f>'对齐'!C796/'对齐'!C795-1</f>
        <v/>
      </c>
      <c r="G796">
        <f>'对齐'!C796/'对齐'!C$2*100</f>
        <v/>
      </c>
      <c r="H796">
        <f>'对齐'!C796/MAX('对齐'!C$2:'对齐'!C796)-1</f>
        <v/>
      </c>
      <c r="I796">
        <f>IF(ROW()-2&gt;='参数'!$B$2,STDEV(OFFSET(F796,1-'参数'!$B$2,0,'参数'!$B$2,1))*SQRT('参数'!$B$3),"")</f>
        <v/>
      </c>
    </row>
    <row r="797">
      <c r="A797">
        <f>'对齐'!A797</f>
        <v/>
      </c>
      <c r="B797">
        <f>'对齐'!B797/'对齐'!B796-1</f>
        <v/>
      </c>
      <c r="C797">
        <f>'对齐'!B797/'对齐'!B$2*100</f>
        <v/>
      </c>
      <c r="D797">
        <f>'对齐'!B797/MAX('对齐'!B$2:'对齐'!B797)-1</f>
        <v/>
      </c>
      <c r="E797">
        <f>IF(ROW()-2&gt;='参数'!$B$2,STDEV(OFFSET(B797,1-'参数'!$B$2,0,'参数'!$B$2,1))*SQRT('参数'!$B$3),"")</f>
        <v/>
      </c>
      <c r="F797">
        <f>'对齐'!C797/'对齐'!C796-1</f>
        <v/>
      </c>
      <c r="G797">
        <f>'对齐'!C797/'对齐'!C$2*100</f>
        <v/>
      </c>
      <c r="H797">
        <f>'对齐'!C797/MAX('对齐'!C$2:'对齐'!C797)-1</f>
        <v/>
      </c>
      <c r="I797">
        <f>IF(ROW()-2&gt;='参数'!$B$2,STDEV(OFFSET(F797,1-'参数'!$B$2,0,'参数'!$B$2,1))*SQRT('参数'!$B$3),"")</f>
        <v/>
      </c>
    </row>
    <row r="798">
      <c r="A798">
        <f>'对齐'!A798</f>
        <v/>
      </c>
      <c r="B798">
        <f>'对齐'!B798/'对齐'!B797-1</f>
        <v/>
      </c>
      <c r="C798">
        <f>'对齐'!B798/'对齐'!B$2*100</f>
        <v/>
      </c>
      <c r="D798">
        <f>'对齐'!B798/MAX('对齐'!B$2:'对齐'!B798)-1</f>
        <v/>
      </c>
      <c r="E798">
        <f>IF(ROW()-2&gt;='参数'!$B$2,STDEV(OFFSET(B798,1-'参数'!$B$2,0,'参数'!$B$2,1))*SQRT('参数'!$B$3),"")</f>
        <v/>
      </c>
      <c r="F798">
        <f>'对齐'!C798/'对齐'!C797-1</f>
        <v/>
      </c>
      <c r="G798">
        <f>'对齐'!C798/'对齐'!C$2*100</f>
        <v/>
      </c>
      <c r="H798">
        <f>'对齐'!C798/MAX('对齐'!C$2:'对齐'!C798)-1</f>
        <v/>
      </c>
      <c r="I798">
        <f>IF(ROW()-2&gt;='参数'!$B$2,STDEV(OFFSET(F798,1-'参数'!$B$2,0,'参数'!$B$2,1))*SQRT('参数'!$B$3),"")</f>
        <v/>
      </c>
    </row>
    <row r="799">
      <c r="A799">
        <f>'对齐'!A799</f>
        <v/>
      </c>
      <c r="B799">
        <f>'对齐'!B799/'对齐'!B798-1</f>
        <v/>
      </c>
      <c r="C799">
        <f>'对齐'!B799/'对齐'!B$2*100</f>
        <v/>
      </c>
      <c r="D799">
        <f>'对齐'!B799/MAX('对齐'!B$2:'对齐'!B799)-1</f>
        <v/>
      </c>
      <c r="E799">
        <f>IF(ROW()-2&gt;='参数'!$B$2,STDEV(OFFSET(B799,1-'参数'!$B$2,0,'参数'!$B$2,1))*SQRT('参数'!$B$3),"")</f>
        <v/>
      </c>
      <c r="F799">
        <f>'对齐'!C799/'对齐'!C798-1</f>
        <v/>
      </c>
      <c r="G799">
        <f>'对齐'!C799/'对齐'!C$2*100</f>
        <v/>
      </c>
      <c r="H799">
        <f>'对齐'!C799/MAX('对齐'!C$2:'对齐'!C799)-1</f>
        <v/>
      </c>
      <c r="I799">
        <f>IF(ROW()-2&gt;='参数'!$B$2,STDEV(OFFSET(F799,1-'参数'!$B$2,0,'参数'!$B$2,1))*SQRT('参数'!$B$3),"")</f>
        <v/>
      </c>
    </row>
    <row r="800">
      <c r="A800">
        <f>'对齐'!A800</f>
        <v/>
      </c>
      <c r="B800">
        <f>'对齐'!B800/'对齐'!B799-1</f>
        <v/>
      </c>
      <c r="C800">
        <f>'对齐'!B800/'对齐'!B$2*100</f>
        <v/>
      </c>
      <c r="D800">
        <f>'对齐'!B800/MAX('对齐'!B$2:'对齐'!B800)-1</f>
        <v/>
      </c>
      <c r="E800">
        <f>IF(ROW()-2&gt;='参数'!$B$2,STDEV(OFFSET(B800,1-'参数'!$B$2,0,'参数'!$B$2,1))*SQRT('参数'!$B$3),"")</f>
        <v/>
      </c>
      <c r="F800">
        <f>'对齐'!C800/'对齐'!C799-1</f>
        <v/>
      </c>
      <c r="G800">
        <f>'对齐'!C800/'对齐'!C$2*100</f>
        <v/>
      </c>
      <c r="H800">
        <f>'对齐'!C800/MAX('对齐'!C$2:'对齐'!C800)-1</f>
        <v/>
      </c>
      <c r="I800">
        <f>IF(ROW()-2&gt;='参数'!$B$2,STDEV(OFFSET(F800,1-'参数'!$B$2,0,'参数'!$B$2,1))*SQRT('参数'!$B$3),"")</f>
        <v/>
      </c>
    </row>
    <row r="801">
      <c r="A801">
        <f>'对齐'!A801</f>
        <v/>
      </c>
      <c r="B801">
        <f>'对齐'!B801/'对齐'!B800-1</f>
        <v/>
      </c>
      <c r="C801">
        <f>'对齐'!B801/'对齐'!B$2*100</f>
        <v/>
      </c>
      <c r="D801">
        <f>'对齐'!B801/MAX('对齐'!B$2:'对齐'!B801)-1</f>
        <v/>
      </c>
      <c r="E801">
        <f>IF(ROW()-2&gt;='参数'!$B$2,STDEV(OFFSET(B801,1-'参数'!$B$2,0,'参数'!$B$2,1))*SQRT('参数'!$B$3),"")</f>
        <v/>
      </c>
      <c r="F801">
        <f>'对齐'!C801/'对齐'!C800-1</f>
        <v/>
      </c>
      <c r="G801">
        <f>'对齐'!C801/'对齐'!C$2*100</f>
        <v/>
      </c>
      <c r="H801">
        <f>'对齐'!C801/MAX('对齐'!C$2:'对齐'!C801)-1</f>
        <v/>
      </c>
      <c r="I801">
        <f>IF(ROW()-2&gt;='参数'!$B$2,STDEV(OFFSET(F801,1-'参数'!$B$2,0,'参数'!$B$2,1))*SQRT('参数'!$B$3),"")</f>
        <v/>
      </c>
    </row>
    <row r="802">
      <c r="A802">
        <f>'对齐'!A802</f>
        <v/>
      </c>
      <c r="B802">
        <f>'对齐'!B802/'对齐'!B801-1</f>
        <v/>
      </c>
      <c r="C802">
        <f>'对齐'!B802/'对齐'!B$2*100</f>
        <v/>
      </c>
      <c r="D802">
        <f>'对齐'!B802/MAX('对齐'!B$2:'对齐'!B802)-1</f>
        <v/>
      </c>
      <c r="E802">
        <f>IF(ROW()-2&gt;='参数'!$B$2,STDEV(OFFSET(B802,1-'参数'!$B$2,0,'参数'!$B$2,1))*SQRT('参数'!$B$3),"")</f>
        <v/>
      </c>
      <c r="F802">
        <f>'对齐'!C802/'对齐'!C801-1</f>
        <v/>
      </c>
      <c r="G802">
        <f>'对齐'!C802/'对齐'!C$2*100</f>
        <v/>
      </c>
      <c r="H802">
        <f>'对齐'!C802/MAX('对齐'!C$2:'对齐'!C802)-1</f>
        <v/>
      </c>
      <c r="I802">
        <f>IF(ROW()-2&gt;='参数'!$B$2,STDEV(OFFSET(F802,1-'参数'!$B$2,0,'参数'!$B$2,1))*SQRT('参数'!$B$3),"")</f>
        <v/>
      </c>
    </row>
    <row r="803">
      <c r="A803">
        <f>'对齐'!A803</f>
        <v/>
      </c>
      <c r="B803">
        <f>'对齐'!B803/'对齐'!B802-1</f>
        <v/>
      </c>
      <c r="C803">
        <f>'对齐'!B803/'对齐'!B$2*100</f>
        <v/>
      </c>
      <c r="D803">
        <f>'对齐'!B803/MAX('对齐'!B$2:'对齐'!B803)-1</f>
        <v/>
      </c>
      <c r="E803">
        <f>IF(ROW()-2&gt;='参数'!$B$2,STDEV(OFFSET(B803,1-'参数'!$B$2,0,'参数'!$B$2,1))*SQRT('参数'!$B$3),"")</f>
        <v/>
      </c>
      <c r="F803">
        <f>'对齐'!C803/'对齐'!C802-1</f>
        <v/>
      </c>
      <c r="G803">
        <f>'对齐'!C803/'对齐'!C$2*100</f>
        <v/>
      </c>
      <c r="H803">
        <f>'对齐'!C803/MAX('对齐'!C$2:'对齐'!C803)-1</f>
        <v/>
      </c>
      <c r="I803">
        <f>IF(ROW()-2&gt;='参数'!$B$2,STDEV(OFFSET(F803,1-'参数'!$B$2,0,'参数'!$B$2,1))*SQRT('参数'!$B$3),"")</f>
        <v/>
      </c>
    </row>
    <row r="804">
      <c r="A804">
        <f>'对齐'!A804</f>
        <v/>
      </c>
      <c r="B804">
        <f>'对齐'!B804/'对齐'!B803-1</f>
        <v/>
      </c>
      <c r="C804">
        <f>'对齐'!B804/'对齐'!B$2*100</f>
        <v/>
      </c>
      <c r="D804">
        <f>'对齐'!B804/MAX('对齐'!B$2:'对齐'!B804)-1</f>
        <v/>
      </c>
      <c r="E804">
        <f>IF(ROW()-2&gt;='参数'!$B$2,STDEV(OFFSET(B804,1-'参数'!$B$2,0,'参数'!$B$2,1))*SQRT('参数'!$B$3),"")</f>
        <v/>
      </c>
      <c r="F804">
        <f>'对齐'!C804/'对齐'!C803-1</f>
        <v/>
      </c>
      <c r="G804">
        <f>'对齐'!C804/'对齐'!C$2*100</f>
        <v/>
      </c>
      <c r="H804">
        <f>'对齐'!C804/MAX('对齐'!C$2:'对齐'!C804)-1</f>
        <v/>
      </c>
      <c r="I804">
        <f>IF(ROW()-2&gt;='参数'!$B$2,STDEV(OFFSET(F804,1-'参数'!$B$2,0,'参数'!$B$2,1))*SQRT('参数'!$B$3),"")</f>
        <v/>
      </c>
    </row>
    <row r="805">
      <c r="A805">
        <f>'对齐'!A805</f>
        <v/>
      </c>
      <c r="B805">
        <f>'对齐'!B805/'对齐'!B804-1</f>
        <v/>
      </c>
      <c r="C805">
        <f>'对齐'!B805/'对齐'!B$2*100</f>
        <v/>
      </c>
      <c r="D805">
        <f>'对齐'!B805/MAX('对齐'!B$2:'对齐'!B805)-1</f>
        <v/>
      </c>
      <c r="E805">
        <f>IF(ROW()-2&gt;='参数'!$B$2,STDEV(OFFSET(B805,1-'参数'!$B$2,0,'参数'!$B$2,1))*SQRT('参数'!$B$3),"")</f>
        <v/>
      </c>
      <c r="F805">
        <f>'对齐'!C805/'对齐'!C804-1</f>
        <v/>
      </c>
      <c r="G805">
        <f>'对齐'!C805/'对齐'!C$2*100</f>
        <v/>
      </c>
      <c r="H805">
        <f>'对齐'!C805/MAX('对齐'!C$2:'对齐'!C805)-1</f>
        <v/>
      </c>
      <c r="I805">
        <f>IF(ROW()-2&gt;='参数'!$B$2,STDEV(OFFSET(F805,1-'参数'!$B$2,0,'参数'!$B$2,1))*SQRT('参数'!$B$3),"")</f>
        <v/>
      </c>
    </row>
    <row r="806">
      <c r="A806">
        <f>'对齐'!A806</f>
        <v/>
      </c>
      <c r="B806">
        <f>'对齐'!B806/'对齐'!B805-1</f>
        <v/>
      </c>
      <c r="C806">
        <f>'对齐'!B806/'对齐'!B$2*100</f>
        <v/>
      </c>
      <c r="D806">
        <f>'对齐'!B806/MAX('对齐'!B$2:'对齐'!B806)-1</f>
        <v/>
      </c>
      <c r="E806">
        <f>IF(ROW()-2&gt;='参数'!$B$2,STDEV(OFFSET(B806,1-'参数'!$B$2,0,'参数'!$B$2,1))*SQRT('参数'!$B$3),"")</f>
        <v/>
      </c>
      <c r="F806">
        <f>'对齐'!C806/'对齐'!C805-1</f>
        <v/>
      </c>
      <c r="G806">
        <f>'对齐'!C806/'对齐'!C$2*100</f>
        <v/>
      </c>
      <c r="H806">
        <f>'对齐'!C806/MAX('对齐'!C$2:'对齐'!C806)-1</f>
        <v/>
      </c>
      <c r="I806">
        <f>IF(ROW()-2&gt;='参数'!$B$2,STDEV(OFFSET(F806,1-'参数'!$B$2,0,'参数'!$B$2,1))*SQRT('参数'!$B$3),"")</f>
        <v/>
      </c>
    </row>
    <row r="807">
      <c r="A807">
        <f>'对齐'!A807</f>
        <v/>
      </c>
      <c r="B807">
        <f>'对齐'!B807/'对齐'!B806-1</f>
        <v/>
      </c>
      <c r="C807">
        <f>'对齐'!B807/'对齐'!B$2*100</f>
        <v/>
      </c>
      <c r="D807">
        <f>'对齐'!B807/MAX('对齐'!B$2:'对齐'!B807)-1</f>
        <v/>
      </c>
      <c r="E807">
        <f>IF(ROW()-2&gt;='参数'!$B$2,STDEV(OFFSET(B807,1-'参数'!$B$2,0,'参数'!$B$2,1))*SQRT('参数'!$B$3),"")</f>
        <v/>
      </c>
      <c r="F807">
        <f>'对齐'!C807/'对齐'!C806-1</f>
        <v/>
      </c>
      <c r="G807">
        <f>'对齐'!C807/'对齐'!C$2*100</f>
        <v/>
      </c>
      <c r="H807">
        <f>'对齐'!C807/MAX('对齐'!C$2:'对齐'!C807)-1</f>
        <v/>
      </c>
      <c r="I807">
        <f>IF(ROW()-2&gt;='参数'!$B$2,STDEV(OFFSET(F807,1-'参数'!$B$2,0,'参数'!$B$2,1))*SQRT('参数'!$B$3),"")</f>
        <v/>
      </c>
    </row>
    <row r="808">
      <c r="A808">
        <f>'对齐'!A808</f>
        <v/>
      </c>
      <c r="B808">
        <f>'对齐'!B808/'对齐'!B807-1</f>
        <v/>
      </c>
      <c r="C808">
        <f>'对齐'!B808/'对齐'!B$2*100</f>
        <v/>
      </c>
      <c r="D808">
        <f>'对齐'!B808/MAX('对齐'!B$2:'对齐'!B808)-1</f>
        <v/>
      </c>
      <c r="E808">
        <f>IF(ROW()-2&gt;='参数'!$B$2,STDEV(OFFSET(B808,1-'参数'!$B$2,0,'参数'!$B$2,1))*SQRT('参数'!$B$3),"")</f>
        <v/>
      </c>
      <c r="F808">
        <f>'对齐'!C808/'对齐'!C807-1</f>
        <v/>
      </c>
      <c r="G808">
        <f>'对齐'!C808/'对齐'!C$2*100</f>
        <v/>
      </c>
      <c r="H808">
        <f>'对齐'!C808/MAX('对齐'!C$2:'对齐'!C808)-1</f>
        <v/>
      </c>
      <c r="I808">
        <f>IF(ROW()-2&gt;='参数'!$B$2,STDEV(OFFSET(F808,1-'参数'!$B$2,0,'参数'!$B$2,1))*SQRT('参数'!$B$3),"")</f>
        <v/>
      </c>
    </row>
    <row r="809">
      <c r="A809">
        <f>'对齐'!A809</f>
        <v/>
      </c>
      <c r="B809">
        <f>'对齐'!B809/'对齐'!B808-1</f>
        <v/>
      </c>
      <c r="C809">
        <f>'对齐'!B809/'对齐'!B$2*100</f>
        <v/>
      </c>
      <c r="D809">
        <f>'对齐'!B809/MAX('对齐'!B$2:'对齐'!B809)-1</f>
        <v/>
      </c>
      <c r="E809">
        <f>IF(ROW()-2&gt;='参数'!$B$2,STDEV(OFFSET(B809,1-'参数'!$B$2,0,'参数'!$B$2,1))*SQRT('参数'!$B$3),"")</f>
        <v/>
      </c>
      <c r="F809">
        <f>'对齐'!C809/'对齐'!C808-1</f>
        <v/>
      </c>
      <c r="G809">
        <f>'对齐'!C809/'对齐'!C$2*100</f>
        <v/>
      </c>
      <c r="H809">
        <f>'对齐'!C809/MAX('对齐'!C$2:'对齐'!C809)-1</f>
        <v/>
      </c>
      <c r="I809">
        <f>IF(ROW()-2&gt;='参数'!$B$2,STDEV(OFFSET(F809,1-'参数'!$B$2,0,'参数'!$B$2,1))*SQRT('参数'!$B$3),"")</f>
        <v/>
      </c>
    </row>
    <row r="810">
      <c r="A810">
        <f>'对齐'!A810</f>
        <v/>
      </c>
      <c r="B810">
        <f>'对齐'!B810/'对齐'!B809-1</f>
        <v/>
      </c>
      <c r="C810">
        <f>'对齐'!B810/'对齐'!B$2*100</f>
        <v/>
      </c>
      <c r="D810">
        <f>'对齐'!B810/MAX('对齐'!B$2:'对齐'!B810)-1</f>
        <v/>
      </c>
      <c r="E810">
        <f>IF(ROW()-2&gt;='参数'!$B$2,STDEV(OFFSET(B810,1-'参数'!$B$2,0,'参数'!$B$2,1))*SQRT('参数'!$B$3),"")</f>
        <v/>
      </c>
      <c r="F810">
        <f>'对齐'!C810/'对齐'!C809-1</f>
        <v/>
      </c>
      <c r="G810">
        <f>'对齐'!C810/'对齐'!C$2*100</f>
        <v/>
      </c>
      <c r="H810">
        <f>'对齐'!C810/MAX('对齐'!C$2:'对齐'!C810)-1</f>
        <v/>
      </c>
      <c r="I810">
        <f>IF(ROW()-2&gt;='参数'!$B$2,STDEV(OFFSET(F810,1-'参数'!$B$2,0,'参数'!$B$2,1))*SQRT('参数'!$B$3),"")</f>
        <v/>
      </c>
    </row>
    <row r="811">
      <c r="A811">
        <f>'对齐'!A811</f>
        <v/>
      </c>
      <c r="B811">
        <f>'对齐'!B811/'对齐'!B810-1</f>
        <v/>
      </c>
      <c r="C811">
        <f>'对齐'!B811/'对齐'!B$2*100</f>
        <v/>
      </c>
      <c r="D811">
        <f>'对齐'!B811/MAX('对齐'!B$2:'对齐'!B811)-1</f>
        <v/>
      </c>
      <c r="E811">
        <f>IF(ROW()-2&gt;='参数'!$B$2,STDEV(OFFSET(B811,1-'参数'!$B$2,0,'参数'!$B$2,1))*SQRT('参数'!$B$3),"")</f>
        <v/>
      </c>
      <c r="F811">
        <f>'对齐'!C811/'对齐'!C810-1</f>
        <v/>
      </c>
      <c r="G811">
        <f>'对齐'!C811/'对齐'!C$2*100</f>
        <v/>
      </c>
      <c r="H811">
        <f>'对齐'!C811/MAX('对齐'!C$2:'对齐'!C811)-1</f>
        <v/>
      </c>
      <c r="I811">
        <f>IF(ROW()-2&gt;='参数'!$B$2,STDEV(OFFSET(F811,1-'参数'!$B$2,0,'参数'!$B$2,1))*SQRT('参数'!$B$3),"")</f>
        <v/>
      </c>
    </row>
    <row r="812">
      <c r="A812">
        <f>'对齐'!A812</f>
        <v/>
      </c>
      <c r="B812">
        <f>'对齐'!B812/'对齐'!B811-1</f>
        <v/>
      </c>
      <c r="C812">
        <f>'对齐'!B812/'对齐'!B$2*100</f>
        <v/>
      </c>
      <c r="D812">
        <f>'对齐'!B812/MAX('对齐'!B$2:'对齐'!B812)-1</f>
        <v/>
      </c>
      <c r="E812">
        <f>IF(ROW()-2&gt;='参数'!$B$2,STDEV(OFFSET(B812,1-'参数'!$B$2,0,'参数'!$B$2,1))*SQRT('参数'!$B$3),"")</f>
        <v/>
      </c>
      <c r="F812">
        <f>'对齐'!C812/'对齐'!C811-1</f>
        <v/>
      </c>
      <c r="G812">
        <f>'对齐'!C812/'对齐'!C$2*100</f>
        <v/>
      </c>
      <c r="H812">
        <f>'对齐'!C812/MAX('对齐'!C$2:'对齐'!C812)-1</f>
        <v/>
      </c>
      <c r="I812">
        <f>IF(ROW()-2&gt;='参数'!$B$2,STDEV(OFFSET(F812,1-'参数'!$B$2,0,'参数'!$B$2,1))*SQRT('参数'!$B$3),"")</f>
        <v/>
      </c>
    </row>
    <row r="813">
      <c r="A813">
        <f>'对齐'!A813</f>
        <v/>
      </c>
      <c r="B813">
        <f>'对齐'!B813/'对齐'!B812-1</f>
        <v/>
      </c>
      <c r="C813">
        <f>'对齐'!B813/'对齐'!B$2*100</f>
        <v/>
      </c>
      <c r="D813">
        <f>'对齐'!B813/MAX('对齐'!B$2:'对齐'!B813)-1</f>
        <v/>
      </c>
      <c r="E813">
        <f>IF(ROW()-2&gt;='参数'!$B$2,STDEV(OFFSET(B813,1-'参数'!$B$2,0,'参数'!$B$2,1))*SQRT('参数'!$B$3),"")</f>
        <v/>
      </c>
      <c r="F813">
        <f>'对齐'!C813/'对齐'!C812-1</f>
        <v/>
      </c>
      <c r="G813">
        <f>'对齐'!C813/'对齐'!C$2*100</f>
        <v/>
      </c>
      <c r="H813">
        <f>'对齐'!C813/MAX('对齐'!C$2:'对齐'!C813)-1</f>
        <v/>
      </c>
      <c r="I813">
        <f>IF(ROW()-2&gt;='参数'!$B$2,STDEV(OFFSET(F813,1-'参数'!$B$2,0,'参数'!$B$2,1))*SQRT('参数'!$B$3),"")</f>
        <v/>
      </c>
    </row>
    <row r="814">
      <c r="A814">
        <f>'对齐'!A814</f>
        <v/>
      </c>
      <c r="B814">
        <f>'对齐'!B814/'对齐'!B813-1</f>
        <v/>
      </c>
      <c r="C814">
        <f>'对齐'!B814/'对齐'!B$2*100</f>
        <v/>
      </c>
      <c r="D814">
        <f>'对齐'!B814/MAX('对齐'!B$2:'对齐'!B814)-1</f>
        <v/>
      </c>
      <c r="E814">
        <f>IF(ROW()-2&gt;='参数'!$B$2,STDEV(OFFSET(B814,1-'参数'!$B$2,0,'参数'!$B$2,1))*SQRT('参数'!$B$3),"")</f>
        <v/>
      </c>
      <c r="F814">
        <f>'对齐'!C814/'对齐'!C813-1</f>
        <v/>
      </c>
      <c r="G814">
        <f>'对齐'!C814/'对齐'!C$2*100</f>
        <v/>
      </c>
      <c r="H814">
        <f>'对齐'!C814/MAX('对齐'!C$2:'对齐'!C814)-1</f>
        <v/>
      </c>
      <c r="I814">
        <f>IF(ROW()-2&gt;='参数'!$B$2,STDEV(OFFSET(F814,1-'参数'!$B$2,0,'参数'!$B$2,1))*SQRT('参数'!$B$3),"")</f>
        <v/>
      </c>
    </row>
    <row r="815">
      <c r="A815">
        <f>'对齐'!A815</f>
        <v/>
      </c>
      <c r="B815">
        <f>'对齐'!B815/'对齐'!B814-1</f>
        <v/>
      </c>
      <c r="C815">
        <f>'对齐'!B815/'对齐'!B$2*100</f>
        <v/>
      </c>
      <c r="D815">
        <f>'对齐'!B815/MAX('对齐'!B$2:'对齐'!B815)-1</f>
        <v/>
      </c>
      <c r="E815">
        <f>IF(ROW()-2&gt;='参数'!$B$2,STDEV(OFFSET(B815,1-'参数'!$B$2,0,'参数'!$B$2,1))*SQRT('参数'!$B$3),"")</f>
        <v/>
      </c>
      <c r="F815">
        <f>'对齐'!C815/'对齐'!C814-1</f>
        <v/>
      </c>
      <c r="G815">
        <f>'对齐'!C815/'对齐'!C$2*100</f>
        <v/>
      </c>
      <c r="H815">
        <f>'对齐'!C815/MAX('对齐'!C$2:'对齐'!C815)-1</f>
        <v/>
      </c>
      <c r="I815">
        <f>IF(ROW()-2&gt;='参数'!$B$2,STDEV(OFFSET(F815,1-'参数'!$B$2,0,'参数'!$B$2,1))*SQRT('参数'!$B$3),"")</f>
        <v/>
      </c>
    </row>
    <row r="816">
      <c r="A816">
        <f>'对齐'!A816</f>
        <v/>
      </c>
      <c r="B816">
        <f>'对齐'!B816/'对齐'!B815-1</f>
        <v/>
      </c>
      <c r="C816">
        <f>'对齐'!B816/'对齐'!B$2*100</f>
        <v/>
      </c>
      <c r="D816">
        <f>'对齐'!B816/MAX('对齐'!B$2:'对齐'!B816)-1</f>
        <v/>
      </c>
      <c r="E816">
        <f>IF(ROW()-2&gt;='参数'!$B$2,STDEV(OFFSET(B816,1-'参数'!$B$2,0,'参数'!$B$2,1))*SQRT('参数'!$B$3),"")</f>
        <v/>
      </c>
      <c r="F816">
        <f>'对齐'!C816/'对齐'!C815-1</f>
        <v/>
      </c>
      <c r="G816">
        <f>'对齐'!C816/'对齐'!C$2*100</f>
        <v/>
      </c>
      <c r="H816">
        <f>'对齐'!C816/MAX('对齐'!C$2:'对齐'!C816)-1</f>
        <v/>
      </c>
      <c r="I816">
        <f>IF(ROW()-2&gt;='参数'!$B$2,STDEV(OFFSET(F816,1-'参数'!$B$2,0,'参数'!$B$2,1))*SQRT('参数'!$B$3),"")</f>
        <v/>
      </c>
    </row>
    <row r="817">
      <c r="A817">
        <f>'对齐'!A817</f>
        <v/>
      </c>
      <c r="B817">
        <f>'对齐'!B817/'对齐'!B816-1</f>
        <v/>
      </c>
      <c r="C817">
        <f>'对齐'!B817/'对齐'!B$2*100</f>
        <v/>
      </c>
      <c r="D817">
        <f>'对齐'!B817/MAX('对齐'!B$2:'对齐'!B817)-1</f>
        <v/>
      </c>
      <c r="E817">
        <f>IF(ROW()-2&gt;='参数'!$B$2,STDEV(OFFSET(B817,1-'参数'!$B$2,0,'参数'!$B$2,1))*SQRT('参数'!$B$3),"")</f>
        <v/>
      </c>
      <c r="F817">
        <f>'对齐'!C817/'对齐'!C816-1</f>
        <v/>
      </c>
      <c r="G817">
        <f>'对齐'!C817/'对齐'!C$2*100</f>
        <v/>
      </c>
      <c r="H817">
        <f>'对齐'!C817/MAX('对齐'!C$2:'对齐'!C817)-1</f>
        <v/>
      </c>
      <c r="I817">
        <f>IF(ROW()-2&gt;='参数'!$B$2,STDEV(OFFSET(F817,1-'参数'!$B$2,0,'参数'!$B$2,1))*SQRT('参数'!$B$3),"")</f>
        <v/>
      </c>
    </row>
    <row r="818">
      <c r="A818">
        <f>'对齐'!A818</f>
        <v/>
      </c>
      <c r="B818">
        <f>'对齐'!B818/'对齐'!B817-1</f>
        <v/>
      </c>
      <c r="C818">
        <f>'对齐'!B818/'对齐'!B$2*100</f>
        <v/>
      </c>
      <c r="D818">
        <f>'对齐'!B818/MAX('对齐'!B$2:'对齐'!B818)-1</f>
        <v/>
      </c>
      <c r="E818">
        <f>IF(ROW()-2&gt;='参数'!$B$2,STDEV(OFFSET(B818,1-'参数'!$B$2,0,'参数'!$B$2,1))*SQRT('参数'!$B$3),"")</f>
        <v/>
      </c>
      <c r="F818">
        <f>'对齐'!C818/'对齐'!C817-1</f>
        <v/>
      </c>
      <c r="G818">
        <f>'对齐'!C818/'对齐'!C$2*100</f>
        <v/>
      </c>
      <c r="H818">
        <f>'对齐'!C818/MAX('对齐'!C$2:'对齐'!C818)-1</f>
        <v/>
      </c>
      <c r="I818">
        <f>IF(ROW()-2&gt;='参数'!$B$2,STDEV(OFFSET(F818,1-'参数'!$B$2,0,'参数'!$B$2,1))*SQRT('参数'!$B$3),"")</f>
        <v/>
      </c>
    </row>
    <row r="819">
      <c r="A819">
        <f>'对齐'!A819</f>
        <v/>
      </c>
      <c r="B819">
        <f>'对齐'!B819/'对齐'!B818-1</f>
        <v/>
      </c>
      <c r="C819">
        <f>'对齐'!B819/'对齐'!B$2*100</f>
        <v/>
      </c>
      <c r="D819">
        <f>'对齐'!B819/MAX('对齐'!B$2:'对齐'!B819)-1</f>
        <v/>
      </c>
      <c r="E819">
        <f>IF(ROW()-2&gt;='参数'!$B$2,STDEV(OFFSET(B819,1-'参数'!$B$2,0,'参数'!$B$2,1))*SQRT('参数'!$B$3),"")</f>
        <v/>
      </c>
      <c r="F819">
        <f>'对齐'!C819/'对齐'!C818-1</f>
        <v/>
      </c>
      <c r="G819">
        <f>'对齐'!C819/'对齐'!C$2*100</f>
        <v/>
      </c>
      <c r="H819">
        <f>'对齐'!C819/MAX('对齐'!C$2:'对齐'!C819)-1</f>
        <v/>
      </c>
      <c r="I819">
        <f>IF(ROW()-2&gt;='参数'!$B$2,STDEV(OFFSET(F819,1-'参数'!$B$2,0,'参数'!$B$2,1))*SQRT('参数'!$B$3),"")</f>
        <v/>
      </c>
    </row>
    <row r="820">
      <c r="A820">
        <f>'对齐'!A820</f>
        <v/>
      </c>
      <c r="B820">
        <f>'对齐'!B820/'对齐'!B819-1</f>
        <v/>
      </c>
      <c r="C820">
        <f>'对齐'!B820/'对齐'!B$2*100</f>
        <v/>
      </c>
      <c r="D820">
        <f>'对齐'!B820/MAX('对齐'!B$2:'对齐'!B820)-1</f>
        <v/>
      </c>
      <c r="E820">
        <f>IF(ROW()-2&gt;='参数'!$B$2,STDEV(OFFSET(B820,1-'参数'!$B$2,0,'参数'!$B$2,1))*SQRT('参数'!$B$3),"")</f>
        <v/>
      </c>
      <c r="F820">
        <f>'对齐'!C820/'对齐'!C819-1</f>
        <v/>
      </c>
      <c r="G820">
        <f>'对齐'!C820/'对齐'!C$2*100</f>
        <v/>
      </c>
      <c r="H820">
        <f>'对齐'!C820/MAX('对齐'!C$2:'对齐'!C820)-1</f>
        <v/>
      </c>
      <c r="I820">
        <f>IF(ROW()-2&gt;='参数'!$B$2,STDEV(OFFSET(F820,1-'参数'!$B$2,0,'参数'!$B$2,1))*SQRT('参数'!$B$3),"")</f>
        <v/>
      </c>
    </row>
    <row r="821">
      <c r="A821">
        <f>'对齐'!A821</f>
        <v/>
      </c>
      <c r="B821">
        <f>'对齐'!B821/'对齐'!B820-1</f>
        <v/>
      </c>
      <c r="C821">
        <f>'对齐'!B821/'对齐'!B$2*100</f>
        <v/>
      </c>
      <c r="D821">
        <f>'对齐'!B821/MAX('对齐'!B$2:'对齐'!B821)-1</f>
        <v/>
      </c>
      <c r="E821">
        <f>IF(ROW()-2&gt;='参数'!$B$2,STDEV(OFFSET(B821,1-'参数'!$B$2,0,'参数'!$B$2,1))*SQRT('参数'!$B$3),"")</f>
        <v/>
      </c>
      <c r="F821">
        <f>'对齐'!C821/'对齐'!C820-1</f>
        <v/>
      </c>
      <c r="G821">
        <f>'对齐'!C821/'对齐'!C$2*100</f>
        <v/>
      </c>
      <c r="H821">
        <f>'对齐'!C821/MAX('对齐'!C$2:'对齐'!C821)-1</f>
        <v/>
      </c>
      <c r="I821">
        <f>IF(ROW()-2&gt;='参数'!$B$2,STDEV(OFFSET(F821,1-'参数'!$B$2,0,'参数'!$B$2,1))*SQRT('参数'!$B$3),"")</f>
        <v/>
      </c>
    </row>
    <row r="822">
      <c r="A822">
        <f>'对齐'!A822</f>
        <v/>
      </c>
      <c r="B822">
        <f>'对齐'!B822/'对齐'!B821-1</f>
        <v/>
      </c>
      <c r="C822">
        <f>'对齐'!B822/'对齐'!B$2*100</f>
        <v/>
      </c>
      <c r="D822">
        <f>'对齐'!B822/MAX('对齐'!B$2:'对齐'!B822)-1</f>
        <v/>
      </c>
      <c r="E822">
        <f>IF(ROW()-2&gt;='参数'!$B$2,STDEV(OFFSET(B822,1-'参数'!$B$2,0,'参数'!$B$2,1))*SQRT('参数'!$B$3),"")</f>
        <v/>
      </c>
      <c r="F822">
        <f>'对齐'!C822/'对齐'!C821-1</f>
        <v/>
      </c>
      <c r="G822">
        <f>'对齐'!C822/'对齐'!C$2*100</f>
        <v/>
      </c>
      <c r="H822">
        <f>'对齐'!C822/MAX('对齐'!C$2:'对齐'!C822)-1</f>
        <v/>
      </c>
      <c r="I822">
        <f>IF(ROW()-2&gt;='参数'!$B$2,STDEV(OFFSET(F822,1-'参数'!$B$2,0,'参数'!$B$2,1))*SQRT('参数'!$B$3),"")</f>
        <v/>
      </c>
    </row>
    <row r="823">
      <c r="A823">
        <f>'对齐'!A823</f>
        <v/>
      </c>
      <c r="B823">
        <f>'对齐'!B823/'对齐'!B822-1</f>
        <v/>
      </c>
      <c r="C823">
        <f>'对齐'!B823/'对齐'!B$2*100</f>
        <v/>
      </c>
      <c r="D823">
        <f>'对齐'!B823/MAX('对齐'!B$2:'对齐'!B823)-1</f>
        <v/>
      </c>
      <c r="E823">
        <f>IF(ROW()-2&gt;='参数'!$B$2,STDEV(OFFSET(B823,1-'参数'!$B$2,0,'参数'!$B$2,1))*SQRT('参数'!$B$3),"")</f>
        <v/>
      </c>
      <c r="F823">
        <f>'对齐'!C823/'对齐'!C822-1</f>
        <v/>
      </c>
      <c r="G823">
        <f>'对齐'!C823/'对齐'!C$2*100</f>
        <v/>
      </c>
      <c r="H823">
        <f>'对齐'!C823/MAX('对齐'!C$2:'对齐'!C823)-1</f>
        <v/>
      </c>
      <c r="I823">
        <f>IF(ROW()-2&gt;='参数'!$B$2,STDEV(OFFSET(F823,1-'参数'!$B$2,0,'参数'!$B$2,1))*SQRT('参数'!$B$3),"")</f>
        <v/>
      </c>
    </row>
    <row r="824">
      <c r="A824">
        <f>'对齐'!A824</f>
        <v/>
      </c>
      <c r="B824">
        <f>'对齐'!B824/'对齐'!B823-1</f>
        <v/>
      </c>
      <c r="C824">
        <f>'对齐'!B824/'对齐'!B$2*100</f>
        <v/>
      </c>
      <c r="D824">
        <f>'对齐'!B824/MAX('对齐'!B$2:'对齐'!B824)-1</f>
        <v/>
      </c>
      <c r="E824">
        <f>IF(ROW()-2&gt;='参数'!$B$2,STDEV(OFFSET(B824,1-'参数'!$B$2,0,'参数'!$B$2,1))*SQRT('参数'!$B$3),"")</f>
        <v/>
      </c>
      <c r="F824">
        <f>'对齐'!C824/'对齐'!C823-1</f>
        <v/>
      </c>
      <c r="G824">
        <f>'对齐'!C824/'对齐'!C$2*100</f>
        <v/>
      </c>
      <c r="H824">
        <f>'对齐'!C824/MAX('对齐'!C$2:'对齐'!C824)-1</f>
        <v/>
      </c>
      <c r="I824">
        <f>IF(ROW()-2&gt;='参数'!$B$2,STDEV(OFFSET(F824,1-'参数'!$B$2,0,'参数'!$B$2,1))*SQRT('参数'!$B$3),"")</f>
        <v/>
      </c>
    </row>
    <row r="825">
      <c r="A825">
        <f>'对齐'!A825</f>
        <v/>
      </c>
      <c r="B825">
        <f>'对齐'!B825/'对齐'!B824-1</f>
        <v/>
      </c>
      <c r="C825">
        <f>'对齐'!B825/'对齐'!B$2*100</f>
        <v/>
      </c>
      <c r="D825">
        <f>'对齐'!B825/MAX('对齐'!B$2:'对齐'!B825)-1</f>
        <v/>
      </c>
      <c r="E825">
        <f>IF(ROW()-2&gt;='参数'!$B$2,STDEV(OFFSET(B825,1-'参数'!$B$2,0,'参数'!$B$2,1))*SQRT('参数'!$B$3),"")</f>
        <v/>
      </c>
      <c r="F825">
        <f>'对齐'!C825/'对齐'!C824-1</f>
        <v/>
      </c>
      <c r="G825">
        <f>'对齐'!C825/'对齐'!C$2*100</f>
        <v/>
      </c>
      <c r="H825">
        <f>'对齐'!C825/MAX('对齐'!C$2:'对齐'!C825)-1</f>
        <v/>
      </c>
      <c r="I825">
        <f>IF(ROW()-2&gt;='参数'!$B$2,STDEV(OFFSET(F825,1-'参数'!$B$2,0,'参数'!$B$2,1))*SQRT('参数'!$B$3),"")</f>
        <v/>
      </c>
    </row>
    <row r="826">
      <c r="A826">
        <f>'对齐'!A826</f>
        <v/>
      </c>
      <c r="B826">
        <f>'对齐'!B826/'对齐'!B825-1</f>
        <v/>
      </c>
      <c r="C826">
        <f>'对齐'!B826/'对齐'!B$2*100</f>
        <v/>
      </c>
      <c r="D826">
        <f>'对齐'!B826/MAX('对齐'!B$2:'对齐'!B826)-1</f>
        <v/>
      </c>
      <c r="E826">
        <f>IF(ROW()-2&gt;='参数'!$B$2,STDEV(OFFSET(B826,1-'参数'!$B$2,0,'参数'!$B$2,1))*SQRT('参数'!$B$3),"")</f>
        <v/>
      </c>
      <c r="F826">
        <f>'对齐'!C826/'对齐'!C825-1</f>
        <v/>
      </c>
      <c r="G826">
        <f>'对齐'!C826/'对齐'!C$2*100</f>
        <v/>
      </c>
      <c r="H826">
        <f>'对齐'!C826/MAX('对齐'!C$2:'对齐'!C826)-1</f>
        <v/>
      </c>
      <c r="I826">
        <f>IF(ROW()-2&gt;='参数'!$B$2,STDEV(OFFSET(F826,1-'参数'!$B$2,0,'参数'!$B$2,1))*SQRT('参数'!$B$3),"")</f>
        <v/>
      </c>
    </row>
    <row r="827">
      <c r="A827">
        <f>'对齐'!A827</f>
        <v/>
      </c>
      <c r="B827">
        <f>'对齐'!B827/'对齐'!B826-1</f>
        <v/>
      </c>
      <c r="C827">
        <f>'对齐'!B827/'对齐'!B$2*100</f>
        <v/>
      </c>
      <c r="D827">
        <f>'对齐'!B827/MAX('对齐'!B$2:'对齐'!B827)-1</f>
        <v/>
      </c>
      <c r="E827">
        <f>IF(ROW()-2&gt;='参数'!$B$2,STDEV(OFFSET(B827,1-'参数'!$B$2,0,'参数'!$B$2,1))*SQRT('参数'!$B$3),"")</f>
        <v/>
      </c>
      <c r="F827">
        <f>'对齐'!C827/'对齐'!C826-1</f>
        <v/>
      </c>
      <c r="G827">
        <f>'对齐'!C827/'对齐'!C$2*100</f>
        <v/>
      </c>
      <c r="H827">
        <f>'对齐'!C827/MAX('对齐'!C$2:'对齐'!C827)-1</f>
        <v/>
      </c>
      <c r="I827">
        <f>IF(ROW()-2&gt;='参数'!$B$2,STDEV(OFFSET(F827,1-'参数'!$B$2,0,'参数'!$B$2,1))*SQRT('参数'!$B$3),"")</f>
        <v/>
      </c>
    </row>
    <row r="828">
      <c r="A828">
        <f>'对齐'!A828</f>
        <v/>
      </c>
      <c r="B828">
        <f>'对齐'!B828/'对齐'!B827-1</f>
        <v/>
      </c>
      <c r="C828">
        <f>'对齐'!B828/'对齐'!B$2*100</f>
        <v/>
      </c>
      <c r="D828">
        <f>'对齐'!B828/MAX('对齐'!B$2:'对齐'!B828)-1</f>
        <v/>
      </c>
      <c r="E828">
        <f>IF(ROW()-2&gt;='参数'!$B$2,STDEV(OFFSET(B828,1-'参数'!$B$2,0,'参数'!$B$2,1))*SQRT('参数'!$B$3),"")</f>
        <v/>
      </c>
      <c r="F828">
        <f>'对齐'!C828/'对齐'!C827-1</f>
        <v/>
      </c>
      <c r="G828">
        <f>'对齐'!C828/'对齐'!C$2*100</f>
        <v/>
      </c>
      <c r="H828">
        <f>'对齐'!C828/MAX('对齐'!C$2:'对齐'!C828)-1</f>
        <v/>
      </c>
      <c r="I828">
        <f>IF(ROW()-2&gt;='参数'!$B$2,STDEV(OFFSET(F828,1-'参数'!$B$2,0,'参数'!$B$2,1))*SQRT('参数'!$B$3),"")</f>
        <v/>
      </c>
    </row>
    <row r="829">
      <c r="A829">
        <f>'对齐'!A829</f>
        <v/>
      </c>
      <c r="B829">
        <f>'对齐'!B829/'对齐'!B828-1</f>
        <v/>
      </c>
      <c r="C829">
        <f>'对齐'!B829/'对齐'!B$2*100</f>
        <v/>
      </c>
      <c r="D829">
        <f>'对齐'!B829/MAX('对齐'!B$2:'对齐'!B829)-1</f>
        <v/>
      </c>
      <c r="E829">
        <f>IF(ROW()-2&gt;='参数'!$B$2,STDEV(OFFSET(B829,1-'参数'!$B$2,0,'参数'!$B$2,1))*SQRT('参数'!$B$3),"")</f>
        <v/>
      </c>
      <c r="F829">
        <f>'对齐'!C829/'对齐'!C828-1</f>
        <v/>
      </c>
      <c r="G829">
        <f>'对齐'!C829/'对齐'!C$2*100</f>
        <v/>
      </c>
      <c r="H829">
        <f>'对齐'!C829/MAX('对齐'!C$2:'对齐'!C829)-1</f>
        <v/>
      </c>
      <c r="I829">
        <f>IF(ROW()-2&gt;='参数'!$B$2,STDEV(OFFSET(F829,1-'参数'!$B$2,0,'参数'!$B$2,1))*SQRT('参数'!$B$3),"")</f>
        <v/>
      </c>
    </row>
    <row r="830">
      <c r="A830">
        <f>'对齐'!A830</f>
        <v/>
      </c>
      <c r="B830">
        <f>'对齐'!B830/'对齐'!B829-1</f>
        <v/>
      </c>
      <c r="C830">
        <f>'对齐'!B830/'对齐'!B$2*100</f>
        <v/>
      </c>
      <c r="D830">
        <f>'对齐'!B830/MAX('对齐'!B$2:'对齐'!B830)-1</f>
        <v/>
      </c>
      <c r="E830">
        <f>IF(ROW()-2&gt;='参数'!$B$2,STDEV(OFFSET(B830,1-'参数'!$B$2,0,'参数'!$B$2,1))*SQRT('参数'!$B$3),"")</f>
        <v/>
      </c>
      <c r="F830">
        <f>'对齐'!C830/'对齐'!C829-1</f>
        <v/>
      </c>
      <c r="G830">
        <f>'对齐'!C830/'对齐'!C$2*100</f>
        <v/>
      </c>
      <c r="H830">
        <f>'对齐'!C830/MAX('对齐'!C$2:'对齐'!C830)-1</f>
        <v/>
      </c>
      <c r="I830">
        <f>IF(ROW()-2&gt;='参数'!$B$2,STDEV(OFFSET(F830,1-'参数'!$B$2,0,'参数'!$B$2,1))*SQRT('参数'!$B$3),"")</f>
        <v/>
      </c>
    </row>
    <row r="831">
      <c r="A831">
        <f>'对齐'!A831</f>
        <v/>
      </c>
      <c r="B831">
        <f>'对齐'!B831/'对齐'!B830-1</f>
        <v/>
      </c>
      <c r="C831">
        <f>'对齐'!B831/'对齐'!B$2*100</f>
        <v/>
      </c>
      <c r="D831">
        <f>'对齐'!B831/MAX('对齐'!B$2:'对齐'!B831)-1</f>
        <v/>
      </c>
      <c r="E831">
        <f>IF(ROW()-2&gt;='参数'!$B$2,STDEV(OFFSET(B831,1-'参数'!$B$2,0,'参数'!$B$2,1))*SQRT('参数'!$B$3),"")</f>
        <v/>
      </c>
      <c r="F831">
        <f>'对齐'!C831/'对齐'!C830-1</f>
        <v/>
      </c>
      <c r="G831">
        <f>'对齐'!C831/'对齐'!C$2*100</f>
        <v/>
      </c>
      <c r="H831">
        <f>'对齐'!C831/MAX('对齐'!C$2:'对齐'!C831)-1</f>
        <v/>
      </c>
      <c r="I831">
        <f>IF(ROW()-2&gt;='参数'!$B$2,STDEV(OFFSET(F831,1-'参数'!$B$2,0,'参数'!$B$2,1))*SQRT('参数'!$B$3),"")</f>
        <v/>
      </c>
    </row>
    <row r="832">
      <c r="A832">
        <f>'对齐'!A832</f>
        <v/>
      </c>
      <c r="B832">
        <f>'对齐'!B832/'对齐'!B831-1</f>
        <v/>
      </c>
      <c r="C832">
        <f>'对齐'!B832/'对齐'!B$2*100</f>
        <v/>
      </c>
      <c r="D832">
        <f>'对齐'!B832/MAX('对齐'!B$2:'对齐'!B832)-1</f>
        <v/>
      </c>
      <c r="E832">
        <f>IF(ROW()-2&gt;='参数'!$B$2,STDEV(OFFSET(B832,1-'参数'!$B$2,0,'参数'!$B$2,1))*SQRT('参数'!$B$3),"")</f>
        <v/>
      </c>
      <c r="F832">
        <f>'对齐'!C832/'对齐'!C831-1</f>
        <v/>
      </c>
      <c r="G832">
        <f>'对齐'!C832/'对齐'!C$2*100</f>
        <v/>
      </c>
      <c r="H832">
        <f>'对齐'!C832/MAX('对齐'!C$2:'对齐'!C832)-1</f>
        <v/>
      </c>
      <c r="I832">
        <f>IF(ROW()-2&gt;='参数'!$B$2,STDEV(OFFSET(F832,1-'参数'!$B$2,0,'参数'!$B$2,1))*SQRT('参数'!$B$3),"")</f>
        <v/>
      </c>
    </row>
    <row r="833">
      <c r="A833">
        <f>'对齐'!A833</f>
        <v/>
      </c>
      <c r="B833">
        <f>'对齐'!B833/'对齐'!B832-1</f>
        <v/>
      </c>
      <c r="C833">
        <f>'对齐'!B833/'对齐'!B$2*100</f>
        <v/>
      </c>
      <c r="D833">
        <f>'对齐'!B833/MAX('对齐'!B$2:'对齐'!B833)-1</f>
        <v/>
      </c>
      <c r="E833">
        <f>IF(ROW()-2&gt;='参数'!$B$2,STDEV(OFFSET(B833,1-'参数'!$B$2,0,'参数'!$B$2,1))*SQRT('参数'!$B$3),"")</f>
        <v/>
      </c>
      <c r="F833">
        <f>'对齐'!C833/'对齐'!C832-1</f>
        <v/>
      </c>
      <c r="G833">
        <f>'对齐'!C833/'对齐'!C$2*100</f>
        <v/>
      </c>
      <c r="H833">
        <f>'对齐'!C833/MAX('对齐'!C$2:'对齐'!C833)-1</f>
        <v/>
      </c>
      <c r="I833">
        <f>IF(ROW()-2&gt;='参数'!$B$2,STDEV(OFFSET(F833,1-'参数'!$B$2,0,'参数'!$B$2,1))*SQRT('参数'!$B$3),"")</f>
        <v/>
      </c>
    </row>
    <row r="834">
      <c r="A834">
        <f>'对齐'!A834</f>
        <v/>
      </c>
      <c r="B834">
        <f>'对齐'!B834/'对齐'!B833-1</f>
        <v/>
      </c>
      <c r="C834">
        <f>'对齐'!B834/'对齐'!B$2*100</f>
        <v/>
      </c>
      <c r="D834">
        <f>'对齐'!B834/MAX('对齐'!B$2:'对齐'!B834)-1</f>
        <v/>
      </c>
      <c r="E834">
        <f>IF(ROW()-2&gt;='参数'!$B$2,STDEV(OFFSET(B834,1-'参数'!$B$2,0,'参数'!$B$2,1))*SQRT('参数'!$B$3),"")</f>
        <v/>
      </c>
      <c r="F834">
        <f>'对齐'!C834/'对齐'!C833-1</f>
        <v/>
      </c>
      <c r="G834">
        <f>'对齐'!C834/'对齐'!C$2*100</f>
        <v/>
      </c>
      <c r="H834">
        <f>'对齐'!C834/MAX('对齐'!C$2:'对齐'!C834)-1</f>
        <v/>
      </c>
      <c r="I834">
        <f>IF(ROW()-2&gt;='参数'!$B$2,STDEV(OFFSET(F834,1-'参数'!$B$2,0,'参数'!$B$2,1))*SQRT('参数'!$B$3),"")</f>
        <v/>
      </c>
    </row>
    <row r="835">
      <c r="A835">
        <f>'对齐'!A835</f>
        <v/>
      </c>
      <c r="B835">
        <f>'对齐'!B835/'对齐'!B834-1</f>
        <v/>
      </c>
      <c r="C835">
        <f>'对齐'!B835/'对齐'!B$2*100</f>
        <v/>
      </c>
      <c r="D835">
        <f>'对齐'!B835/MAX('对齐'!B$2:'对齐'!B835)-1</f>
        <v/>
      </c>
      <c r="E835">
        <f>IF(ROW()-2&gt;='参数'!$B$2,STDEV(OFFSET(B835,1-'参数'!$B$2,0,'参数'!$B$2,1))*SQRT('参数'!$B$3),"")</f>
        <v/>
      </c>
      <c r="F835">
        <f>'对齐'!C835/'对齐'!C834-1</f>
        <v/>
      </c>
      <c r="G835">
        <f>'对齐'!C835/'对齐'!C$2*100</f>
        <v/>
      </c>
      <c r="H835">
        <f>'对齐'!C835/MAX('对齐'!C$2:'对齐'!C835)-1</f>
        <v/>
      </c>
      <c r="I835">
        <f>IF(ROW()-2&gt;='参数'!$B$2,STDEV(OFFSET(F835,1-'参数'!$B$2,0,'参数'!$B$2,1))*SQRT('参数'!$B$3),"")</f>
        <v/>
      </c>
    </row>
    <row r="836">
      <c r="A836">
        <f>'对齐'!A836</f>
        <v/>
      </c>
      <c r="B836">
        <f>'对齐'!B836/'对齐'!B835-1</f>
        <v/>
      </c>
      <c r="C836">
        <f>'对齐'!B836/'对齐'!B$2*100</f>
        <v/>
      </c>
      <c r="D836">
        <f>'对齐'!B836/MAX('对齐'!B$2:'对齐'!B836)-1</f>
        <v/>
      </c>
      <c r="E836">
        <f>IF(ROW()-2&gt;='参数'!$B$2,STDEV(OFFSET(B836,1-'参数'!$B$2,0,'参数'!$B$2,1))*SQRT('参数'!$B$3),"")</f>
        <v/>
      </c>
      <c r="F836">
        <f>'对齐'!C836/'对齐'!C835-1</f>
        <v/>
      </c>
      <c r="G836">
        <f>'对齐'!C836/'对齐'!C$2*100</f>
        <v/>
      </c>
      <c r="H836">
        <f>'对齐'!C836/MAX('对齐'!C$2:'对齐'!C836)-1</f>
        <v/>
      </c>
      <c r="I836">
        <f>IF(ROW()-2&gt;='参数'!$B$2,STDEV(OFFSET(F836,1-'参数'!$B$2,0,'参数'!$B$2,1))*SQRT('参数'!$B$3),"")</f>
        <v/>
      </c>
    </row>
    <row r="837">
      <c r="A837">
        <f>'对齐'!A837</f>
        <v/>
      </c>
      <c r="B837">
        <f>'对齐'!B837/'对齐'!B836-1</f>
        <v/>
      </c>
      <c r="C837">
        <f>'对齐'!B837/'对齐'!B$2*100</f>
        <v/>
      </c>
      <c r="D837">
        <f>'对齐'!B837/MAX('对齐'!B$2:'对齐'!B837)-1</f>
        <v/>
      </c>
      <c r="E837">
        <f>IF(ROW()-2&gt;='参数'!$B$2,STDEV(OFFSET(B837,1-'参数'!$B$2,0,'参数'!$B$2,1))*SQRT('参数'!$B$3),"")</f>
        <v/>
      </c>
      <c r="F837">
        <f>'对齐'!C837/'对齐'!C836-1</f>
        <v/>
      </c>
      <c r="G837">
        <f>'对齐'!C837/'对齐'!C$2*100</f>
        <v/>
      </c>
      <c r="H837">
        <f>'对齐'!C837/MAX('对齐'!C$2:'对齐'!C837)-1</f>
        <v/>
      </c>
      <c r="I837">
        <f>IF(ROW()-2&gt;='参数'!$B$2,STDEV(OFFSET(F837,1-'参数'!$B$2,0,'参数'!$B$2,1))*SQRT('参数'!$B$3),"")</f>
        <v/>
      </c>
    </row>
    <row r="838">
      <c r="A838">
        <f>'对齐'!A838</f>
        <v/>
      </c>
      <c r="B838">
        <f>'对齐'!B838/'对齐'!B837-1</f>
        <v/>
      </c>
      <c r="C838">
        <f>'对齐'!B838/'对齐'!B$2*100</f>
        <v/>
      </c>
      <c r="D838">
        <f>'对齐'!B838/MAX('对齐'!B$2:'对齐'!B838)-1</f>
        <v/>
      </c>
      <c r="E838">
        <f>IF(ROW()-2&gt;='参数'!$B$2,STDEV(OFFSET(B838,1-'参数'!$B$2,0,'参数'!$B$2,1))*SQRT('参数'!$B$3),"")</f>
        <v/>
      </c>
      <c r="F838">
        <f>'对齐'!C838/'对齐'!C837-1</f>
        <v/>
      </c>
      <c r="G838">
        <f>'对齐'!C838/'对齐'!C$2*100</f>
        <v/>
      </c>
      <c r="H838">
        <f>'对齐'!C838/MAX('对齐'!C$2:'对齐'!C838)-1</f>
        <v/>
      </c>
      <c r="I838">
        <f>IF(ROW()-2&gt;='参数'!$B$2,STDEV(OFFSET(F838,1-'参数'!$B$2,0,'参数'!$B$2,1))*SQRT('参数'!$B$3),"")</f>
        <v/>
      </c>
    </row>
    <row r="839">
      <c r="A839">
        <f>'对齐'!A839</f>
        <v/>
      </c>
      <c r="B839">
        <f>'对齐'!B839/'对齐'!B838-1</f>
        <v/>
      </c>
      <c r="C839">
        <f>'对齐'!B839/'对齐'!B$2*100</f>
        <v/>
      </c>
      <c r="D839">
        <f>'对齐'!B839/MAX('对齐'!B$2:'对齐'!B839)-1</f>
        <v/>
      </c>
      <c r="E839">
        <f>IF(ROW()-2&gt;='参数'!$B$2,STDEV(OFFSET(B839,1-'参数'!$B$2,0,'参数'!$B$2,1))*SQRT('参数'!$B$3),"")</f>
        <v/>
      </c>
      <c r="F839">
        <f>'对齐'!C839/'对齐'!C838-1</f>
        <v/>
      </c>
      <c r="G839">
        <f>'对齐'!C839/'对齐'!C$2*100</f>
        <v/>
      </c>
      <c r="H839">
        <f>'对齐'!C839/MAX('对齐'!C$2:'对齐'!C839)-1</f>
        <v/>
      </c>
      <c r="I839">
        <f>IF(ROW()-2&gt;='参数'!$B$2,STDEV(OFFSET(F839,1-'参数'!$B$2,0,'参数'!$B$2,1))*SQRT('参数'!$B$3),"")</f>
        <v/>
      </c>
    </row>
    <row r="840">
      <c r="A840">
        <f>'对齐'!A840</f>
        <v/>
      </c>
      <c r="B840">
        <f>'对齐'!B840/'对齐'!B839-1</f>
        <v/>
      </c>
      <c r="C840">
        <f>'对齐'!B840/'对齐'!B$2*100</f>
        <v/>
      </c>
      <c r="D840">
        <f>'对齐'!B840/MAX('对齐'!B$2:'对齐'!B840)-1</f>
        <v/>
      </c>
      <c r="E840">
        <f>IF(ROW()-2&gt;='参数'!$B$2,STDEV(OFFSET(B840,1-'参数'!$B$2,0,'参数'!$B$2,1))*SQRT('参数'!$B$3),"")</f>
        <v/>
      </c>
      <c r="F840">
        <f>'对齐'!C840/'对齐'!C839-1</f>
        <v/>
      </c>
      <c r="G840">
        <f>'对齐'!C840/'对齐'!C$2*100</f>
        <v/>
      </c>
      <c r="H840">
        <f>'对齐'!C840/MAX('对齐'!C$2:'对齐'!C840)-1</f>
        <v/>
      </c>
      <c r="I840">
        <f>IF(ROW()-2&gt;='参数'!$B$2,STDEV(OFFSET(F840,1-'参数'!$B$2,0,'参数'!$B$2,1))*SQRT('参数'!$B$3),"")</f>
        <v/>
      </c>
    </row>
    <row r="841">
      <c r="A841">
        <f>'对齐'!A841</f>
        <v/>
      </c>
      <c r="B841">
        <f>'对齐'!B841/'对齐'!B840-1</f>
        <v/>
      </c>
      <c r="C841">
        <f>'对齐'!B841/'对齐'!B$2*100</f>
        <v/>
      </c>
      <c r="D841">
        <f>'对齐'!B841/MAX('对齐'!B$2:'对齐'!B841)-1</f>
        <v/>
      </c>
      <c r="E841">
        <f>IF(ROW()-2&gt;='参数'!$B$2,STDEV(OFFSET(B841,1-'参数'!$B$2,0,'参数'!$B$2,1))*SQRT('参数'!$B$3),"")</f>
        <v/>
      </c>
      <c r="F841">
        <f>'对齐'!C841/'对齐'!C840-1</f>
        <v/>
      </c>
      <c r="G841">
        <f>'对齐'!C841/'对齐'!C$2*100</f>
        <v/>
      </c>
      <c r="H841">
        <f>'对齐'!C841/MAX('对齐'!C$2:'对齐'!C841)-1</f>
        <v/>
      </c>
      <c r="I841">
        <f>IF(ROW()-2&gt;='参数'!$B$2,STDEV(OFFSET(F841,1-'参数'!$B$2,0,'参数'!$B$2,1))*SQRT('参数'!$B$3),"")</f>
        <v/>
      </c>
    </row>
    <row r="842">
      <c r="A842">
        <f>'对齐'!A842</f>
        <v/>
      </c>
      <c r="B842">
        <f>'对齐'!B842/'对齐'!B841-1</f>
        <v/>
      </c>
      <c r="C842">
        <f>'对齐'!B842/'对齐'!B$2*100</f>
        <v/>
      </c>
      <c r="D842">
        <f>'对齐'!B842/MAX('对齐'!B$2:'对齐'!B842)-1</f>
        <v/>
      </c>
      <c r="E842">
        <f>IF(ROW()-2&gt;='参数'!$B$2,STDEV(OFFSET(B842,1-'参数'!$B$2,0,'参数'!$B$2,1))*SQRT('参数'!$B$3),"")</f>
        <v/>
      </c>
      <c r="F842">
        <f>'对齐'!C842/'对齐'!C841-1</f>
        <v/>
      </c>
      <c r="G842">
        <f>'对齐'!C842/'对齐'!C$2*100</f>
        <v/>
      </c>
      <c r="H842">
        <f>'对齐'!C842/MAX('对齐'!C$2:'对齐'!C842)-1</f>
        <v/>
      </c>
      <c r="I842">
        <f>IF(ROW()-2&gt;='参数'!$B$2,STDEV(OFFSET(F842,1-'参数'!$B$2,0,'参数'!$B$2,1))*SQRT('参数'!$B$3),"")</f>
        <v/>
      </c>
    </row>
    <row r="843">
      <c r="A843">
        <f>'对齐'!A843</f>
        <v/>
      </c>
      <c r="B843">
        <f>'对齐'!B843/'对齐'!B842-1</f>
        <v/>
      </c>
      <c r="C843">
        <f>'对齐'!B843/'对齐'!B$2*100</f>
        <v/>
      </c>
      <c r="D843">
        <f>'对齐'!B843/MAX('对齐'!B$2:'对齐'!B843)-1</f>
        <v/>
      </c>
      <c r="E843">
        <f>IF(ROW()-2&gt;='参数'!$B$2,STDEV(OFFSET(B843,1-'参数'!$B$2,0,'参数'!$B$2,1))*SQRT('参数'!$B$3),"")</f>
        <v/>
      </c>
      <c r="F843">
        <f>'对齐'!C843/'对齐'!C842-1</f>
        <v/>
      </c>
      <c r="G843">
        <f>'对齐'!C843/'对齐'!C$2*100</f>
        <v/>
      </c>
      <c r="H843">
        <f>'对齐'!C843/MAX('对齐'!C$2:'对齐'!C843)-1</f>
        <v/>
      </c>
      <c r="I843">
        <f>IF(ROW()-2&gt;='参数'!$B$2,STDEV(OFFSET(F843,1-'参数'!$B$2,0,'参数'!$B$2,1))*SQRT('参数'!$B$3),"")</f>
        <v/>
      </c>
    </row>
    <row r="844">
      <c r="A844">
        <f>'对齐'!A844</f>
        <v/>
      </c>
      <c r="B844">
        <f>'对齐'!B844/'对齐'!B843-1</f>
        <v/>
      </c>
      <c r="C844">
        <f>'对齐'!B844/'对齐'!B$2*100</f>
        <v/>
      </c>
      <c r="D844">
        <f>'对齐'!B844/MAX('对齐'!B$2:'对齐'!B844)-1</f>
        <v/>
      </c>
      <c r="E844">
        <f>IF(ROW()-2&gt;='参数'!$B$2,STDEV(OFFSET(B844,1-'参数'!$B$2,0,'参数'!$B$2,1))*SQRT('参数'!$B$3),"")</f>
        <v/>
      </c>
      <c r="F844">
        <f>'对齐'!C844/'对齐'!C843-1</f>
        <v/>
      </c>
      <c r="G844">
        <f>'对齐'!C844/'对齐'!C$2*100</f>
        <v/>
      </c>
      <c r="H844">
        <f>'对齐'!C844/MAX('对齐'!C$2:'对齐'!C844)-1</f>
        <v/>
      </c>
      <c r="I844">
        <f>IF(ROW()-2&gt;='参数'!$B$2,STDEV(OFFSET(F844,1-'参数'!$B$2,0,'参数'!$B$2,1))*SQRT('参数'!$B$3),"")</f>
        <v/>
      </c>
    </row>
    <row r="845">
      <c r="A845">
        <f>'对齐'!A845</f>
        <v/>
      </c>
      <c r="B845">
        <f>'对齐'!B845/'对齐'!B844-1</f>
        <v/>
      </c>
      <c r="C845">
        <f>'对齐'!B845/'对齐'!B$2*100</f>
        <v/>
      </c>
      <c r="D845">
        <f>'对齐'!B845/MAX('对齐'!B$2:'对齐'!B845)-1</f>
        <v/>
      </c>
      <c r="E845">
        <f>IF(ROW()-2&gt;='参数'!$B$2,STDEV(OFFSET(B845,1-'参数'!$B$2,0,'参数'!$B$2,1))*SQRT('参数'!$B$3),"")</f>
        <v/>
      </c>
      <c r="F845">
        <f>'对齐'!C845/'对齐'!C844-1</f>
        <v/>
      </c>
      <c r="G845">
        <f>'对齐'!C845/'对齐'!C$2*100</f>
        <v/>
      </c>
      <c r="H845">
        <f>'对齐'!C845/MAX('对齐'!C$2:'对齐'!C845)-1</f>
        <v/>
      </c>
      <c r="I845">
        <f>IF(ROW()-2&gt;='参数'!$B$2,STDEV(OFFSET(F845,1-'参数'!$B$2,0,'参数'!$B$2,1))*SQRT('参数'!$B$3),"")</f>
        <v/>
      </c>
    </row>
    <row r="846">
      <c r="A846">
        <f>'对齐'!A846</f>
        <v/>
      </c>
      <c r="B846">
        <f>'对齐'!B846/'对齐'!B845-1</f>
        <v/>
      </c>
      <c r="C846">
        <f>'对齐'!B846/'对齐'!B$2*100</f>
        <v/>
      </c>
      <c r="D846">
        <f>'对齐'!B846/MAX('对齐'!B$2:'对齐'!B846)-1</f>
        <v/>
      </c>
      <c r="E846">
        <f>IF(ROW()-2&gt;='参数'!$B$2,STDEV(OFFSET(B846,1-'参数'!$B$2,0,'参数'!$B$2,1))*SQRT('参数'!$B$3),"")</f>
        <v/>
      </c>
      <c r="F846">
        <f>'对齐'!C846/'对齐'!C845-1</f>
        <v/>
      </c>
      <c r="G846">
        <f>'对齐'!C846/'对齐'!C$2*100</f>
        <v/>
      </c>
      <c r="H846">
        <f>'对齐'!C846/MAX('对齐'!C$2:'对齐'!C846)-1</f>
        <v/>
      </c>
      <c r="I846">
        <f>IF(ROW()-2&gt;='参数'!$B$2,STDEV(OFFSET(F846,1-'参数'!$B$2,0,'参数'!$B$2,1))*SQRT('参数'!$B$3),"")</f>
        <v/>
      </c>
    </row>
    <row r="847">
      <c r="A847">
        <f>'对齐'!A847</f>
        <v/>
      </c>
      <c r="B847">
        <f>'对齐'!B847/'对齐'!B846-1</f>
        <v/>
      </c>
      <c r="C847">
        <f>'对齐'!B847/'对齐'!B$2*100</f>
        <v/>
      </c>
      <c r="D847">
        <f>'对齐'!B847/MAX('对齐'!B$2:'对齐'!B847)-1</f>
        <v/>
      </c>
      <c r="E847">
        <f>IF(ROW()-2&gt;='参数'!$B$2,STDEV(OFFSET(B847,1-'参数'!$B$2,0,'参数'!$B$2,1))*SQRT('参数'!$B$3),"")</f>
        <v/>
      </c>
      <c r="F847">
        <f>'对齐'!C847/'对齐'!C846-1</f>
        <v/>
      </c>
      <c r="G847">
        <f>'对齐'!C847/'对齐'!C$2*100</f>
        <v/>
      </c>
      <c r="H847">
        <f>'对齐'!C847/MAX('对齐'!C$2:'对齐'!C847)-1</f>
        <v/>
      </c>
      <c r="I847">
        <f>IF(ROW()-2&gt;='参数'!$B$2,STDEV(OFFSET(F847,1-'参数'!$B$2,0,'参数'!$B$2,1))*SQRT('参数'!$B$3),"")</f>
        <v/>
      </c>
    </row>
    <row r="848">
      <c r="A848">
        <f>'对齐'!A848</f>
        <v/>
      </c>
      <c r="B848">
        <f>'对齐'!B848/'对齐'!B847-1</f>
        <v/>
      </c>
      <c r="C848">
        <f>'对齐'!B848/'对齐'!B$2*100</f>
        <v/>
      </c>
      <c r="D848">
        <f>'对齐'!B848/MAX('对齐'!B$2:'对齐'!B848)-1</f>
        <v/>
      </c>
      <c r="E848">
        <f>IF(ROW()-2&gt;='参数'!$B$2,STDEV(OFFSET(B848,1-'参数'!$B$2,0,'参数'!$B$2,1))*SQRT('参数'!$B$3),"")</f>
        <v/>
      </c>
      <c r="F848">
        <f>'对齐'!C848/'对齐'!C847-1</f>
        <v/>
      </c>
      <c r="G848">
        <f>'对齐'!C848/'对齐'!C$2*100</f>
        <v/>
      </c>
      <c r="H848">
        <f>'对齐'!C848/MAX('对齐'!C$2:'对齐'!C848)-1</f>
        <v/>
      </c>
      <c r="I848">
        <f>IF(ROW()-2&gt;='参数'!$B$2,STDEV(OFFSET(F848,1-'参数'!$B$2,0,'参数'!$B$2,1))*SQRT('参数'!$B$3),"")</f>
        <v/>
      </c>
    </row>
    <row r="849">
      <c r="A849">
        <f>'对齐'!A849</f>
        <v/>
      </c>
      <c r="B849">
        <f>'对齐'!B849/'对齐'!B848-1</f>
        <v/>
      </c>
      <c r="C849">
        <f>'对齐'!B849/'对齐'!B$2*100</f>
        <v/>
      </c>
      <c r="D849">
        <f>'对齐'!B849/MAX('对齐'!B$2:'对齐'!B849)-1</f>
        <v/>
      </c>
      <c r="E849">
        <f>IF(ROW()-2&gt;='参数'!$B$2,STDEV(OFFSET(B849,1-'参数'!$B$2,0,'参数'!$B$2,1))*SQRT('参数'!$B$3),"")</f>
        <v/>
      </c>
      <c r="F849">
        <f>'对齐'!C849/'对齐'!C848-1</f>
        <v/>
      </c>
      <c r="G849">
        <f>'对齐'!C849/'对齐'!C$2*100</f>
        <v/>
      </c>
      <c r="H849">
        <f>'对齐'!C849/MAX('对齐'!C$2:'对齐'!C849)-1</f>
        <v/>
      </c>
      <c r="I849">
        <f>IF(ROW()-2&gt;='参数'!$B$2,STDEV(OFFSET(F849,1-'参数'!$B$2,0,'参数'!$B$2,1))*SQRT('参数'!$B$3),"")</f>
        <v/>
      </c>
    </row>
    <row r="850">
      <c r="A850">
        <f>'对齐'!A850</f>
        <v/>
      </c>
      <c r="B850">
        <f>'对齐'!B850/'对齐'!B849-1</f>
        <v/>
      </c>
      <c r="C850">
        <f>'对齐'!B850/'对齐'!B$2*100</f>
        <v/>
      </c>
      <c r="D850">
        <f>'对齐'!B850/MAX('对齐'!B$2:'对齐'!B850)-1</f>
        <v/>
      </c>
      <c r="E850">
        <f>IF(ROW()-2&gt;='参数'!$B$2,STDEV(OFFSET(B850,1-'参数'!$B$2,0,'参数'!$B$2,1))*SQRT('参数'!$B$3),"")</f>
        <v/>
      </c>
      <c r="F850">
        <f>'对齐'!C850/'对齐'!C849-1</f>
        <v/>
      </c>
      <c r="G850">
        <f>'对齐'!C850/'对齐'!C$2*100</f>
        <v/>
      </c>
      <c r="H850">
        <f>'对齐'!C850/MAX('对齐'!C$2:'对齐'!C850)-1</f>
        <v/>
      </c>
      <c r="I850">
        <f>IF(ROW()-2&gt;='参数'!$B$2,STDEV(OFFSET(F850,1-'参数'!$B$2,0,'参数'!$B$2,1))*SQRT('参数'!$B$3),"")</f>
        <v/>
      </c>
    </row>
    <row r="851">
      <c r="A851">
        <f>'对齐'!A851</f>
        <v/>
      </c>
      <c r="B851">
        <f>'对齐'!B851/'对齐'!B850-1</f>
        <v/>
      </c>
      <c r="C851">
        <f>'对齐'!B851/'对齐'!B$2*100</f>
        <v/>
      </c>
      <c r="D851">
        <f>'对齐'!B851/MAX('对齐'!B$2:'对齐'!B851)-1</f>
        <v/>
      </c>
      <c r="E851">
        <f>IF(ROW()-2&gt;='参数'!$B$2,STDEV(OFFSET(B851,1-'参数'!$B$2,0,'参数'!$B$2,1))*SQRT('参数'!$B$3),"")</f>
        <v/>
      </c>
      <c r="F851">
        <f>'对齐'!C851/'对齐'!C850-1</f>
        <v/>
      </c>
      <c r="G851">
        <f>'对齐'!C851/'对齐'!C$2*100</f>
        <v/>
      </c>
      <c r="H851">
        <f>'对齐'!C851/MAX('对齐'!C$2:'对齐'!C851)-1</f>
        <v/>
      </c>
      <c r="I851">
        <f>IF(ROW()-2&gt;='参数'!$B$2,STDEV(OFFSET(F851,1-'参数'!$B$2,0,'参数'!$B$2,1))*SQRT('参数'!$B$3),"")</f>
        <v/>
      </c>
    </row>
    <row r="852">
      <c r="A852">
        <f>'对齐'!A852</f>
        <v/>
      </c>
      <c r="B852">
        <f>'对齐'!B852/'对齐'!B851-1</f>
        <v/>
      </c>
      <c r="C852">
        <f>'对齐'!B852/'对齐'!B$2*100</f>
        <v/>
      </c>
      <c r="D852">
        <f>'对齐'!B852/MAX('对齐'!B$2:'对齐'!B852)-1</f>
        <v/>
      </c>
      <c r="E852">
        <f>IF(ROW()-2&gt;='参数'!$B$2,STDEV(OFFSET(B852,1-'参数'!$B$2,0,'参数'!$B$2,1))*SQRT('参数'!$B$3),"")</f>
        <v/>
      </c>
      <c r="F852">
        <f>'对齐'!C852/'对齐'!C851-1</f>
        <v/>
      </c>
      <c r="G852">
        <f>'对齐'!C852/'对齐'!C$2*100</f>
        <v/>
      </c>
      <c r="H852">
        <f>'对齐'!C852/MAX('对齐'!C$2:'对齐'!C852)-1</f>
        <v/>
      </c>
      <c r="I852">
        <f>IF(ROW()-2&gt;='参数'!$B$2,STDEV(OFFSET(F852,1-'参数'!$B$2,0,'参数'!$B$2,1))*SQRT('参数'!$B$3),"")</f>
        <v/>
      </c>
    </row>
    <row r="853">
      <c r="A853">
        <f>'对齐'!A853</f>
        <v/>
      </c>
      <c r="B853">
        <f>'对齐'!B853/'对齐'!B852-1</f>
        <v/>
      </c>
      <c r="C853">
        <f>'对齐'!B853/'对齐'!B$2*100</f>
        <v/>
      </c>
      <c r="D853">
        <f>'对齐'!B853/MAX('对齐'!B$2:'对齐'!B853)-1</f>
        <v/>
      </c>
      <c r="E853">
        <f>IF(ROW()-2&gt;='参数'!$B$2,STDEV(OFFSET(B853,1-'参数'!$B$2,0,'参数'!$B$2,1))*SQRT('参数'!$B$3),"")</f>
        <v/>
      </c>
      <c r="F853">
        <f>'对齐'!C853/'对齐'!C852-1</f>
        <v/>
      </c>
      <c r="G853">
        <f>'对齐'!C853/'对齐'!C$2*100</f>
        <v/>
      </c>
      <c r="H853">
        <f>'对齐'!C853/MAX('对齐'!C$2:'对齐'!C853)-1</f>
        <v/>
      </c>
      <c r="I853">
        <f>IF(ROW()-2&gt;='参数'!$B$2,STDEV(OFFSET(F853,1-'参数'!$B$2,0,'参数'!$B$2,1))*SQRT('参数'!$B$3),"")</f>
        <v/>
      </c>
    </row>
    <row r="854">
      <c r="A854">
        <f>'对齐'!A854</f>
        <v/>
      </c>
      <c r="B854">
        <f>'对齐'!B854/'对齐'!B853-1</f>
        <v/>
      </c>
      <c r="C854">
        <f>'对齐'!B854/'对齐'!B$2*100</f>
        <v/>
      </c>
      <c r="D854">
        <f>'对齐'!B854/MAX('对齐'!B$2:'对齐'!B854)-1</f>
        <v/>
      </c>
      <c r="E854">
        <f>IF(ROW()-2&gt;='参数'!$B$2,STDEV(OFFSET(B854,1-'参数'!$B$2,0,'参数'!$B$2,1))*SQRT('参数'!$B$3),"")</f>
        <v/>
      </c>
      <c r="F854">
        <f>'对齐'!C854/'对齐'!C853-1</f>
        <v/>
      </c>
      <c r="G854">
        <f>'对齐'!C854/'对齐'!C$2*100</f>
        <v/>
      </c>
      <c r="H854">
        <f>'对齐'!C854/MAX('对齐'!C$2:'对齐'!C854)-1</f>
        <v/>
      </c>
      <c r="I854">
        <f>IF(ROW()-2&gt;='参数'!$B$2,STDEV(OFFSET(F854,1-'参数'!$B$2,0,'参数'!$B$2,1))*SQRT('参数'!$B$3),"")</f>
        <v/>
      </c>
    </row>
    <row r="855">
      <c r="A855">
        <f>'对齐'!A855</f>
        <v/>
      </c>
      <c r="B855">
        <f>'对齐'!B855/'对齐'!B854-1</f>
        <v/>
      </c>
      <c r="C855">
        <f>'对齐'!B855/'对齐'!B$2*100</f>
        <v/>
      </c>
      <c r="D855">
        <f>'对齐'!B855/MAX('对齐'!B$2:'对齐'!B855)-1</f>
        <v/>
      </c>
      <c r="E855">
        <f>IF(ROW()-2&gt;='参数'!$B$2,STDEV(OFFSET(B855,1-'参数'!$B$2,0,'参数'!$B$2,1))*SQRT('参数'!$B$3),"")</f>
        <v/>
      </c>
      <c r="F855">
        <f>'对齐'!C855/'对齐'!C854-1</f>
        <v/>
      </c>
      <c r="G855">
        <f>'对齐'!C855/'对齐'!C$2*100</f>
        <v/>
      </c>
      <c r="H855">
        <f>'对齐'!C855/MAX('对齐'!C$2:'对齐'!C855)-1</f>
        <v/>
      </c>
      <c r="I855">
        <f>IF(ROW()-2&gt;='参数'!$B$2,STDEV(OFFSET(F855,1-'参数'!$B$2,0,'参数'!$B$2,1))*SQRT('参数'!$B$3),"")</f>
        <v/>
      </c>
    </row>
    <row r="856">
      <c r="A856">
        <f>'对齐'!A856</f>
        <v/>
      </c>
      <c r="B856">
        <f>'对齐'!B856/'对齐'!B855-1</f>
        <v/>
      </c>
      <c r="C856">
        <f>'对齐'!B856/'对齐'!B$2*100</f>
        <v/>
      </c>
      <c r="D856">
        <f>'对齐'!B856/MAX('对齐'!B$2:'对齐'!B856)-1</f>
        <v/>
      </c>
      <c r="E856">
        <f>IF(ROW()-2&gt;='参数'!$B$2,STDEV(OFFSET(B856,1-'参数'!$B$2,0,'参数'!$B$2,1))*SQRT('参数'!$B$3),"")</f>
        <v/>
      </c>
      <c r="F856">
        <f>'对齐'!C856/'对齐'!C855-1</f>
        <v/>
      </c>
      <c r="G856">
        <f>'对齐'!C856/'对齐'!C$2*100</f>
        <v/>
      </c>
      <c r="H856">
        <f>'对齐'!C856/MAX('对齐'!C$2:'对齐'!C856)-1</f>
        <v/>
      </c>
      <c r="I856">
        <f>IF(ROW()-2&gt;='参数'!$B$2,STDEV(OFFSET(F856,1-'参数'!$B$2,0,'参数'!$B$2,1))*SQRT('参数'!$B$3),"")</f>
        <v/>
      </c>
    </row>
    <row r="857">
      <c r="A857">
        <f>'对齐'!A857</f>
        <v/>
      </c>
      <c r="B857">
        <f>'对齐'!B857/'对齐'!B856-1</f>
        <v/>
      </c>
      <c r="C857">
        <f>'对齐'!B857/'对齐'!B$2*100</f>
        <v/>
      </c>
      <c r="D857">
        <f>'对齐'!B857/MAX('对齐'!B$2:'对齐'!B857)-1</f>
        <v/>
      </c>
      <c r="E857">
        <f>IF(ROW()-2&gt;='参数'!$B$2,STDEV(OFFSET(B857,1-'参数'!$B$2,0,'参数'!$B$2,1))*SQRT('参数'!$B$3),"")</f>
        <v/>
      </c>
      <c r="F857">
        <f>'对齐'!C857/'对齐'!C856-1</f>
        <v/>
      </c>
      <c r="G857">
        <f>'对齐'!C857/'对齐'!C$2*100</f>
        <v/>
      </c>
      <c r="H857">
        <f>'对齐'!C857/MAX('对齐'!C$2:'对齐'!C857)-1</f>
        <v/>
      </c>
      <c r="I857">
        <f>IF(ROW()-2&gt;='参数'!$B$2,STDEV(OFFSET(F857,1-'参数'!$B$2,0,'参数'!$B$2,1))*SQRT('参数'!$B$3),"")</f>
        <v/>
      </c>
    </row>
    <row r="858">
      <c r="A858">
        <f>'对齐'!A858</f>
        <v/>
      </c>
      <c r="B858">
        <f>'对齐'!B858/'对齐'!B857-1</f>
        <v/>
      </c>
      <c r="C858">
        <f>'对齐'!B858/'对齐'!B$2*100</f>
        <v/>
      </c>
      <c r="D858">
        <f>'对齐'!B858/MAX('对齐'!B$2:'对齐'!B858)-1</f>
        <v/>
      </c>
      <c r="E858">
        <f>IF(ROW()-2&gt;='参数'!$B$2,STDEV(OFFSET(B858,1-'参数'!$B$2,0,'参数'!$B$2,1))*SQRT('参数'!$B$3),"")</f>
        <v/>
      </c>
      <c r="F858">
        <f>'对齐'!C858/'对齐'!C857-1</f>
        <v/>
      </c>
      <c r="G858">
        <f>'对齐'!C858/'对齐'!C$2*100</f>
        <v/>
      </c>
      <c r="H858">
        <f>'对齐'!C858/MAX('对齐'!C$2:'对齐'!C858)-1</f>
        <v/>
      </c>
      <c r="I858">
        <f>IF(ROW()-2&gt;='参数'!$B$2,STDEV(OFFSET(F858,1-'参数'!$B$2,0,'参数'!$B$2,1))*SQRT('参数'!$B$3),"")</f>
        <v/>
      </c>
    </row>
    <row r="859">
      <c r="A859">
        <f>'对齐'!A859</f>
        <v/>
      </c>
      <c r="B859">
        <f>'对齐'!B859/'对齐'!B858-1</f>
        <v/>
      </c>
      <c r="C859">
        <f>'对齐'!B859/'对齐'!B$2*100</f>
        <v/>
      </c>
      <c r="D859">
        <f>'对齐'!B859/MAX('对齐'!B$2:'对齐'!B859)-1</f>
        <v/>
      </c>
      <c r="E859">
        <f>IF(ROW()-2&gt;='参数'!$B$2,STDEV(OFFSET(B859,1-'参数'!$B$2,0,'参数'!$B$2,1))*SQRT('参数'!$B$3),"")</f>
        <v/>
      </c>
      <c r="F859">
        <f>'对齐'!C859/'对齐'!C858-1</f>
        <v/>
      </c>
      <c r="G859">
        <f>'对齐'!C859/'对齐'!C$2*100</f>
        <v/>
      </c>
      <c r="H859">
        <f>'对齐'!C859/MAX('对齐'!C$2:'对齐'!C859)-1</f>
        <v/>
      </c>
      <c r="I859">
        <f>IF(ROW()-2&gt;='参数'!$B$2,STDEV(OFFSET(F859,1-'参数'!$B$2,0,'参数'!$B$2,1))*SQRT('参数'!$B$3),"")</f>
        <v/>
      </c>
    </row>
    <row r="860">
      <c r="A860">
        <f>'对齐'!A860</f>
        <v/>
      </c>
      <c r="B860">
        <f>'对齐'!B860/'对齐'!B859-1</f>
        <v/>
      </c>
      <c r="C860">
        <f>'对齐'!B860/'对齐'!B$2*100</f>
        <v/>
      </c>
      <c r="D860">
        <f>'对齐'!B860/MAX('对齐'!B$2:'对齐'!B860)-1</f>
        <v/>
      </c>
      <c r="E860">
        <f>IF(ROW()-2&gt;='参数'!$B$2,STDEV(OFFSET(B860,1-'参数'!$B$2,0,'参数'!$B$2,1))*SQRT('参数'!$B$3),"")</f>
        <v/>
      </c>
      <c r="F860">
        <f>'对齐'!C860/'对齐'!C859-1</f>
        <v/>
      </c>
      <c r="G860">
        <f>'对齐'!C860/'对齐'!C$2*100</f>
        <v/>
      </c>
      <c r="H860">
        <f>'对齐'!C860/MAX('对齐'!C$2:'对齐'!C860)-1</f>
        <v/>
      </c>
      <c r="I860">
        <f>IF(ROW()-2&gt;='参数'!$B$2,STDEV(OFFSET(F860,1-'参数'!$B$2,0,'参数'!$B$2,1))*SQRT('参数'!$B$3),"")</f>
        <v/>
      </c>
    </row>
    <row r="861">
      <c r="A861">
        <f>'对齐'!A861</f>
        <v/>
      </c>
      <c r="B861">
        <f>'对齐'!B861/'对齐'!B860-1</f>
        <v/>
      </c>
      <c r="C861">
        <f>'对齐'!B861/'对齐'!B$2*100</f>
        <v/>
      </c>
      <c r="D861">
        <f>'对齐'!B861/MAX('对齐'!B$2:'对齐'!B861)-1</f>
        <v/>
      </c>
      <c r="E861">
        <f>IF(ROW()-2&gt;='参数'!$B$2,STDEV(OFFSET(B861,1-'参数'!$B$2,0,'参数'!$B$2,1))*SQRT('参数'!$B$3),"")</f>
        <v/>
      </c>
      <c r="F861">
        <f>'对齐'!C861/'对齐'!C860-1</f>
        <v/>
      </c>
      <c r="G861">
        <f>'对齐'!C861/'对齐'!C$2*100</f>
        <v/>
      </c>
      <c r="H861">
        <f>'对齐'!C861/MAX('对齐'!C$2:'对齐'!C861)-1</f>
        <v/>
      </c>
      <c r="I861">
        <f>IF(ROW()-2&gt;='参数'!$B$2,STDEV(OFFSET(F861,1-'参数'!$B$2,0,'参数'!$B$2,1))*SQRT('参数'!$B$3),"")</f>
        <v/>
      </c>
    </row>
    <row r="862">
      <c r="A862">
        <f>'对齐'!A862</f>
        <v/>
      </c>
      <c r="B862">
        <f>'对齐'!B862/'对齐'!B861-1</f>
        <v/>
      </c>
      <c r="C862">
        <f>'对齐'!B862/'对齐'!B$2*100</f>
        <v/>
      </c>
      <c r="D862">
        <f>'对齐'!B862/MAX('对齐'!B$2:'对齐'!B862)-1</f>
        <v/>
      </c>
      <c r="E862">
        <f>IF(ROW()-2&gt;='参数'!$B$2,STDEV(OFFSET(B862,1-'参数'!$B$2,0,'参数'!$B$2,1))*SQRT('参数'!$B$3),"")</f>
        <v/>
      </c>
      <c r="F862">
        <f>'对齐'!C862/'对齐'!C861-1</f>
        <v/>
      </c>
      <c r="G862">
        <f>'对齐'!C862/'对齐'!C$2*100</f>
        <v/>
      </c>
      <c r="H862">
        <f>'对齐'!C862/MAX('对齐'!C$2:'对齐'!C862)-1</f>
        <v/>
      </c>
      <c r="I862">
        <f>IF(ROW()-2&gt;='参数'!$B$2,STDEV(OFFSET(F862,1-'参数'!$B$2,0,'参数'!$B$2,1))*SQRT('参数'!$B$3),"")</f>
        <v/>
      </c>
    </row>
    <row r="863">
      <c r="A863">
        <f>'对齐'!A863</f>
        <v/>
      </c>
      <c r="B863">
        <f>'对齐'!B863/'对齐'!B862-1</f>
        <v/>
      </c>
      <c r="C863">
        <f>'对齐'!B863/'对齐'!B$2*100</f>
        <v/>
      </c>
      <c r="D863">
        <f>'对齐'!B863/MAX('对齐'!B$2:'对齐'!B863)-1</f>
        <v/>
      </c>
      <c r="E863">
        <f>IF(ROW()-2&gt;='参数'!$B$2,STDEV(OFFSET(B863,1-'参数'!$B$2,0,'参数'!$B$2,1))*SQRT('参数'!$B$3),"")</f>
        <v/>
      </c>
      <c r="F863">
        <f>'对齐'!C863/'对齐'!C862-1</f>
        <v/>
      </c>
      <c r="G863">
        <f>'对齐'!C863/'对齐'!C$2*100</f>
        <v/>
      </c>
      <c r="H863">
        <f>'对齐'!C863/MAX('对齐'!C$2:'对齐'!C863)-1</f>
        <v/>
      </c>
      <c r="I863">
        <f>IF(ROW()-2&gt;='参数'!$B$2,STDEV(OFFSET(F863,1-'参数'!$B$2,0,'参数'!$B$2,1))*SQRT('参数'!$B$3),"")</f>
        <v/>
      </c>
    </row>
    <row r="864">
      <c r="A864">
        <f>'对齐'!A864</f>
        <v/>
      </c>
      <c r="B864">
        <f>'对齐'!B864/'对齐'!B863-1</f>
        <v/>
      </c>
      <c r="C864">
        <f>'对齐'!B864/'对齐'!B$2*100</f>
        <v/>
      </c>
      <c r="D864">
        <f>'对齐'!B864/MAX('对齐'!B$2:'对齐'!B864)-1</f>
        <v/>
      </c>
      <c r="E864">
        <f>IF(ROW()-2&gt;='参数'!$B$2,STDEV(OFFSET(B864,1-'参数'!$B$2,0,'参数'!$B$2,1))*SQRT('参数'!$B$3),"")</f>
        <v/>
      </c>
      <c r="F864">
        <f>'对齐'!C864/'对齐'!C863-1</f>
        <v/>
      </c>
      <c r="G864">
        <f>'对齐'!C864/'对齐'!C$2*100</f>
        <v/>
      </c>
      <c r="H864">
        <f>'对齐'!C864/MAX('对齐'!C$2:'对齐'!C864)-1</f>
        <v/>
      </c>
      <c r="I864">
        <f>IF(ROW()-2&gt;='参数'!$B$2,STDEV(OFFSET(F864,1-'参数'!$B$2,0,'参数'!$B$2,1))*SQRT('参数'!$B$3),"")</f>
        <v/>
      </c>
    </row>
    <row r="865">
      <c r="A865">
        <f>'对齐'!A865</f>
        <v/>
      </c>
      <c r="B865">
        <f>'对齐'!B865/'对齐'!B864-1</f>
        <v/>
      </c>
      <c r="C865">
        <f>'对齐'!B865/'对齐'!B$2*100</f>
        <v/>
      </c>
      <c r="D865">
        <f>'对齐'!B865/MAX('对齐'!B$2:'对齐'!B865)-1</f>
        <v/>
      </c>
      <c r="E865">
        <f>IF(ROW()-2&gt;='参数'!$B$2,STDEV(OFFSET(B865,1-'参数'!$B$2,0,'参数'!$B$2,1))*SQRT('参数'!$B$3),"")</f>
        <v/>
      </c>
      <c r="F865">
        <f>'对齐'!C865/'对齐'!C864-1</f>
        <v/>
      </c>
      <c r="G865">
        <f>'对齐'!C865/'对齐'!C$2*100</f>
        <v/>
      </c>
      <c r="H865">
        <f>'对齐'!C865/MAX('对齐'!C$2:'对齐'!C865)-1</f>
        <v/>
      </c>
      <c r="I865">
        <f>IF(ROW()-2&gt;='参数'!$B$2,STDEV(OFFSET(F865,1-'参数'!$B$2,0,'参数'!$B$2,1))*SQRT('参数'!$B$3),"")</f>
        <v/>
      </c>
    </row>
    <row r="866">
      <c r="A866">
        <f>'对齐'!A866</f>
        <v/>
      </c>
      <c r="B866">
        <f>'对齐'!B866/'对齐'!B865-1</f>
        <v/>
      </c>
      <c r="C866">
        <f>'对齐'!B866/'对齐'!B$2*100</f>
        <v/>
      </c>
      <c r="D866">
        <f>'对齐'!B866/MAX('对齐'!B$2:'对齐'!B866)-1</f>
        <v/>
      </c>
      <c r="E866">
        <f>IF(ROW()-2&gt;='参数'!$B$2,STDEV(OFFSET(B866,1-'参数'!$B$2,0,'参数'!$B$2,1))*SQRT('参数'!$B$3),"")</f>
        <v/>
      </c>
      <c r="F866">
        <f>'对齐'!C866/'对齐'!C865-1</f>
        <v/>
      </c>
      <c r="G866">
        <f>'对齐'!C866/'对齐'!C$2*100</f>
        <v/>
      </c>
      <c r="H866">
        <f>'对齐'!C866/MAX('对齐'!C$2:'对齐'!C866)-1</f>
        <v/>
      </c>
      <c r="I866">
        <f>IF(ROW()-2&gt;='参数'!$B$2,STDEV(OFFSET(F866,1-'参数'!$B$2,0,'参数'!$B$2,1))*SQRT('参数'!$B$3),"")</f>
        <v/>
      </c>
    </row>
    <row r="867">
      <c r="A867">
        <f>'对齐'!A867</f>
        <v/>
      </c>
      <c r="B867">
        <f>'对齐'!B867/'对齐'!B866-1</f>
        <v/>
      </c>
      <c r="C867">
        <f>'对齐'!B867/'对齐'!B$2*100</f>
        <v/>
      </c>
      <c r="D867">
        <f>'对齐'!B867/MAX('对齐'!B$2:'对齐'!B867)-1</f>
        <v/>
      </c>
      <c r="E867">
        <f>IF(ROW()-2&gt;='参数'!$B$2,STDEV(OFFSET(B867,1-'参数'!$B$2,0,'参数'!$B$2,1))*SQRT('参数'!$B$3),"")</f>
        <v/>
      </c>
      <c r="F867">
        <f>'对齐'!C867/'对齐'!C866-1</f>
        <v/>
      </c>
      <c r="G867">
        <f>'对齐'!C867/'对齐'!C$2*100</f>
        <v/>
      </c>
      <c r="H867">
        <f>'对齐'!C867/MAX('对齐'!C$2:'对齐'!C867)-1</f>
        <v/>
      </c>
      <c r="I867">
        <f>IF(ROW()-2&gt;='参数'!$B$2,STDEV(OFFSET(F867,1-'参数'!$B$2,0,'参数'!$B$2,1))*SQRT('参数'!$B$3),"")</f>
        <v/>
      </c>
    </row>
    <row r="868">
      <c r="A868">
        <f>'对齐'!A868</f>
        <v/>
      </c>
      <c r="B868">
        <f>'对齐'!B868/'对齐'!B867-1</f>
        <v/>
      </c>
      <c r="C868">
        <f>'对齐'!B868/'对齐'!B$2*100</f>
        <v/>
      </c>
      <c r="D868">
        <f>'对齐'!B868/MAX('对齐'!B$2:'对齐'!B868)-1</f>
        <v/>
      </c>
      <c r="E868">
        <f>IF(ROW()-2&gt;='参数'!$B$2,STDEV(OFFSET(B868,1-'参数'!$B$2,0,'参数'!$B$2,1))*SQRT('参数'!$B$3),"")</f>
        <v/>
      </c>
      <c r="F868">
        <f>'对齐'!C868/'对齐'!C867-1</f>
        <v/>
      </c>
      <c r="G868">
        <f>'对齐'!C868/'对齐'!C$2*100</f>
        <v/>
      </c>
      <c r="H868">
        <f>'对齐'!C868/MAX('对齐'!C$2:'对齐'!C868)-1</f>
        <v/>
      </c>
      <c r="I868">
        <f>IF(ROW()-2&gt;='参数'!$B$2,STDEV(OFFSET(F868,1-'参数'!$B$2,0,'参数'!$B$2,1))*SQRT('参数'!$B$3),"")</f>
        <v/>
      </c>
    </row>
    <row r="869">
      <c r="A869">
        <f>'对齐'!A869</f>
        <v/>
      </c>
      <c r="B869">
        <f>'对齐'!B869/'对齐'!B868-1</f>
        <v/>
      </c>
      <c r="C869">
        <f>'对齐'!B869/'对齐'!B$2*100</f>
        <v/>
      </c>
      <c r="D869">
        <f>'对齐'!B869/MAX('对齐'!B$2:'对齐'!B869)-1</f>
        <v/>
      </c>
      <c r="E869">
        <f>IF(ROW()-2&gt;='参数'!$B$2,STDEV(OFFSET(B869,1-'参数'!$B$2,0,'参数'!$B$2,1))*SQRT('参数'!$B$3),"")</f>
        <v/>
      </c>
      <c r="F869">
        <f>'对齐'!C869/'对齐'!C868-1</f>
        <v/>
      </c>
      <c r="G869">
        <f>'对齐'!C869/'对齐'!C$2*100</f>
        <v/>
      </c>
      <c r="H869">
        <f>'对齐'!C869/MAX('对齐'!C$2:'对齐'!C869)-1</f>
        <v/>
      </c>
      <c r="I869">
        <f>IF(ROW()-2&gt;='参数'!$B$2,STDEV(OFFSET(F869,1-'参数'!$B$2,0,'参数'!$B$2,1))*SQRT('参数'!$B$3),"")</f>
        <v/>
      </c>
    </row>
    <row r="870">
      <c r="A870">
        <f>'对齐'!A870</f>
        <v/>
      </c>
      <c r="B870">
        <f>'对齐'!B870/'对齐'!B869-1</f>
        <v/>
      </c>
      <c r="C870">
        <f>'对齐'!B870/'对齐'!B$2*100</f>
        <v/>
      </c>
      <c r="D870">
        <f>'对齐'!B870/MAX('对齐'!B$2:'对齐'!B870)-1</f>
        <v/>
      </c>
      <c r="E870">
        <f>IF(ROW()-2&gt;='参数'!$B$2,STDEV(OFFSET(B870,1-'参数'!$B$2,0,'参数'!$B$2,1))*SQRT('参数'!$B$3),"")</f>
        <v/>
      </c>
      <c r="F870">
        <f>'对齐'!C870/'对齐'!C869-1</f>
        <v/>
      </c>
      <c r="G870">
        <f>'对齐'!C870/'对齐'!C$2*100</f>
        <v/>
      </c>
      <c r="H870">
        <f>'对齐'!C870/MAX('对齐'!C$2:'对齐'!C870)-1</f>
        <v/>
      </c>
      <c r="I870">
        <f>IF(ROW()-2&gt;='参数'!$B$2,STDEV(OFFSET(F870,1-'参数'!$B$2,0,'参数'!$B$2,1))*SQRT('参数'!$B$3),"")</f>
        <v/>
      </c>
    </row>
    <row r="871">
      <c r="A871">
        <f>'对齐'!A871</f>
        <v/>
      </c>
      <c r="B871">
        <f>'对齐'!B871/'对齐'!B870-1</f>
        <v/>
      </c>
      <c r="C871">
        <f>'对齐'!B871/'对齐'!B$2*100</f>
        <v/>
      </c>
      <c r="D871">
        <f>'对齐'!B871/MAX('对齐'!B$2:'对齐'!B871)-1</f>
        <v/>
      </c>
      <c r="E871">
        <f>IF(ROW()-2&gt;='参数'!$B$2,STDEV(OFFSET(B871,1-'参数'!$B$2,0,'参数'!$B$2,1))*SQRT('参数'!$B$3),"")</f>
        <v/>
      </c>
      <c r="F871">
        <f>'对齐'!C871/'对齐'!C870-1</f>
        <v/>
      </c>
      <c r="G871">
        <f>'对齐'!C871/'对齐'!C$2*100</f>
        <v/>
      </c>
      <c r="H871">
        <f>'对齐'!C871/MAX('对齐'!C$2:'对齐'!C871)-1</f>
        <v/>
      </c>
      <c r="I871">
        <f>IF(ROW()-2&gt;='参数'!$B$2,STDEV(OFFSET(F871,1-'参数'!$B$2,0,'参数'!$B$2,1))*SQRT('参数'!$B$3),"")</f>
        <v/>
      </c>
    </row>
    <row r="872">
      <c r="A872">
        <f>'对齐'!A872</f>
        <v/>
      </c>
      <c r="B872">
        <f>'对齐'!B872/'对齐'!B871-1</f>
        <v/>
      </c>
      <c r="C872">
        <f>'对齐'!B872/'对齐'!B$2*100</f>
        <v/>
      </c>
      <c r="D872">
        <f>'对齐'!B872/MAX('对齐'!B$2:'对齐'!B872)-1</f>
        <v/>
      </c>
      <c r="E872">
        <f>IF(ROW()-2&gt;='参数'!$B$2,STDEV(OFFSET(B872,1-'参数'!$B$2,0,'参数'!$B$2,1))*SQRT('参数'!$B$3),"")</f>
        <v/>
      </c>
      <c r="F872">
        <f>'对齐'!C872/'对齐'!C871-1</f>
        <v/>
      </c>
      <c r="G872">
        <f>'对齐'!C872/'对齐'!C$2*100</f>
        <v/>
      </c>
      <c r="H872">
        <f>'对齐'!C872/MAX('对齐'!C$2:'对齐'!C872)-1</f>
        <v/>
      </c>
      <c r="I872">
        <f>IF(ROW()-2&gt;='参数'!$B$2,STDEV(OFFSET(F872,1-'参数'!$B$2,0,'参数'!$B$2,1))*SQRT('参数'!$B$3),"")</f>
        <v/>
      </c>
    </row>
    <row r="873">
      <c r="A873">
        <f>'对齐'!A873</f>
        <v/>
      </c>
      <c r="B873">
        <f>'对齐'!B873/'对齐'!B872-1</f>
        <v/>
      </c>
      <c r="C873">
        <f>'对齐'!B873/'对齐'!B$2*100</f>
        <v/>
      </c>
      <c r="D873">
        <f>'对齐'!B873/MAX('对齐'!B$2:'对齐'!B873)-1</f>
        <v/>
      </c>
      <c r="E873">
        <f>IF(ROW()-2&gt;='参数'!$B$2,STDEV(OFFSET(B873,1-'参数'!$B$2,0,'参数'!$B$2,1))*SQRT('参数'!$B$3),"")</f>
        <v/>
      </c>
      <c r="F873">
        <f>'对齐'!C873/'对齐'!C872-1</f>
        <v/>
      </c>
      <c r="G873">
        <f>'对齐'!C873/'对齐'!C$2*100</f>
        <v/>
      </c>
      <c r="H873">
        <f>'对齐'!C873/MAX('对齐'!C$2:'对齐'!C873)-1</f>
        <v/>
      </c>
      <c r="I873">
        <f>IF(ROW()-2&gt;='参数'!$B$2,STDEV(OFFSET(F873,1-'参数'!$B$2,0,'参数'!$B$2,1))*SQRT('参数'!$B$3),"")</f>
        <v/>
      </c>
    </row>
    <row r="874">
      <c r="A874">
        <f>'对齐'!A874</f>
        <v/>
      </c>
      <c r="B874">
        <f>'对齐'!B874/'对齐'!B873-1</f>
        <v/>
      </c>
      <c r="C874">
        <f>'对齐'!B874/'对齐'!B$2*100</f>
        <v/>
      </c>
      <c r="D874">
        <f>'对齐'!B874/MAX('对齐'!B$2:'对齐'!B874)-1</f>
        <v/>
      </c>
      <c r="E874">
        <f>IF(ROW()-2&gt;='参数'!$B$2,STDEV(OFFSET(B874,1-'参数'!$B$2,0,'参数'!$B$2,1))*SQRT('参数'!$B$3),"")</f>
        <v/>
      </c>
      <c r="F874">
        <f>'对齐'!C874/'对齐'!C873-1</f>
        <v/>
      </c>
      <c r="G874">
        <f>'对齐'!C874/'对齐'!C$2*100</f>
        <v/>
      </c>
      <c r="H874">
        <f>'对齐'!C874/MAX('对齐'!C$2:'对齐'!C874)-1</f>
        <v/>
      </c>
      <c r="I874">
        <f>IF(ROW()-2&gt;='参数'!$B$2,STDEV(OFFSET(F874,1-'参数'!$B$2,0,'参数'!$B$2,1))*SQRT('参数'!$B$3),"")</f>
        <v/>
      </c>
    </row>
    <row r="875">
      <c r="A875">
        <f>'对齐'!A875</f>
        <v/>
      </c>
      <c r="B875">
        <f>'对齐'!B875/'对齐'!B874-1</f>
        <v/>
      </c>
      <c r="C875">
        <f>'对齐'!B875/'对齐'!B$2*100</f>
        <v/>
      </c>
      <c r="D875">
        <f>'对齐'!B875/MAX('对齐'!B$2:'对齐'!B875)-1</f>
        <v/>
      </c>
      <c r="E875">
        <f>IF(ROW()-2&gt;='参数'!$B$2,STDEV(OFFSET(B875,1-'参数'!$B$2,0,'参数'!$B$2,1))*SQRT('参数'!$B$3),"")</f>
        <v/>
      </c>
      <c r="F875">
        <f>'对齐'!C875/'对齐'!C874-1</f>
        <v/>
      </c>
      <c r="G875">
        <f>'对齐'!C875/'对齐'!C$2*100</f>
        <v/>
      </c>
      <c r="H875">
        <f>'对齐'!C875/MAX('对齐'!C$2:'对齐'!C875)-1</f>
        <v/>
      </c>
      <c r="I875">
        <f>IF(ROW()-2&gt;='参数'!$B$2,STDEV(OFFSET(F875,1-'参数'!$B$2,0,'参数'!$B$2,1))*SQRT('参数'!$B$3),"")</f>
        <v/>
      </c>
    </row>
    <row r="876">
      <c r="A876">
        <f>'对齐'!A876</f>
        <v/>
      </c>
      <c r="B876">
        <f>'对齐'!B876/'对齐'!B875-1</f>
        <v/>
      </c>
      <c r="C876">
        <f>'对齐'!B876/'对齐'!B$2*100</f>
        <v/>
      </c>
      <c r="D876">
        <f>'对齐'!B876/MAX('对齐'!B$2:'对齐'!B876)-1</f>
        <v/>
      </c>
      <c r="E876">
        <f>IF(ROW()-2&gt;='参数'!$B$2,STDEV(OFFSET(B876,1-'参数'!$B$2,0,'参数'!$B$2,1))*SQRT('参数'!$B$3),"")</f>
        <v/>
      </c>
      <c r="F876">
        <f>'对齐'!C876/'对齐'!C875-1</f>
        <v/>
      </c>
      <c r="G876">
        <f>'对齐'!C876/'对齐'!C$2*100</f>
        <v/>
      </c>
      <c r="H876">
        <f>'对齐'!C876/MAX('对齐'!C$2:'对齐'!C876)-1</f>
        <v/>
      </c>
      <c r="I876">
        <f>IF(ROW()-2&gt;='参数'!$B$2,STDEV(OFFSET(F876,1-'参数'!$B$2,0,'参数'!$B$2,1))*SQRT('参数'!$B$3),"")</f>
        <v/>
      </c>
    </row>
    <row r="877">
      <c r="A877">
        <f>'对齐'!A877</f>
        <v/>
      </c>
      <c r="B877">
        <f>'对齐'!B877/'对齐'!B876-1</f>
        <v/>
      </c>
      <c r="C877">
        <f>'对齐'!B877/'对齐'!B$2*100</f>
        <v/>
      </c>
      <c r="D877">
        <f>'对齐'!B877/MAX('对齐'!B$2:'对齐'!B877)-1</f>
        <v/>
      </c>
      <c r="E877">
        <f>IF(ROW()-2&gt;='参数'!$B$2,STDEV(OFFSET(B877,1-'参数'!$B$2,0,'参数'!$B$2,1))*SQRT('参数'!$B$3),"")</f>
        <v/>
      </c>
      <c r="F877">
        <f>'对齐'!C877/'对齐'!C876-1</f>
        <v/>
      </c>
      <c r="G877">
        <f>'对齐'!C877/'对齐'!C$2*100</f>
        <v/>
      </c>
      <c r="H877">
        <f>'对齐'!C877/MAX('对齐'!C$2:'对齐'!C877)-1</f>
        <v/>
      </c>
      <c r="I877">
        <f>IF(ROW()-2&gt;='参数'!$B$2,STDEV(OFFSET(F877,1-'参数'!$B$2,0,'参数'!$B$2,1))*SQRT('参数'!$B$3),"")</f>
        <v/>
      </c>
    </row>
    <row r="878">
      <c r="A878">
        <f>'对齐'!A878</f>
        <v/>
      </c>
      <c r="B878">
        <f>'对齐'!B878/'对齐'!B877-1</f>
        <v/>
      </c>
      <c r="C878">
        <f>'对齐'!B878/'对齐'!B$2*100</f>
        <v/>
      </c>
      <c r="D878">
        <f>'对齐'!B878/MAX('对齐'!B$2:'对齐'!B878)-1</f>
        <v/>
      </c>
      <c r="E878">
        <f>IF(ROW()-2&gt;='参数'!$B$2,STDEV(OFFSET(B878,1-'参数'!$B$2,0,'参数'!$B$2,1))*SQRT('参数'!$B$3),"")</f>
        <v/>
      </c>
      <c r="F878">
        <f>'对齐'!C878/'对齐'!C877-1</f>
        <v/>
      </c>
      <c r="G878">
        <f>'对齐'!C878/'对齐'!C$2*100</f>
        <v/>
      </c>
      <c r="H878">
        <f>'对齐'!C878/MAX('对齐'!C$2:'对齐'!C878)-1</f>
        <v/>
      </c>
      <c r="I878">
        <f>IF(ROW()-2&gt;='参数'!$B$2,STDEV(OFFSET(F878,1-'参数'!$B$2,0,'参数'!$B$2,1))*SQRT('参数'!$B$3),"")</f>
        <v/>
      </c>
    </row>
    <row r="879">
      <c r="A879">
        <f>'对齐'!A879</f>
        <v/>
      </c>
      <c r="B879">
        <f>'对齐'!B879/'对齐'!B878-1</f>
        <v/>
      </c>
      <c r="C879">
        <f>'对齐'!B879/'对齐'!B$2*100</f>
        <v/>
      </c>
      <c r="D879">
        <f>'对齐'!B879/MAX('对齐'!B$2:'对齐'!B879)-1</f>
        <v/>
      </c>
      <c r="E879">
        <f>IF(ROW()-2&gt;='参数'!$B$2,STDEV(OFFSET(B879,1-'参数'!$B$2,0,'参数'!$B$2,1))*SQRT('参数'!$B$3),"")</f>
        <v/>
      </c>
      <c r="F879">
        <f>'对齐'!C879/'对齐'!C878-1</f>
        <v/>
      </c>
      <c r="G879">
        <f>'对齐'!C879/'对齐'!C$2*100</f>
        <v/>
      </c>
      <c r="H879">
        <f>'对齐'!C879/MAX('对齐'!C$2:'对齐'!C879)-1</f>
        <v/>
      </c>
      <c r="I879">
        <f>IF(ROW()-2&gt;='参数'!$B$2,STDEV(OFFSET(F879,1-'参数'!$B$2,0,'参数'!$B$2,1))*SQRT('参数'!$B$3),"")</f>
        <v/>
      </c>
    </row>
    <row r="880">
      <c r="A880">
        <f>'对齐'!A880</f>
        <v/>
      </c>
      <c r="B880">
        <f>'对齐'!B880/'对齐'!B879-1</f>
        <v/>
      </c>
      <c r="C880">
        <f>'对齐'!B880/'对齐'!B$2*100</f>
        <v/>
      </c>
      <c r="D880">
        <f>'对齐'!B880/MAX('对齐'!B$2:'对齐'!B880)-1</f>
        <v/>
      </c>
      <c r="E880">
        <f>IF(ROW()-2&gt;='参数'!$B$2,STDEV(OFFSET(B880,1-'参数'!$B$2,0,'参数'!$B$2,1))*SQRT('参数'!$B$3),"")</f>
        <v/>
      </c>
      <c r="F880">
        <f>'对齐'!C880/'对齐'!C879-1</f>
        <v/>
      </c>
      <c r="G880">
        <f>'对齐'!C880/'对齐'!C$2*100</f>
        <v/>
      </c>
      <c r="H880">
        <f>'对齐'!C880/MAX('对齐'!C$2:'对齐'!C880)-1</f>
        <v/>
      </c>
      <c r="I880">
        <f>IF(ROW()-2&gt;='参数'!$B$2,STDEV(OFFSET(F880,1-'参数'!$B$2,0,'参数'!$B$2,1))*SQRT('参数'!$B$3),"")</f>
        <v/>
      </c>
    </row>
    <row r="881">
      <c r="A881">
        <f>'对齐'!A881</f>
        <v/>
      </c>
      <c r="B881">
        <f>'对齐'!B881/'对齐'!B880-1</f>
        <v/>
      </c>
      <c r="C881">
        <f>'对齐'!B881/'对齐'!B$2*100</f>
        <v/>
      </c>
      <c r="D881">
        <f>'对齐'!B881/MAX('对齐'!B$2:'对齐'!B881)-1</f>
        <v/>
      </c>
      <c r="E881">
        <f>IF(ROW()-2&gt;='参数'!$B$2,STDEV(OFFSET(B881,1-'参数'!$B$2,0,'参数'!$B$2,1))*SQRT('参数'!$B$3),"")</f>
        <v/>
      </c>
      <c r="F881">
        <f>'对齐'!C881/'对齐'!C880-1</f>
        <v/>
      </c>
      <c r="G881">
        <f>'对齐'!C881/'对齐'!C$2*100</f>
        <v/>
      </c>
      <c r="H881">
        <f>'对齐'!C881/MAX('对齐'!C$2:'对齐'!C881)-1</f>
        <v/>
      </c>
      <c r="I881">
        <f>IF(ROW()-2&gt;='参数'!$B$2,STDEV(OFFSET(F881,1-'参数'!$B$2,0,'参数'!$B$2,1))*SQRT('参数'!$B$3),"")</f>
        <v/>
      </c>
    </row>
    <row r="882">
      <c r="A882">
        <f>'对齐'!A882</f>
        <v/>
      </c>
      <c r="B882">
        <f>'对齐'!B882/'对齐'!B881-1</f>
        <v/>
      </c>
      <c r="C882">
        <f>'对齐'!B882/'对齐'!B$2*100</f>
        <v/>
      </c>
      <c r="D882">
        <f>'对齐'!B882/MAX('对齐'!B$2:'对齐'!B882)-1</f>
        <v/>
      </c>
      <c r="E882">
        <f>IF(ROW()-2&gt;='参数'!$B$2,STDEV(OFFSET(B882,1-'参数'!$B$2,0,'参数'!$B$2,1))*SQRT('参数'!$B$3),"")</f>
        <v/>
      </c>
      <c r="F882">
        <f>'对齐'!C882/'对齐'!C881-1</f>
        <v/>
      </c>
      <c r="G882">
        <f>'对齐'!C882/'对齐'!C$2*100</f>
        <v/>
      </c>
      <c r="H882">
        <f>'对齐'!C882/MAX('对齐'!C$2:'对齐'!C882)-1</f>
        <v/>
      </c>
      <c r="I882">
        <f>IF(ROW()-2&gt;='参数'!$B$2,STDEV(OFFSET(F882,1-'参数'!$B$2,0,'参数'!$B$2,1))*SQRT('参数'!$B$3),"")</f>
        <v/>
      </c>
    </row>
    <row r="883">
      <c r="A883">
        <f>'对齐'!A883</f>
        <v/>
      </c>
      <c r="B883">
        <f>'对齐'!B883/'对齐'!B882-1</f>
        <v/>
      </c>
      <c r="C883">
        <f>'对齐'!B883/'对齐'!B$2*100</f>
        <v/>
      </c>
      <c r="D883">
        <f>'对齐'!B883/MAX('对齐'!B$2:'对齐'!B883)-1</f>
        <v/>
      </c>
      <c r="E883">
        <f>IF(ROW()-2&gt;='参数'!$B$2,STDEV(OFFSET(B883,1-'参数'!$B$2,0,'参数'!$B$2,1))*SQRT('参数'!$B$3),"")</f>
        <v/>
      </c>
      <c r="F883">
        <f>'对齐'!C883/'对齐'!C882-1</f>
        <v/>
      </c>
      <c r="G883">
        <f>'对齐'!C883/'对齐'!C$2*100</f>
        <v/>
      </c>
      <c r="H883">
        <f>'对齐'!C883/MAX('对齐'!C$2:'对齐'!C883)-1</f>
        <v/>
      </c>
      <c r="I883">
        <f>IF(ROW()-2&gt;='参数'!$B$2,STDEV(OFFSET(F883,1-'参数'!$B$2,0,'参数'!$B$2,1))*SQRT('参数'!$B$3),"")</f>
        <v/>
      </c>
    </row>
    <row r="884">
      <c r="A884">
        <f>'对齐'!A884</f>
        <v/>
      </c>
      <c r="B884">
        <f>'对齐'!B884/'对齐'!B883-1</f>
        <v/>
      </c>
      <c r="C884">
        <f>'对齐'!B884/'对齐'!B$2*100</f>
        <v/>
      </c>
      <c r="D884">
        <f>'对齐'!B884/MAX('对齐'!B$2:'对齐'!B884)-1</f>
        <v/>
      </c>
      <c r="E884">
        <f>IF(ROW()-2&gt;='参数'!$B$2,STDEV(OFFSET(B884,1-'参数'!$B$2,0,'参数'!$B$2,1))*SQRT('参数'!$B$3),"")</f>
        <v/>
      </c>
      <c r="F884">
        <f>'对齐'!C884/'对齐'!C883-1</f>
        <v/>
      </c>
      <c r="G884">
        <f>'对齐'!C884/'对齐'!C$2*100</f>
        <v/>
      </c>
      <c r="H884">
        <f>'对齐'!C884/MAX('对齐'!C$2:'对齐'!C884)-1</f>
        <v/>
      </c>
      <c r="I884">
        <f>IF(ROW()-2&gt;='参数'!$B$2,STDEV(OFFSET(F884,1-'参数'!$B$2,0,'参数'!$B$2,1))*SQRT('参数'!$B$3),"")</f>
        <v/>
      </c>
    </row>
    <row r="885">
      <c r="A885">
        <f>'对齐'!A885</f>
        <v/>
      </c>
      <c r="B885">
        <f>'对齐'!B885/'对齐'!B884-1</f>
        <v/>
      </c>
      <c r="C885">
        <f>'对齐'!B885/'对齐'!B$2*100</f>
        <v/>
      </c>
      <c r="D885">
        <f>'对齐'!B885/MAX('对齐'!B$2:'对齐'!B885)-1</f>
        <v/>
      </c>
      <c r="E885">
        <f>IF(ROW()-2&gt;='参数'!$B$2,STDEV(OFFSET(B885,1-'参数'!$B$2,0,'参数'!$B$2,1))*SQRT('参数'!$B$3),"")</f>
        <v/>
      </c>
      <c r="F885">
        <f>'对齐'!C885/'对齐'!C884-1</f>
        <v/>
      </c>
      <c r="G885">
        <f>'对齐'!C885/'对齐'!C$2*100</f>
        <v/>
      </c>
      <c r="H885">
        <f>'对齐'!C885/MAX('对齐'!C$2:'对齐'!C885)-1</f>
        <v/>
      </c>
      <c r="I885">
        <f>IF(ROW()-2&gt;='参数'!$B$2,STDEV(OFFSET(F885,1-'参数'!$B$2,0,'参数'!$B$2,1))*SQRT('参数'!$B$3),"")</f>
        <v/>
      </c>
    </row>
    <row r="886">
      <c r="A886">
        <f>'对齐'!A886</f>
        <v/>
      </c>
      <c r="B886">
        <f>'对齐'!B886/'对齐'!B885-1</f>
        <v/>
      </c>
      <c r="C886">
        <f>'对齐'!B886/'对齐'!B$2*100</f>
        <v/>
      </c>
      <c r="D886">
        <f>'对齐'!B886/MAX('对齐'!B$2:'对齐'!B886)-1</f>
        <v/>
      </c>
      <c r="E886">
        <f>IF(ROW()-2&gt;='参数'!$B$2,STDEV(OFFSET(B886,1-'参数'!$B$2,0,'参数'!$B$2,1))*SQRT('参数'!$B$3),"")</f>
        <v/>
      </c>
      <c r="F886">
        <f>'对齐'!C886/'对齐'!C885-1</f>
        <v/>
      </c>
      <c r="G886">
        <f>'对齐'!C886/'对齐'!C$2*100</f>
        <v/>
      </c>
      <c r="H886">
        <f>'对齐'!C886/MAX('对齐'!C$2:'对齐'!C886)-1</f>
        <v/>
      </c>
      <c r="I886">
        <f>IF(ROW()-2&gt;='参数'!$B$2,STDEV(OFFSET(F886,1-'参数'!$B$2,0,'参数'!$B$2,1))*SQRT('参数'!$B$3),"")</f>
        <v/>
      </c>
    </row>
    <row r="887">
      <c r="A887">
        <f>'对齐'!A887</f>
        <v/>
      </c>
      <c r="B887">
        <f>'对齐'!B887/'对齐'!B886-1</f>
        <v/>
      </c>
      <c r="C887">
        <f>'对齐'!B887/'对齐'!B$2*100</f>
        <v/>
      </c>
      <c r="D887">
        <f>'对齐'!B887/MAX('对齐'!B$2:'对齐'!B887)-1</f>
        <v/>
      </c>
      <c r="E887">
        <f>IF(ROW()-2&gt;='参数'!$B$2,STDEV(OFFSET(B887,1-'参数'!$B$2,0,'参数'!$B$2,1))*SQRT('参数'!$B$3),"")</f>
        <v/>
      </c>
      <c r="F887">
        <f>'对齐'!C887/'对齐'!C886-1</f>
        <v/>
      </c>
      <c r="G887">
        <f>'对齐'!C887/'对齐'!C$2*100</f>
        <v/>
      </c>
      <c r="H887">
        <f>'对齐'!C887/MAX('对齐'!C$2:'对齐'!C887)-1</f>
        <v/>
      </c>
      <c r="I887">
        <f>IF(ROW()-2&gt;='参数'!$B$2,STDEV(OFFSET(F887,1-'参数'!$B$2,0,'参数'!$B$2,1))*SQRT('参数'!$B$3),"")</f>
        <v/>
      </c>
    </row>
    <row r="888">
      <c r="A888">
        <f>'对齐'!A888</f>
        <v/>
      </c>
      <c r="B888">
        <f>'对齐'!B888/'对齐'!B887-1</f>
        <v/>
      </c>
      <c r="C888">
        <f>'对齐'!B888/'对齐'!B$2*100</f>
        <v/>
      </c>
      <c r="D888">
        <f>'对齐'!B888/MAX('对齐'!B$2:'对齐'!B888)-1</f>
        <v/>
      </c>
      <c r="E888">
        <f>IF(ROW()-2&gt;='参数'!$B$2,STDEV(OFFSET(B888,1-'参数'!$B$2,0,'参数'!$B$2,1))*SQRT('参数'!$B$3),"")</f>
        <v/>
      </c>
      <c r="F888">
        <f>'对齐'!C888/'对齐'!C887-1</f>
        <v/>
      </c>
      <c r="G888">
        <f>'对齐'!C888/'对齐'!C$2*100</f>
        <v/>
      </c>
      <c r="H888">
        <f>'对齐'!C888/MAX('对齐'!C$2:'对齐'!C888)-1</f>
        <v/>
      </c>
      <c r="I888">
        <f>IF(ROW()-2&gt;='参数'!$B$2,STDEV(OFFSET(F888,1-'参数'!$B$2,0,'参数'!$B$2,1))*SQRT('参数'!$B$3),"")</f>
        <v/>
      </c>
    </row>
    <row r="889">
      <c r="A889">
        <f>'对齐'!A889</f>
        <v/>
      </c>
      <c r="B889">
        <f>'对齐'!B889/'对齐'!B888-1</f>
        <v/>
      </c>
      <c r="C889">
        <f>'对齐'!B889/'对齐'!B$2*100</f>
        <v/>
      </c>
      <c r="D889">
        <f>'对齐'!B889/MAX('对齐'!B$2:'对齐'!B889)-1</f>
        <v/>
      </c>
      <c r="E889">
        <f>IF(ROW()-2&gt;='参数'!$B$2,STDEV(OFFSET(B889,1-'参数'!$B$2,0,'参数'!$B$2,1))*SQRT('参数'!$B$3),"")</f>
        <v/>
      </c>
      <c r="F889">
        <f>'对齐'!C889/'对齐'!C888-1</f>
        <v/>
      </c>
      <c r="G889">
        <f>'对齐'!C889/'对齐'!C$2*100</f>
        <v/>
      </c>
      <c r="H889">
        <f>'对齐'!C889/MAX('对齐'!C$2:'对齐'!C889)-1</f>
        <v/>
      </c>
      <c r="I889">
        <f>IF(ROW()-2&gt;='参数'!$B$2,STDEV(OFFSET(F889,1-'参数'!$B$2,0,'参数'!$B$2,1))*SQRT('参数'!$B$3),"")</f>
        <v/>
      </c>
    </row>
    <row r="890">
      <c r="A890">
        <f>'对齐'!A890</f>
        <v/>
      </c>
      <c r="B890">
        <f>'对齐'!B890/'对齐'!B889-1</f>
        <v/>
      </c>
      <c r="C890">
        <f>'对齐'!B890/'对齐'!B$2*100</f>
        <v/>
      </c>
      <c r="D890">
        <f>'对齐'!B890/MAX('对齐'!B$2:'对齐'!B890)-1</f>
        <v/>
      </c>
      <c r="E890">
        <f>IF(ROW()-2&gt;='参数'!$B$2,STDEV(OFFSET(B890,1-'参数'!$B$2,0,'参数'!$B$2,1))*SQRT('参数'!$B$3),"")</f>
        <v/>
      </c>
      <c r="F890">
        <f>'对齐'!C890/'对齐'!C889-1</f>
        <v/>
      </c>
      <c r="G890">
        <f>'对齐'!C890/'对齐'!C$2*100</f>
        <v/>
      </c>
      <c r="H890">
        <f>'对齐'!C890/MAX('对齐'!C$2:'对齐'!C890)-1</f>
        <v/>
      </c>
      <c r="I890">
        <f>IF(ROW()-2&gt;='参数'!$B$2,STDEV(OFFSET(F890,1-'参数'!$B$2,0,'参数'!$B$2,1))*SQRT('参数'!$B$3),"")</f>
        <v/>
      </c>
    </row>
    <row r="891">
      <c r="A891">
        <f>'对齐'!A891</f>
        <v/>
      </c>
      <c r="B891">
        <f>'对齐'!B891/'对齐'!B890-1</f>
        <v/>
      </c>
      <c r="C891">
        <f>'对齐'!B891/'对齐'!B$2*100</f>
        <v/>
      </c>
      <c r="D891">
        <f>'对齐'!B891/MAX('对齐'!B$2:'对齐'!B891)-1</f>
        <v/>
      </c>
      <c r="E891">
        <f>IF(ROW()-2&gt;='参数'!$B$2,STDEV(OFFSET(B891,1-'参数'!$B$2,0,'参数'!$B$2,1))*SQRT('参数'!$B$3),"")</f>
        <v/>
      </c>
      <c r="F891">
        <f>'对齐'!C891/'对齐'!C890-1</f>
        <v/>
      </c>
      <c r="G891">
        <f>'对齐'!C891/'对齐'!C$2*100</f>
        <v/>
      </c>
      <c r="H891">
        <f>'对齐'!C891/MAX('对齐'!C$2:'对齐'!C891)-1</f>
        <v/>
      </c>
      <c r="I891">
        <f>IF(ROW()-2&gt;='参数'!$B$2,STDEV(OFFSET(F891,1-'参数'!$B$2,0,'参数'!$B$2,1))*SQRT('参数'!$B$3),"")</f>
        <v/>
      </c>
    </row>
    <row r="892">
      <c r="A892">
        <f>'对齐'!A892</f>
        <v/>
      </c>
      <c r="B892">
        <f>'对齐'!B892/'对齐'!B891-1</f>
        <v/>
      </c>
      <c r="C892">
        <f>'对齐'!B892/'对齐'!B$2*100</f>
        <v/>
      </c>
      <c r="D892">
        <f>'对齐'!B892/MAX('对齐'!B$2:'对齐'!B892)-1</f>
        <v/>
      </c>
      <c r="E892">
        <f>IF(ROW()-2&gt;='参数'!$B$2,STDEV(OFFSET(B892,1-'参数'!$B$2,0,'参数'!$B$2,1))*SQRT('参数'!$B$3),"")</f>
        <v/>
      </c>
      <c r="F892">
        <f>'对齐'!C892/'对齐'!C891-1</f>
        <v/>
      </c>
      <c r="G892">
        <f>'对齐'!C892/'对齐'!C$2*100</f>
        <v/>
      </c>
      <c r="H892">
        <f>'对齐'!C892/MAX('对齐'!C$2:'对齐'!C892)-1</f>
        <v/>
      </c>
      <c r="I892">
        <f>IF(ROW()-2&gt;='参数'!$B$2,STDEV(OFFSET(F892,1-'参数'!$B$2,0,'参数'!$B$2,1))*SQRT('参数'!$B$3),"")</f>
        <v/>
      </c>
    </row>
    <row r="893">
      <c r="A893">
        <f>'对齐'!A893</f>
        <v/>
      </c>
      <c r="B893">
        <f>'对齐'!B893/'对齐'!B892-1</f>
        <v/>
      </c>
      <c r="C893">
        <f>'对齐'!B893/'对齐'!B$2*100</f>
        <v/>
      </c>
      <c r="D893">
        <f>'对齐'!B893/MAX('对齐'!B$2:'对齐'!B893)-1</f>
        <v/>
      </c>
      <c r="E893">
        <f>IF(ROW()-2&gt;='参数'!$B$2,STDEV(OFFSET(B893,1-'参数'!$B$2,0,'参数'!$B$2,1))*SQRT('参数'!$B$3),"")</f>
        <v/>
      </c>
      <c r="F893">
        <f>'对齐'!C893/'对齐'!C892-1</f>
        <v/>
      </c>
      <c r="G893">
        <f>'对齐'!C893/'对齐'!C$2*100</f>
        <v/>
      </c>
      <c r="H893">
        <f>'对齐'!C893/MAX('对齐'!C$2:'对齐'!C893)-1</f>
        <v/>
      </c>
      <c r="I893">
        <f>IF(ROW()-2&gt;='参数'!$B$2,STDEV(OFFSET(F893,1-'参数'!$B$2,0,'参数'!$B$2,1))*SQRT('参数'!$B$3),"")</f>
        <v/>
      </c>
    </row>
    <row r="894">
      <c r="A894">
        <f>'对齐'!A894</f>
        <v/>
      </c>
      <c r="B894">
        <f>'对齐'!B894/'对齐'!B893-1</f>
        <v/>
      </c>
      <c r="C894">
        <f>'对齐'!B894/'对齐'!B$2*100</f>
        <v/>
      </c>
      <c r="D894">
        <f>'对齐'!B894/MAX('对齐'!B$2:'对齐'!B894)-1</f>
        <v/>
      </c>
      <c r="E894">
        <f>IF(ROW()-2&gt;='参数'!$B$2,STDEV(OFFSET(B894,1-'参数'!$B$2,0,'参数'!$B$2,1))*SQRT('参数'!$B$3),"")</f>
        <v/>
      </c>
      <c r="F894">
        <f>'对齐'!C894/'对齐'!C893-1</f>
        <v/>
      </c>
      <c r="G894">
        <f>'对齐'!C894/'对齐'!C$2*100</f>
        <v/>
      </c>
      <c r="H894">
        <f>'对齐'!C894/MAX('对齐'!C$2:'对齐'!C894)-1</f>
        <v/>
      </c>
      <c r="I894">
        <f>IF(ROW()-2&gt;='参数'!$B$2,STDEV(OFFSET(F894,1-'参数'!$B$2,0,'参数'!$B$2,1))*SQRT('参数'!$B$3),"")</f>
        <v/>
      </c>
    </row>
    <row r="895">
      <c r="A895">
        <f>'对齐'!A895</f>
        <v/>
      </c>
      <c r="B895">
        <f>'对齐'!B895/'对齐'!B894-1</f>
        <v/>
      </c>
      <c r="C895">
        <f>'对齐'!B895/'对齐'!B$2*100</f>
        <v/>
      </c>
      <c r="D895">
        <f>'对齐'!B895/MAX('对齐'!B$2:'对齐'!B895)-1</f>
        <v/>
      </c>
      <c r="E895">
        <f>IF(ROW()-2&gt;='参数'!$B$2,STDEV(OFFSET(B895,1-'参数'!$B$2,0,'参数'!$B$2,1))*SQRT('参数'!$B$3),"")</f>
        <v/>
      </c>
      <c r="F895">
        <f>'对齐'!C895/'对齐'!C894-1</f>
        <v/>
      </c>
      <c r="G895">
        <f>'对齐'!C895/'对齐'!C$2*100</f>
        <v/>
      </c>
      <c r="H895">
        <f>'对齐'!C895/MAX('对齐'!C$2:'对齐'!C895)-1</f>
        <v/>
      </c>
      <c r="I895">
        <f>IF(ROW()-2&gt;='参数'!$B$2,STDEV(OFFSET(F895,1-'参数'!$B$2,0,'参数'!$B$2,1))*SQRT('参数'!$B$3),"")</f>
        <v/>
      </c>
    </row>
    <row r="896">
      <c r="A896">
        <f>'对齐'!A896</f>
        <v/>
      </c>
      <c r="B896">
        <f>'对齐'!B896/'对齐'!B895-1</f>
        <v/>
      </c>
      <c r="C896">
        <f>'对齐'!B896/'对齐'!B$2*100</f>
        <v/>
      </c>
      <c r="D896">
        <f>'对齐'!B896/MAX('对齐'!B$2:'对齐'!B896)-1</f>
        <v/>
      </c>
      <c r="E896">
        <f>IF(ROW()-2&gt;='参数'!$B$2,STDEV(OFFSET(B896,1-'参数'!$B$2,0,'参数'!$B$2,1))*SQRT('参数'!$B$3),"")</f>
        <v/>
      </c>
      <c r="F896">
        <f>'对齐'!C896/'对齐'!C895-1</f>
        <v/>
      </c>
      <c r="G896">
        <f>'对齐'!C896/'对齐'!C$2*100</f>
        <v/>
      </c>
      <c r="H896">
        <f>'对齐'!C896/MAX('对齐'!C$2:'对齐'!C896)-1</f>
        <v/>
      </c>
      <c r="I896">
        <f>IF(ROW()-2&gt;='参数'!$B$2,STDEV(OFFSET(F896,1-'参数'!$B$2,0,'参数'!$B$2,1))*SQRT('参数'!$B$3),"")</f>
        <v/>
      </c>
    </row>
    <row r="897">
      <c r="A897">
        <f>'对齐'!A897</f>
        <v/>
      </c>
      <c r="B897">
        <f>'对齐'!B897/'对齐'!B896-1</f>
        <v/>
      </c>
      <c r="C897">
        <f>'对齐'!B897/'对齐'!B$2*100</f>
        <v/>
      </c>
      <c r="D897">
        <f>'对齐'!B897/MAX('对齐'!B$2:'对齐'!B897)-1</f>
        <v/>
      </c>
      <c r="E897">
        <f>IF(ROW()-2&gt;='参数'!$B$2,STDEV(OFFSET(B897,1-'参数'!$B$2,0,'参数'!$B$2,1))*SQRT('参数'!$B$3),"")</f>
        <v/>
      </c>
      <c r="F897">
        <f>'对齐'!C897/'对齐'!C896-1</f>
        <v/>
      </c>
      <c r="G897">
        <f>'对齐'!C897/'对齐'!C$2*100</f>
        <v/>
      </c>
      <c r="H897">
        <f>'对齐'!C897/MAX('对齐'!C$2:'对齐'!C897)-1</f>
        <v/>
      </c>
      <c r="I897">
        <f>IF(ROW()-2&gt;='参数'!$B$2,STDEV(OFFSET(F897,1-'参数'!$B$2,0,'参数'!$B$2,1))*SQRT('参数'!$B$3),"")</f>
        <v/>
      </c>
    </row>
    <row r="898">
      <c r="A898">
        <f>'对齐'!A898</f>
        <v/>
      </c>
      <c r="B898">
        <f>'对齐'!B898/'对齐'!B897-1</f>
        <v/>
      </c>
      <c r="C898">
        <f>'对齐'!B898/'对齐'!B$2*100</f>
        <v/>
      </c>
      <c r="D898">
        <f>'对齐'!B898/MAX('对齐'!B$2:'对齐'!B898)-1</f>
        <v/>
      </c>
      <c r="E898">
        <f>IF(ROW()-2&gt;='参数'!$B$2,STDEV(OFFSET(B898,1-'参数'!$B$2,0,'参数'!$B$2,1))*SQRT('参数'!$B$3),"")</f>
        <v/>
      </c>
      <c r="F898">
        <f>'对齐'!C898/'对齐'!C897-1</f>
        <v/>
      </c>
      <c r="G898">
        <f>'对齐'!C898/'对齐'!C$2*100</f>
        <v/>
      </c>
      <c r="H898">
        <f>'对齐'!C898/MAX('对齐'!C$2:'对齐'!C898)-1</f>
        <v/>
      </c>
      <c r="I898">
        <f>IF(ROW()-2&gt;='参数'!$B$2,STDEV(OFFSET(F898,1-'参数'!$B$2,0,'参数'!$B$2,1))*SQRT('参数'!$B$3),"")</f>
        <v/>
      </c>
    </row>
    <row r="899">
      <c r="A899">
        <f>'对齐'!A899</f>
        <v/>
      </c>
      <c r="B899">
        <f>'对齐'!B899/'对齐'!B898-1</f>
        <v/>
      </c>
      <c r="C899">
        <f>'对齐'!B899/'对齐'!B$2*100</f>
        <v/>
      </c>
      <c r="D899">
        <f>'对齐'!B899/MAX('对齐'!B$2:'对齐'!B899)-1</f>
        <v/>
      </c>
      <c r="E899">
        <f>IF(ROW()-2&gt;='参数'!$B$2,STDEV(OFFSET(B899,1-'参数'!$B$2,0,'参数'!$B$2,1))*SQRT('参数'!$B$3),"")</f>
        <v/>
      </c>
      <c r="F899">
        <f>'对齐'!C899/'对齐'!C898-1</f>
        <v/>
      </c>
      <c r="G899">
        <f>'对齐'!C899/'对齐'!C$2*100</f>
        <v/>
      </c>
      <c r="H899">
        <f>'对齐'!C899/MAX('对齐'!C$2:'对齐'!C899)-1</f>
        <v/>
      </c>
      <c r="I899">
        <f>IF(ROW()-2&gt;='参数'!$B$2,STDEV(OFFSET(F899,1-'参数'!$B$2,0,'参数'!$B$2,1))*SQRT('参数'!$B$3),"")</f>
        <v/>
      </c>
    </row>
    <row r="900">
      <c r="A900">
        <f>'对齐'!A900</f>
        <v/>
      </c>
      <c r="B900">
        <f>'对齐'!B900/'对齐'!B899-1</f>
        <v/>
      </c>
      <c r="C900">
        <f>'对齐'!B900/'对齐'!B$2*100</f>
        <v/>
      </c>
      <c r="D900">
        <f>'对齐'!B900/MAX('对齐'!B$2:'对齐'!B900)-1</f>
        <v/>
      </c>
      <c r="E900">
        <f>IF(ROW()-2&gt;='参数'!$B$2,STDEV(OFFSET(B900,1-'参数'!$B$2,0,'参数'!$B$2,1))*SQRT('参数'!$B$3),"")</f>
        <v/>
      </c>
      <c r="F900">
        <f>'对齐'!C900/'对齐'!C899-1</f>
        <v/>
      </c>
      <c r="G900">
        <f>'对齐'!C900/'对齐'!C$2*100</f>
        <v/>
      </c>
      <c r="H900">
        <f>'对齐'!C900/MAX('对齐'!C$2:'对齐'!C900)-1</f>
        <v/>
      </c>
      <c r="I900">
        <f>IF(ROW()-2&gt;='参数'!$B$2,STDEV(OFFSET(F900,1-'参数'!$B$2,0,'参数'!$B$2,1))*SQRT('参数'!$B$3),"")</f>
        <v/>
      </c>
    </row>
    <row r="901">
      <c r="A901">
        <f>'对齐'!A901</f>
        <v/>
      </c>
      <c r="B901">
        <f>'对齐'!B901/'对齐'!B900-1</f>
        <v/>
      </c>
      <c r="C901">
        <f>'对齐'!B901/'对齐'!B$2*100</f>
        <v/>
      </c>
      <c r="D901">
        <f>'对齐'!B901/MAX('对齐'!B$2:'对齐'!B901)-1</f>
        <v/>
      </c>
      <c r="E901">
        <f>IF(ROW()-2&gt;='参数'!$B$2,STDEV(OFFSET(B901,1-'参数'!$B$2,0,'参数'!$B$2,1))*SQRT('参数'!$B$3),"")</f>
        <v/>
      </c>
      <c r="F901">
        <f>'对齐'!C901/'对齐'!C900-1</f>
        <v/>
      </c>
      <c r="G901">
        <f>'对齐'!C901/'对齐'!C$2*100</f>
        <v/>
      </c>
      <c r="H901">
        <f>'对齐'!C901/MAX('对齐'!C$2:'对齐'!C901)-1</f>
        <v/>
      </c>
      <c r="I901">
        <f>IF(ROW()-2&gt;='参数'!$B$2,STDEV(OFFSET(F901,1-'参数'!$B$2,0,'参数'!$B$2,1))*SQRT('参数'!$B$3),"")</f>
        <v/>
      </c>
    </row>
    <row r="902">
      <c r="A902">
        <f>'对齐'!A902</f>
        <v/>
      </c>
      <c r="B902">
        <f>'对齐'!B902/'对齐'!B901-1</f>
        <v/>
      </c>
      <c r="C902">
        <f>'对齐'!B902/'对齐'!B$2*100</f>
        <v/>
      </c>
      <c r="D902">
        <f>'对齐'!B902/MAX('对齐'!B$2:'对齐'!B902)-1</f>
        <v/>
      </c>
      <c r="E902">
        <f>IF(ROW()-2&gt;='参数'!$B$2,STDEV(OFFSET(B902,1-'参数'!$B$2,0,'参数'!$B$2,1))*SQRT('参数'!$B$3),"")</f>
        <v/>
      </c>
      <c r="F902">
        <f>'对齐'!C902/'对齐'!C901-1</f>
        <v/>
      </c>
      <c r="G902">
        <f>'对齐'!C902/'对齐'!C$2*100</f>
        <v/>
      </c>
      <c r="H902">
        <f>'对齐'!C902/MAX('对齐'!C$2:'对齐'!C902)-1</f>
        <v/>
      </c>
      <c r="I902">
        <f>IF(ROW()-2&gt;='参数'!$B$2,STDEV(OFFSET(F902,1-'参数'!$B$2,0,'参数'!$B$2,1))*SQRT('参数'!$B$3),"")</f>
        <v/>
      </c>
    </row>
    <row r="903">
      <c r="A903">
        <f>'对齐'!A903</f>
        <v/>
      </c>
      <c r="B903">
        <f>'对齐'!B903/'对齐'!B902-1</f>
        <v/>
      </c>
      <c r="C903">
        <f>'对齐'!B903/'对齐'!B$2*100</f>
        <v/>
      </c>
      <c r="D903">
        <f>'对齐'!B903/MAX('对齐'!B$2:'对齐'!B903)-1</f>
        <v/>
      </c>
      <c r="E903">
        <f>IF(ROW()-2&gt;='参数'!$B$2,STDEV(OFFSET(B903,1-'参数'!$B$2,0,'参数'!$B$2,1))*SQRT('参数'!$B$3),"")</f>
        <v/>
      </c>
      <c r="F903">
        <f>'对齐'!C903/'对齐'!C902-1</f>
        <v/>
      </c>
      <c r="G903">
        <f>'对齐'!C903/'对齐'!C$2*100</f>
        <v/>
      </c>
      <c r="H903">
        <f>'对齐'!C903/MAX('对齐'!C$2:'对齐'!C903)-1</f>
        <v/>
      </c>
      <c r="I903">
        <f>IF(ROW()-2&gt;='参数'!$B$2,STDEV(OFFSET(F903,1-'参数'!$B$2,0,'参数'!$B$2,1))*SQRT('参数'!$B$3),"")</f>
        <v/>
      </c>
    </row>
    <row r="904">
      <c r="A904">
        <f>'对齐'!A904</f>
        <v/>
      </c>
      <c r="B904">
        <f>'对齐'!B904/'对齐'!B903-1</f>
        <v/>
      </c>
      <c r="C904">
        <f>'对齐'!B904/'对齐'!B$2*100</f>
        <v/>
      </c>
      <c r="D904">
        <f>'对齐'!B904/MAX('对齐'!B$2:'对齐'!B904)-1</f>
        <v/>
      </c>
      <c r="E904">
        <f>IF(ROW()-2&gt;='参数'!$B$2,STDEV(OFFSET(B904,1-'参数'!$B$2,0,'参数'!$B$2,1))*SQRT('参数'!$B$3),"")</f>
        <v/>
      </c>
      <c r="F904">
        <f>'对齐'!C904/'对齐'!C903-1</f>
        <v/>
      </c>
      <c r="G904">
        <f>'对齐'!C904/'对齐'!C$2*100</f>
        <v/>
      </c>
      <c r="H904">
        <f>'对齐'!C904/MAX('对齐'!C$2:'对齐'!C904)-1</f>
        <v/>
      </c>
      <c r="I904">
        <f>IF(ROW()-2&gt;='参数'!$B$2,STDEV(OFFSET(F904,1-'参数'!$B$2,0,'参数'!$B$2,1))*SQRT('参数'!$B$3),"")</f>
        <v/>
      </c>
    </row>
    <row r="905">
      <c r="A905">
        <f>'对齐'!A905</f>
        <v/>
      </c>
      <c r="B905">
        <f>'对齐'!B905/'对齐'!B904-1</f>
        <v/>
      </c>
      <c r="C905">
        <f>'对齐'!B905/'对齐'!B$2*100</f>
        <v/>
      </c>
      <c r="D905">
        <f>'对齐'!B905/MAX('对齐'!B$2:'对齐'!B905)-1</f>
        <v/>
      </c>
      <c r="E905">
        <f>IF(ROW()-2&gt;='参数'!$B$2,STDEV(OFFSET(B905,1-'参数'!$B$2,0,'参数'!$B$2,1))*SQRT('参数'!$B$3),"")</f>
        <v/>
      </c>
      <c r="F905">
        <f>'对齐'!C905/'对齐'!C904-1</f>
        <v/>
      </c>
      <c r="G905">
        <f>'对齐'!C905/'对齐'!C$2*100</f>
        <v/>
      </c>
      <c r="H905">
        <f>'对齐'!C905/MAX('对齐'!C$2:'对齐'!C905)-1</f>
        <v/>
      </c>
      <c r="I905">
        <f>IF(ROW()-2&gt;='参数'!$B$2,STDEV(OFFSET(F905,1-'参数'!$B$2,0,'参数'!$B$2,1))*SQRT('参数'!$B$3),"")</f>
        <v/>
      </c>
    </row>
    <row r="906">
      <c r="A906">
        <f>'对齐'!A906</f>
        <v/>
      </c>
      <c r="B906">
        <f>'对齐'!B906/'对齐'!B905-1</f>
        <v/>
      </c>
      <c r="C906">
        <f>'对齐'!B906/'对齐'!B$2*100</f>
        <v/>
      </c>
      <c r="D906">
        <f>'对齐'!B906/MAX('对齐'!B$2:'对齐'!B906)-1</f>
        <v/>
      </c>
      <c r="E906">
        <f>IF(ROW()-2&gt;='参数'!$B$2,STDEV(OFFSET(B906,1-'参数'!$B$2,0,'参数'!$B$2,1))*SQRT('参数'!$B$3),"")</f>
        <v/>
      </c>
      <c r="F906">
        <f>'对齐'!C906/'对齐'!C905-1</f>
        <v/>
      </c>
      <c r="G906">
        <f>'对齐'!C906/'对齐'!C$2*100</f>
        <v/>
      </c>
      <c r="H906">
        <f>'对齐'!C906/MAX('对齐'!C$2:'对齐'!C906)-1</f>
        <v/>
      </c>
      <c r="I906">
        <f>IF(ROW()-2&gt;='参数'!$B$2,STDEV(OFFSET(F906,1-'参数'!$B$2,0,'参数'!$B$2,1))*SQRT('参数'!$B$3),"")</f>
        <v/>
      </c>
    </row>
    <row r="907">
      <c r="A907">
        <f>'对齐'!A907</f>
        <v/>
      </c>
      <c r="B907">
        <f>'对齐'!B907/'对齐'!B906-1</f>
        <v/>
      </c>
      <c r="C907">
        <f>'对齐'!B907/'对齐'!B$2*100</f>
        <v/>
      </c>
      <c r="D907">
        <f>'对齐'!B907/MAX('对齐'!B$2:'对齐'!B907)-1</f>
        <v/>
      </c>
      <c r="E907">
        <f>IF(ROW()-2&gt;='参数'!$B$2,STDEV(OFFSET(B907,1-'参数'!$B$2,0,'参数'!$B$2,1))*SQRT('参数'!$B$3),"")</f>
        <v/>
      </c>
      <c r="F907">
        <f>'对齐'!C907/'对齐'!C906-1</f>
        <v/>
      </c>
      <c r="G907">
        <f>'对齐'!C907/'对齐'!C$2*100</f>
        <v/>
      </c>
      <c r="H907">
        <f>'对齐'!C907/MAX('对齐'!C$2:'对齐'!C907)-1</f>
        <v/>
      </c>
      <c r="I907">
        <f>IF(ROW()-2&gt;='参数'!$B$2,STDEV(OFFSET(F907,1-'参数'!$B$2,0,'参数'!$B$2,1))*SQRT('参数'!$B$3),"")</f>
        <v/>
      </c>
    </row>
    <row r="908">
      <c r="A908">
        <f>'对齐'!A908</f>
        <v/>
      </c>
      <c r="B908">
        <f>'对齐'!B908/'对齐'!B907-1</f>
        <v/>
      </c>
      <c r="C908">
        <f>'对齐'!B908/'对齐'!B$2*100</f>
        <v/>
      </c>
      <c r="D908">
        <f>'对齐'!B908/MAX('对齐'!B$2:'对齐'!B908)-1</f>
        <v/>
      </c>
      <c r="E908">
        <f>IF(ROW()-2&gt;='参数'!$B$2,STDEV(OFFSET(B908,1-'参数'!$B$2,0,'参数'!$B$2,1))*SQRT('参数'!$B$3),"")</f>
        <v/>
      </c>
      <c r="F908">
        <f>'对齐'!C908/'对齐'!C907-1</f>
        <v/>
      </c>
      <c r="G908">
        <f>'对齐'!C908/'对齐'!C$2*100</f>
        <v/>
      </c>
      <c r="H908">
        <f>'对齐'!C908/MAX('对齐'!C$2:'对齐'!C908)-1</f>
        <v/>
      </c>
      <c r="I908">
        <f>IF(ROW()-2&gt;='参数'!$B$2,STDEV(OFFSET(F908,1-'参数'!$B$2,0,'参数'!$B$2,1))*SQRT('参数'!$B$3),"")</f>
        <v/>
      </c>
    </row>
    <row r="909">
      <c r="A909">
        <f>'对齐'!A909</f>
        <v/>
      </c>
      <c r="B909">
        <f>'对齐'!B909/'对齐'!B908-1</f>
        <v/>
      </c>
      <c r="C909">
        <f>'对齐'!B909/'对齐'!B$2*100</f>
        <v/>
      </c>
      <c r="D909">
        <f>'对齐'!B909/MAX('对齐'!B$2:'对齐'!B909)-1</f>
        <v/>
      </c>
      <c r="E909">
        <f>IF(ROW()-2&gt;='参数'!$B$2,STDEV(OFFSET(B909,1-'参数'!$B$2,0,'参数'!$B$2,1))*SQRT('参数'!$B$3),"")</f>
        <v/>
      </c>
      <c r="F909">
        <f>'对齐'!C909/'对齐'!C908-1</f>
        <v/>
      </c>
      <c r="G909">
        <f>'对齐'!C909/'对齐'!C$2*100</f>
        <v/>
      </c>
      <c r="H909">
        <f>'对齐'!C909/MAX('对齐'!C$2:'对齐'!C909)-1</f>
        <v/>
      </c>
      <c r="I909">
        <f>IF(ROW()-2&gt;='参数'!$B$2,STDEV(OFFSET(F909,1-'参数'!$B$2,0,'参数'!$B$2,1))*SQRT('参数'!$B$3),"")</f>
        <v/>
      </c>
    </row>
    <row r="910">
      <c r="A910">
        <f>'对齐'!A910</f>
        <v/>
      </c>
      <c r="B910">
        <f>'对齐'!B910/'对齐'!B909-1</f>
        <v/>
      </c>
      <c r="C910">
        <f>'对齐'!B910/'对齐'!B$2*100</f>
        <v/>
      </c>
      <c r="D910">
        <f>'对齐'!B910/MAX('对齐'!B$2:'对齐'!B910)-1</f>
        <v/>
      </c>
      <c r="E910">
        <f>IF(ROW()-2&gt;='参数'!$B$2,STDEV(OFFSET(B910,1-'参数'!$B$2,0,'参数'!$B$2,1))*SQRT('参数'!$B$3),"")</f>
        <v/>
      </c>
      <c r="F910">
        <f>'对齐'!C910/'对齐'!C909-1</f>
        <v/>
      </c>
      <c r="G910">
        <f>'对齐'!C910/'对齐'!C$2*100</f>
        <v/>
      </c>
      <c r="H910">
        <f>'对齐'!C910/MAX('对齐'!C$2:'对齐'!C910)-1</f>
        <v/>
      </c>
      <c r="I910">
        <f>IF(ROW()-2&gt;='参数'!$B$2,STDEV(OFFSET(F910,1-'参数'!$B$2,0,'参数'!$B$2,1))*SQRT('参数'!$B$3),"")</f>
        <v/>
      </c>
    </row>
    <row r="911">
      <c r="A911">
        <f>'对齐'!A911</f>
        <v/>
      </c>
      <c r="B911">
        <f>'对齐'!B911/'对齐'!B910-1</f>
        <v/>
      </c>
      <c r="C911">
        <f>'对齐'!B911/'对齐'!B$2*100</f>
        <v/>
      </c>
      <c r="D911">
        <f>'对齐'!B911/MAX('对齐'!B$2:'对齐'!B911)-1</f>
        <v/>
      </c>
      <c r="E911">
        <f>IF(ROW()-2&gt;='参数'!$B$2,STDEV(OFFSET(B911,1-'参数'!$B$2,0,'参数'!$B$2,1))*SQRT('参数'!$B$3),"")</f>
        <v/>
      </c>
      <c r="F911">
        <f>'对齐'!C911/'对齐'!C910-1</f>
        <v/>
      </c>
      <c r="G911">
        <f>'对齐'!C911/'对齐'!C$2*100</f>
        <v/>
      </c>
      <c r="H911">
        <f>'对齐'!C911/MAX('对齐'!C$2:'对齐'!C911)-1</f>
        <v/>
      </c>
      <c r="I911">
        <f>IF(ROW()-2&gt;='参数'!$B$2,STDEV(OFFSET(F911,1-'参数'!$B$2,0,'参数'!$B$2,1))*SQRT('参数'!$B$3),"")</f>
        <v/>
      </c>
    </row>
    <row r="912">
      <c r="A912">
        <f>'对齐'!A912</f>
        <v/>
      </c>
      <c r="B912">
        <f>'对齐'!B912/'对齐'!B911-1</f>
        <v/>
      </c>
      <c r="C912">
        <f>'对齐'!B912/'对齐'!B$2*100</f>
        <v/>
      </c>
      <c r="D912">
        <f>'对齐'!B912/MAX('对齐'!B$2:'对齐'!B912)-1</f>
        <v/>
      </c>
      <c r="E912">
        <f>IF(ROW()-2&gt;='参数'!$B$2,STDEV(OFFSET(B912,1-'参数'!$B$2,0,'参数'!$B$2,1))*SQRT('参数'!$B$3),"")</f>
        <v/>
      </c>
      <c r="F912">
        <f>'对齐'!C912/'对齐'!C911-1</f>
        <v/>
      </c>
      <c r="G912">
        <f>'对齐'!C912/'对齐'!C$2*100</f>
        <v/>
      </c>
      <c r="H912">
        <f>'对齐'!C912/MAX('对齐'!C$2:'对齐'!C912)-1</f>
        <v/>
      </c>
      <c r="I912">
        <f>IF(ROW()-2&gt;='参数'!$B$2,STDEV(OFFSET(F912,1-'参数'!$B$2,0,'参数'!$B$2,1))*SQRT('参数'!$B$3),"")</f>
        <v/>
      </c>
    </row>
    <row r="913">
      <c r="A913">
        <f>'对齐'!A913</f>
        <v/>
      </c>
      <c r="B913">
        <f>'对齐'!B913/'对齐'!B912-1</f>
        <v/>
      </c>
      <c r="C913">
        <f>'对齐'!B913/'对齐'!B$2*100</f>
        <v/>
      </c>
      <c r="D913">
        <f>'对齐'!B913/MAX('对齐'!B$2:'对齐'!B913)-1</f>
        <v/>
      </c>
      <c r="E913">
        <f>IF(ROW()-2&gt;='参数'!$B$2,STDEV(OFFSET(B913,1-'参数'!$B$2,0,'参数'!$B$2,1))*SQRT('参数'!$B$3),"")</f>
        <v/>
      </c>
      <c r="F913">
        <f>'对齐'!C913/'对齐'!C912-1</f>
        <v/>
      </c>
      <c r="G913">
        <f>'对齐'!C913/'对齐'!C$2*100</f>
        <v/>
      </c>
      <c r="H913">
        <f>'对齐'!C913/MAX('对齐'!C$2:'对齐'!C913)-1</f>
        <v/>
      </c>
      <c r="I913">
        <f>IF(ROW()-2&gt;='参数'!$B$2,STDEV(OFFSET(F913,1-'参数'!$B$2,0,'参数'!$B$2,1))*SQRT('参数'!$B$3),"")</f>
        <v/>
      </c>
    </row>
    <row r="914">
      <c r="A914">
        <f>'对齐'!A914</f>
        <v/>
      </c>
      <c r="B914">
        <f>'对齐'!B914/'对齐'!B913-1</f>
        <v/>
      </c>
      <c r="C914">
        <f>'对齐'!B914/'对齐'!B$2*100</f>
        <v/>
      </c>
      <c r="D914">
        <f>'对齐'!B914/MAX('对齐'!B$2:'对齐'!B914)-1</f>
        <v/>
      </c>
      <c r="E914">
        <f>IF(ROW()-2&gt;='参数'!$B$2,STDEV(OFFSET(B914,1-'参数'!$B$2,0,'参数'!$B$2,1))*SQRT('参数'!$B$3),"")</f>
        <v/>
      </c>
      <c r="F914">
        <f>'对齐'!C914/'对齐'!C913-1</f>
        <v/>
      </c>
      <c r="G914">
        <f>'对齐'!C914/'对齐'!C$2*100</f>
        <v/>
      </c>
      <c r="H914">
        <f>'对齐'!C914/MAX('对齐'!C$2:'对齐'!C914)-1</f>
        <v/>
      </c>
      <c r="I914">
        <f>IF(ROW()-2&gt;='参数'!$B$2,STDEV(OFFSET(F914,1-'参数'!$B$2,0,'参数'!$B$2,1))*SQRT('参数'!$B$3),"")</f>
        <v/>
      </c>
    </row>
    <row r="915">
      <c r="A915">
        <f>'对齐'!A915</f>
        <v/>
      </c>
      <c r="B915">
        <f>'对齐'!B915/'对齐'!B914-1</f>
        <v/>
      </c>
      <c r="C915">
        <f>'对齐'!B915/'对齐'!B$2*100</f>
        <v/>
      </c>
      <c r="D915">
        <f>'对齐'!B915/MAX('对齐'!B$2:'对齐'!B915)-1</f>
        <v/>
      </c>
      <c r="E915">
        <f>IF(ROW()-2&gt;='参数'!$B$2,STDEV(OFFSET(B915,1-'参数'!$B$2,0,'参数'!$B$2,1))*SQRT('参数'!$B$3),"")</f>
        <v/>
      </c>
      <c r="F915">
        <f>'对齐'!C915/'对齐'!C914-1</f>
        <v/>
      </c>
      <c r="G915">
        <f>'对齐'!C915/'对齐'!C$2*100</f>
        <v/>
      </c>
      <c r="H915">
        <f>'对齐'!C915/MAX('对齐'!C$2:'对齐'!C915)-1</f>
        <v/>
      </c>
      <c r="I915">
        <f>IF(ROW()-2&gt;='参数'!$B$2,STDEV(OFFSET(F915,1-'参数'!$B$2,0,'参数'!$B$2,1))*SQRT('参数'!$B$3),"")</f>
        <v/>
      </c>
    </row>
    <row r="916">
      <c r="A916">
        <f>'对齐'!A916</f>
        <v/>
      </c>
      <c r="B916">
        <f>'对齐'!B916/'对齐'!B915-1</f>
        <v/>
      </c>
      <c r="C916">
        <f>'对齐'!B916/'对齐'!B$2*100</f>
        <v/>
      </c>
      <c r="D916">
        <f>'对齐'!B916/MAX('对齐'!B$2:'对齐'!B916)-1</f>
        <v/>
      </c>
      <c r="E916">
        <f>IF(ROW()-2&gt;='参数'!$B$2,STDEV(OFFSET(B916,1-'参数'!$B$2,0,'参数'!$B$2,1))*SQRT('参数'!$B$3),"")</f>
        <v/>
      </c>
      <c r="F916">
        <f>'对齐'!C916/'对齐'!C915-1</f>
        <v/>
      </c>
      <c r="G916">
        <f>'对齐'!C916/'对齐'!C$2*100</f>
        <v/>
      </c>
      <c r="H916">
        <f>'对齐'!C916/MAX('对齐'!C$2:'对齐'!C916)-1</f>
        <v/>
      </c>
      <c r="I916">
        <f>IF(ROW()-2&gt;='参数'!$B$2,STDEV(OFFSET(F916,1-'参数'!$B$2,0,'参数'!$B$2,1))*SQRT('参数'!$B$3),"")</f>
        <v/>
      </c>
    </row>
    <row r="917">
      <c r="A917">
        <f>'对齐'!A917</f>
        <v/>
      </c>
      <c r="B917">
        <f>'对齐'!B917/'对齐'!B916-1</f>
        <v/>
      </c>
      <c r="C917">
        <f>'对齐'!B917/'对齐'!B$2*100</f>
        <v/>
      </c>
      <c r="D917">
        <f>'对齐'!B917/MAX('对齐'!B$2:'对齐'!B917)-1</f>
        <v/>
      </c>
      <c r="E917">
        <f>IF(ROW()-2&gt;='参数'!$B$2,STDEV(OFFSET(B917,1-'参数'!$B$2,0,'参数'!$B$2,1))*SQRT('参数'!$B$3),"")</f>
        <v/>
      </c>
      <c r="F917">
        <f>'对齐'!C917/'对齐'!C916-1</f>
        <v/>
      </c>
      <c r="G917">
        <f>'对齐'!C917/'对齐'!C$2*100</f>
        <v/>
      </c>
      <c r="H917">
        <f>'对齐'!C917/MAX('对齐'!C$2:'对齐'!C917)-1</f>
        <v/>
      </c>
      <c r="I917">
        <f>IF(ROW()-2&gt;='参数'!$B$2,STDEV(OFFSET(F917,1-'参数'!$B$2,0,'参数'!$B$2,1))*SQRT('参数'!$B$3),"")</f>
        <v/>
      </c>
    </row>
    <row r="918">
      <c r="A918">
        <f>'对齐'!A918</f>
        <v/>
      </c>
      <c r="B918">
        <f>'对齐'!B918/'对齐'!B917-1</f>
        <v/>
      </c>
      <c r="C918">
        <f>'对齐'!B918/'对齐'!B$2*100</f>
        <v/>
      </c>
      <c r="D918">
        <f>'对齐'!B918/MAX('对齐'!B$2:'对齐'!B918)-1</f>
        <v/>
      </c>
      <c r="E918">
        <f>IF(ROW()-2&gt;='参数'!$B$2,STDEV(OFFSET(B918,1-'参数'!$B$2,0,'参数'!$B$2,1))*SQRT('参数'!$B$3),"")</f>
        <v/>
      </c>
      <c r="F918">
        <f>'对齐'!C918/'对齐'!C917-1</f>
        <v/>
      </c>
      <c r="G918">
        <f>'对齐'!C918/'对齐'!C$2*100</f>
        <v/>
      </c>
      <c r="H918">
        <f>'对齐'!C918/MAX('对齐'!C$2:'对齐'!C918)-1</f>
        <v/>
      </c>
      <c r="I918">
        <f>IF(ROW()-2&gt;='参数'!$B$2,STDEV(OFFSET(F918,1-'参数'!$B$2,0,'参数'!$B$2,1))*SQRT('参数'!$B$3),"")</f>
        <v/>
      </c>
    </row>
    <row r="919">
      <c r="A919">
        <f>'对齐'!A919</f>
        <v/>
      </c>
      <c r="B919">
        <f>'对齐'!B919/'对齐'!B918-1</f>
        <v/>
      </c>
      <c r="C919">
        <f>'对齐'!B919/'对齐'!B$2*100</f>
        <v/>
      </c>
      <c r="D919">
        <f>'对齐'!B919/MAX('对齐'!B$2:'对齐'!B919)-1</f>
        <v/>
      </c>
      <c r="E919">
        <f>IF(ROW()-2&gt;='参数'!$B$2,STDEV(OFFSET(B919,1-'参数'!$B$2,0,'参数'!$B$2,1))*SQRT('参数'!$B$3),"")</f>
        <v/>
      </c>
      <c r="F919">
        <f>'对齐'!C919/'对齐'!C918-1</f>
        <v/>
      </c>
      <c r="G919">
        <f>'对齐'!C919/'对齐'!C$2*100</f>
        <v/>
      </c>
      <c r="H919">
        <f>'对齐'!C919/MAX('对齐'!C$2:'对齐'!C919)-1</f>
        <v/>
      </c>
      <c r="I919">
        <f>IF(ROW()-2&gt;='参数'!$B$2,STDEV(OFFSET(F919,1-'参数'!$B$2,0,'参数'!$B$2,1))*SQRT('参数'!$B$3),"")</f>
        <v/>
      </c>
    </row>
    <row r="920">
      <c r="A920">
        <f>'对齐'!A920</f>
        <v/>
      </c>
      <c r="B920">
        <f>'对齐'!B920/'对齐'!B919-1</f>
        <v/>
      </c>
      <c r="C920">
        <f>'对齐'!B920/'对齐'!B$2*100</f>
        <v/>
      </c>
      <c r="D920">
        <f>'对齐'!B920/MAX('对齐'!B$2:'对齐'!B920)-1</f>
        <v/>
      </c>
      <c r="E920">
        <f>IF(ROW()-2&gt;='参数'!$B$2,STDEV(OFFSET(B920,1-'参数'!$B$2,0,'参数'!$B$2,1))*SQRT('参数'!$B$3),"")</f>
        <v/>
      </c>
      <c r="F920">
        <f>'对齐'!C920/'对齐'!C919-1</f>
        <v/>
      </c>
      <c r="G920">
        <f>'对齐'!C920/'对齐'!C$2*100</f>
        <v/>
      </c>
      <c r="H920">
        <f>'对齐'!C920/MAX('对齐'!C$2:'对齐'!C920)-1</f>
        <v/>
      </c>
      <c r="I920">
        <f>IF(ROW()-2&gt;='参数'!$B$2,STDEV(OFFSET(F920,1-'参数'!$B$2,0,'参数'!$B$2,1))*SQRT('参数'!$B$3),"")</f>
        <v/>
      </c>
    </row>
    <row r="921">
      <c r="A921">
        <f>'对齐'!A921</f>
        <v/>
      </c>
      <c r="B921">
        <f>'对齐'!B921/'对齐'!B920-1</f>
        <v/>
      </c>
      <c r="C921">
        <f>'对齐'!B921/'对齐'!B$2*100</f>
        <v/>
      </c>
      <c r="D921">
        <f>'对齐'!B921/MAX('对齐'!B$2:'对齐'!B921)-1</f>
        <v/>
      </c>
      <c r="E921">
        <f>IF(ROW()-2&gt;='参数'!$B$2,STDEV(OFFSET(B921,1-'参数'!$B$2,0,'参数'!$B$2,1))*SQRT('参数'!$B$3),"")</f>
        <v/>
      </c>
      <c r="F921">
        <f>'对齐'!C921/'对齐'!C920-1</f>
        <v/>
      </c>
      <c r="G921">
        <f>'对齐'!C921/'对齐'!C$2*100</f>
        <v/>
      </c>
      <c r="H921">
        <f>'对齐'!C921/MAX('对齐'!C$2:'对齐'!C921)-1</f>
        <v/>
      </c>
      <c r="I921">
        <f>IF(ROW()-2&gt;='参数'!$B$2,STDEV(OFFSET(F921,1-'参数'!$B$2,0,'参数'!$B$2,1))*SQRT('参数'!$B$3),"")</f>
        <v/>
      </c>
    </row>
    <row r="922">
      <c r="A922">
        <f>'对齐'!A922</f>
        <v/>
      </c>
      <c r="B922">
        <f>'对齐'!B922/'对齐'!B921-1</f>
        <v/>
      </c>
      <c r="C922">
        <f>'对齐'!B922/'对齐'!B$2*100</f>
        <v/>
      </c>
      <c r="D922">
        <f>'对齐'!B922/MAX('对齐'!B$2:'对齐'!B922)-1</f>
        <v/>
      </c>
      <c r="E922">
        <f>IF(ROW()-2&gt;='参数'!$B$2,STDEV(OFFSET(B922,1-'参数'!$B$2,0,'参数'!$B$2,1))*SQRT('参数'!$B$3),"")</f>
        <v/>
      </c>
      <c r="F922">
        <f>'对齐'!C922/'对齐'!C921-1</f>
        <v/>
      </c>
      <c r="G922">
        <f>'对齐'!C922/'对齐'!C$2*100</f>
        <v/>
      </c>
      <c r="H922">
        <f>'对齐'!C922/MAX('对齐'!C$2:'对齐'!C922)-1</f>
        <v/>
      </c>
      <c r="I922">
        <f>IF(ROW()-2&gt;='参数'!$B$2,STDEV(OFFSET(F922,1-'参数'!$B$2,0,'参数'!$B$2,1))*SQRT('参数'!$B$3),"")</f>
        <v/>
      </c>
    </row>
    <row r="923">
      <c r="A923">
        <f>'对齐'!A923</f>
        <v/>
      </c>
      <c r="B923">
        <f>'对齐'!B923/'对齐'!B922-1</f>
        <v/>
      </c>
      <c r="C923">
        <f>'对齐'!B923/'对齐'!B$2*100</f>
        <v/>
      </c>
      <c r="D923">
        <f>'对齐'!B923/MAX('对齐'!B$2:'对齐'!B923)-1</f>
        <v/>
      </c>
      <c r="E923">
        <f>IF(ROW()-2&gt;='参数'!$B$2,STDEV(OFFSET(B923,1-'参数'!$B$2,0,'参数'!$B$2,1))*SQRT('参数'!$B$3),"")</f>
        <v/>
      </c>
      <c r="F923">
        <f>'对齐'!C923/'对齐'!C922-1</f>
        <v/>
      </c>
      <c r="G923">
        <f>'对齐'!C923/'对齐'!C$2*100</f>
        <v/>
      </c>
      <c r="H923">
        <f>'对齐'!C923/MAX('对齐'!C$2:'对齐'!C923)-1</f>
        <v/>
      </c>
      <c r="I923">
        <f>IF(ROW()-2&gt;='参数'!$B$2,STDEV(OFFSET(F923,1-'参数'!$B$2,0,'参数'!$B$2,1))*SQRT('参数'!$B$3),"")</f>
        <v/>
      </c>
    </row>
    <row r="924">
      <c r="A924">
        <f>'对齐'!A924</f>
        <v/>
      </c>
      <c r="B924">
        <f>'对齐'!B924/'对齐'!B923-1</f>
        <v/>
      </c>
      <c r="C924">
        <f>'对齐'!B924/'对齐'!B$2*100</f>
        <v/>
      </c>
      <c r="D924">
        <f>'对齐'!B924/MAX('对齐'!B$2:'对齐'!B924)-1</f>
        <v/>
      </c>
      <c r="E924">
        <f>IF(ROW()-2&gt;='参数'!$B$2,STDEV(OFFSET(B924,1-'参数'!$B$2,0,'参数'!$B$2,1))*SQRT('参数'!$B$3),"")</f>
        <v/>
      </c>
      <c r="F924">
        <f>'对齐'!C924/'对齐'!C923-1</f>
        <v/>
      </c>
      <c r="G924">
        <f>'对齐'!C924/'对齐'!C$2*100</f>
        <v/>
      </c>
      <c r="H924">
        <f>'对齐'!C924/MAX('对齐'!C$2:'对齐'!C924)-1</f>
        <v/>
      </c>
      <c r="I924">
        <f>IF(ROW()-2&gt;='参数'!$B$2,STDEV(OFFSET(F924,1-'参数'!$B$2,0,'参数'!$B$2,1))*SQRT('参数'!$B$3),"")</f>
        <v/>
      </c>
    </row>
    <row r="925">
      <c r="A925">
        <f>'对齐'!A925</f>
        <v/>
      </c>
      <c r="B925">
        <f>'对齐'!B925/'对齐'!B924-1</f>
        <v/>
      </c>
      <c r="C925">
        <f>'对齐'!B925/'对齐'!B$2*100</f>
        <v/>
      </c>
      <c r="D925">
        <f>'对齐'!B925/MAX('对齐'!B$2:'对齐'!B925)-1</f>
        <v/>
      </c>
      <c r="E925">
        <f>IF(ROW()-2&gt;='参数'!$B$2,STDEV(OFFSET(B925,1-'参数'!$B$2,0,'参数'!$B$2,1))*SQRT('参数'!$B$3),"")</f>
        <v/>
      </c>
      <c r="F925">
        <f>'对齐'!C925/'对齐'!C924-1</f>
        <v/>
      </c>
      <c r="G925">
        <f>'对齐'!C925/'对齐'!C$2*100</f>
        <v/>
      </c>
      <c r="H925">
        <f>'对齐'!C925/MAX('对齐'!C$2:'对齐'!C925)-1</f>
        <v/>
      </c>
      <c r="I925">
        <f>IF(ROW()-2&gt;='参数'!$B$2,STDEV(OFFSET(F925,1-'参数'!$B$2,0,'参数'!$B$2,1))*SQRT('参数'!$B$3),"")</f>
        <v/>
      </c>
    </row>
    <row r="926">
      <c r="A926">
        <f>'对齐'!A926</f>
        <v/>
      </c>
      <c r="B926">
        <f>'对齐'!B926/'对齐'!B925-1</f>
        <v/>
      </c>
      <c r="C926">
        <f>'对齐'!B926/'对齐'!B$2*100</f>
        <v/>
      </c>
      <c r="D926">
        <f>'对齐'!B926/MAX('对齐'!B$2:'对齐'!B926)-1</f>
        <v/>
      </c>
      <c r="E926">
        <f>IF(ROW()-2&gt;='参数'!$B$2,STDEV(OFFSET(B926,1-'参数'!$B$2,0,'参数'!$B$2,1))*SQRT('参数'!$B$3),"")</f>
        <v/>
      </c>
      <c r="F926">
        <f>'对齐'!C926/'对齐'!C925-1</f>
        <v/>
      </c>
      <c r="G926">
        <f>'对齐'!C926/'对齐'!C$2*100</f>
        <v/>
      </c>
      <c r="H926">
        <f>'对齐'!C926/MAX('对齐'!C$2:'对齐'!C926)-1</f>
        <v/>
      </c>
      <c r="I926">
        <f>IF(ROW()-2&gt;='参数'!$B$2,STDEV(OFFSET(F926,1-'参数'!$B$2,0,'参数'!$B$2,1))*SQRT('参数'!$B$3),"")</f>
        <v/>
      </c>
    </row>
    <row r="927">
      <c r="A927">
        <f>'对齐'!A927</f>
        <v/>
      </c>
      <c r="B927">
        <f>'对齐'!B927/'对齐'!B926-1</f>
        <v/>
      </c>
      <c r="C927">
        <f>'对齐'!B927/'对齐'!B$2*100</f>
        <v/>
      </c>
      <c r="D927">
        <f>'对齐'!B927/MAX('对齐'!B$2:'对齐'!B927)-1</f>
        <v/>
      </c>
      <c r="E927">
        <f>IF(ROW()-2&gt;='参数'!$B$2,STDEV(OFFSET(B927,1-'参数'!$B$2,0,'参数'!$B$2,1))*SQRT('参数'!$B$3),"")</f>
        <v/>
      </c>
      <c r="F927">
        <f>'对齐'!C927/'对齐'!C926-1</f>
        <v/>
      </c>
      <c r="G927">
        <f>'对齐'!C927/'对齐'!C$2*100</f>
        <v/>
      </c>
      <c r="H927">
        <f>'对齐'!C927/MAX('对齐'!C$2:'对齐'!C927)-1</f>
        <v/>
      </c>
      <c r="I927">
        <f>IF(ROW()-2&gt;='参数'!$B$2,STDEV(OFFSET(F927,1-'参数'!$B$2,0,'参数'!$B$2,1))*SQRT('参数'!$B$3),"")</f>
        <v/>
      </c>
    </row>
    <row r="928">
      <c r="A928">
        <f>'对齐'!A928</f>
        <v/>
      </c>
      <c r="B928">
        <f>'对齐'!B928/'对齐'!B927-1</f>
        <v/>
      </c>
      <c r="C928">
        <f>'对齐'!B928/'对齐'!B$2*100</f>
        <v/>
      </c>
      <c r="D928">
        <f>'对齐'!B928/MAX('对齐'!B$2:'对齐'!B928)-1</f>
        <v/>
      </c>
      <c r="E928">
        <f>IF(ROW()-2&gt;='参数'!$B$2,STDEV(OFFSET(B928,1-'参数'!$B$2,0,'参数'!$B$2,1))*SQRT('参数'!$B$3),"")</f>
        <v/>
      </c>
      <c r="F928">
        <f>'对齐'!C928/'对齐'!C927-1</f>
        <v/>
      </c>
      <c r="G928">
        <f>'对齐'!C928/'对齐'!C$2*100</f>
        <v/>
      </c>
      <c r="H928">
        <f>'对齐'!C928/MAX('对齐'!C$2:'对齐'!C928)-1</f>
        <v/>
      </c>
      <c r="I928">
        <f>IF(ROW()-2&gt;='参数'!$B$2,STDEV(OFFSET(F928,1-'参数'!$B$2,0,'参数'!$B$2,1))*SQRT('参数'!$B$3),"")</f>
        <v/>
      </c>
    </row>
    <row r="929">
      <c r="A929">
        <f>'对齐'!A929</f>
        <v/>
      </c>
      <c r="B929">
        <f>'对齐'!B929/'对齐'!B928-1</f>
        <v/>
      </c>
      <c r="C929">
        <f>'对齐'!B929/'对齐'!B$2*100</f>
        <v/>
      </c>
      <c r="D929">
        <f>'对齐'!B929/MAX('对齐'!B$2:'对齐'!B929)-1</f>
        <v/>
      </c>
      <c r="E929">
        <f>IF(ROW()-2&gt;='参数'!$B$2,STDEV(OFFSET(B929,1-'参数'!$B$2,0,'参数'!$B$2,1))*SQRT('参数'!$B$3),"")</f>
        <v/>
      </c>
      <c r="F929">
        <f>'对齐'!C929/'对齐'!C928-1</f>
        <v/>
      </c>
      <c r="G929">
        <f>'对齐'!C929/'对齐'!C$2*100</f>
        <v/>
      </c>
      <c r="H929">
        <f>'对齐'!C929/MAX('对齐'!C$2:'对齐'!C929)-1</f>
        <v/>
      </c>
      <c r="I929">
        <f>IF(ROW()-2&gt;='参数'!$B$2,STDEV(OFFSET(F929,1-'参数'!$B$2,0,'参数'!$B$2,1))*SQRT('参数'!$B$3),"")</f>
        <v/>
      </c>
    </row>
    <row r="930">
      <c r="A930">
        <f>'对齐'!A930</f>
        <v/>
      </c>
      <c r="B930">
        <f>'对齐'!B930/'对齐'!B929-1</f>
        <v/>
      </c>
      <c r="C930">
        <f>'对齐'!B930/'对齐'!B$2*100</f>
        <v/>
      </c>
      <c r="D930">
        <f>'对齐'!B930/MAX('对齐'!B$2:'对齐'!B930)-1</f>
        <v/>
      </c>
      <c r="E930">
        <f>IF(ROW()-2&gt;='参数'!$B$2,STDEV(OFFSET(B930,1-'参数'!$B$2,0,'参数'!$B$2,1))*SQRT('参数'!$B$3),"")</f>
        <v/>
      </c>
      <c r="F930">
        <f>'对齐'!C930/'对齐'!C929-1</f>
        <v/>
      </c>
      <c r="G930">
        <f>'对齐'!C930/'对齐'!C$2*100</f>
        <v/>
      </c>
      <c r="H930">
        <f>'对齐'!C930/MAX('对齐'!C$2:'对齐'!C930)-1</f>
        <v/>
      </c>
      <c r="I930">
        <f>IF(ROW()-2&gt;='参数'!$B$2,STDEV(OFFSET(F930,1-'参数'!$B$2,0,'参数'!$B$2,1))*SQRT('参数'!$B$3),"")</f>
        <v/>
      </c>
    </row>
    <row r="931">
      <c r="A931">
        <f>'对齐'!A931</f>
        <v/>
      </c>
      <c r="B931">
        <f>'对齐'!B931/'对齐'!B930-1</f>
        <v/>
      </c>
      <c r="C931">
        <f>'对齐'!B931/'对齐'!B$2*100</f>
        <v/>
      </c>
      <c r="D931">
        <f>'对齐'!B931/MAX('对齐'!B$2:'对齐'!B931)-1</f>
        <v/>
      </c>
      <c r="E931">
        <f>IF(ROW()-2&gt;='参数'!$B$2,STDEV(OFFSET(B931,1-'参数'!$B$2,0,'参数'!$B$2,1))*SQRT('参数'!$B$3),"")</f>
        <v/>
      </c>
      <c r="F931">
        <f>'对齐'!C931/'对齐'!C930-1</f>
        <v/>
      </c>
      <c r="G931">
        <f>'对齐'!C931/'对齐'!C$2*100</f>
        <v/>
      </c>
      <c r="H931">
        <f>'对齐'!C931/MAX('对齐'!C$2:'对齐'!C931)-1</f>
        <v/>
      </c>
      <c r="I931">
        <f>IF(ROW()-2&gt;='参数'!$B$2,STDEV(OFFSET(F931,1-'参数'!$B$2,0,'参数'!$B$2,1))*SQRT('参数'!$B$3),"")</f>
        <v/>
      </c>
    </row>
    <row r="932">
      <c r="A932">
        <f>'对齐'!A932</f>
        <v/>
      </c>
      <c r="B932">
        <f>'对齐'!B932/'对齐'!B931-1</f>
        <v/>
      </c>
      <c r="C932">
        <f>'对齐'!B932/'对齐'!B$2*100</f>
        <v/>
      </c>
      <c r="D932">
        <f>'对齐'!B932/MAX('对齐'!B$2:'对齐'!B932)-1</f>
        <v/>
      </c>
      <c r="E932">
        <f>IF(ROW()-2&gt;='参数'!$B$2,STDEV(OFFSET(B932,1-'参数'!$B$2,0,'参数'!$B$2,1))*SQRT('参数'!$B$3),"")</f>
        <v/>
      </c>
      <c r="F932">
        <f>'对齐'!C932/'对齐'!C931-1</f>
        <v/>
      </c>
      <c r="G932">
        <f>'对齐'!C932/'对齐'!C$2*100</f>
        <v/>
      </c>
      <c r="H932">
        <f>'对齐'!C932/MAX('对齐'!C$2:'对齐'!C932)-1</f>
        <v/>
      </c>
      <c r="I932">
        <f>IF(ROW()-2&gt;='参数'!$B$2,STDEV(OFFSET(F932,1-'参数'!$B$2,0,'参数'!$B$2,1))*SQRT('参数'!$B$3),"")</f>
        <v/>
      </c>
    </row>
    <row r="933">
      <c r="A933">
        <f>'对齐'!A933</f>
        <v/>
      </c>
      <c r="B933">
        <f>'对齐'!B933/'对齐'!B932-1</f>
        <v/>
      </c>
      <c r="C933">
        <f>'对齐'!B933/'对齐'!B$2*100</f>
        <v/>
      </c>
      <c r="D933">
        <f>'对齐'!B933/MAX('对齐'!B$2:'对齐'!B933)-1</f>
        <v/>
      </c>
      <c r="E933">
        <f>IF(ROW()-2&gt;='参数'!$B$2,STDEV(OFFSET(B933,1-'参数'!$B$2,0,'参数'!$B$2,1))*SQRT('参数'!$B$3),"")</f>
        <v/>
      </c>
      <c r="F933">
        <f>'对齐'!C933/'对齐'!C932-1</f>
        <v/>
      </c>
      <c r="G933">
        <f>'对齐'!C933/'对齐'!C$2*100</f>
        <v/>
      </c>
      <c r="H933">
        <f>'对齐'!C933/MAX('对齐'!C$2:'对齐'!C933)-1</f>
        <v/>
      </c>
      <c r="I933">
        <f>IF(ROW()-2&gt;='参数'!$B$2,STDEV(OFFSET(F933,1-'参数'!$B$2,0,'参数'!$B$2,1))*SQRT('参数'!$B$3),"")</f>
        <v/>
      </c>
    </row>
    <row r="934">
      <c r="A934">
        <f>'对齐'!A934</f>
        <v/>
      </c>
      <c r="B934">
        <f>'对齐'!B934/'对齐'!B933-1</f>
        <v/>
      </c>
      <c r="C934">
        <f>'对齐'!B934/'对齐'!B$2*100</f>
        <v/>
      </c>
      <c r="D934">
        <f>'对齐'!B934/MAX('对齐'!B$2:'对齐'!B934)-1</f>
        <v/>
      </c>
      <c r="E934">
        <f>IF(ROW()-2&gt;='参数'!$B$2,STDEV(OFFSET(B934,1-'参数'!$B$2,0,'参数'!$B$2,1))*SQRT('参数'!$B$3),"")</f>
        <v/>
      </c>
      <c r="F934">
        <f>'对齐'!C934/'对齐'!C933-1</f>
        <v/>
      </c>
      <c r="G934">
        <f>'对齐'!C934/'对齐'!C$2*100</f>
        <v/>
      </c>
      <c r="H934">
        <f>'对齐'!C934/MAX('对齐'!C$2:'对齐'!C934)-1</f>
        <v/>
      </c>
      <c r="I934">
        <f>IF(ROW()-2&gt;='参数'!$B$2,STDEV(OFFSET(F934,1-'参数'!$B$2,0,'参数'!$B$2,1))*SQRT('参数'!$B$3),"")</f>
        <v/>
      </c>
    </row>
    <row r="935">
      <c r="A935">
        <f>'对齐'!A935</f>
        <v/>
      </c>
      <c r="B935">
        <f>'对齐'!B935/'对齐'!B934-1</f>
        <v/>
      </c>
      <c r="C935">
        <f>'对齐'!B935/'对齐'!B$2*100</f>
        <v/>
      </c>
      <c r="D935">
        <f>'对齐'!B935/MAX('对齐'!B$2:'对齐'!B935)-1</f>
        <v/>
      </c>
      <c r="E935">
        <f>IF(ROW()-2&gt;='参数'!$B$2,STDEV(OFFSET(B935,1-'参数'!$B$2,0,'参数'!$B$2,1))*SQRT('参数'!$B$3),"")</f>
        <v/>
      </c>
      <c r="F935">
        <f>'对齐'!C935/'对齐'!C934-1</f>
        <v/>
      </c>
      <c r="G935">
        <f>'对齐'!C935/'对齐'!C$2*100</f>
        <v/>
      </c>
      <c r="H935">
        <f>'对齐'!C935/MAX('对齐'!C$2:'对齐'!C935)-1</f>
        <v/>
      </c>
      <c r="I935">
        <f>IF(ROW()-2&gt;='参数'!$B$2,STDEV(OFFSET(F935,1-'参数'!$B$2,0,'参数'!$B$2,1))*SQRT('参数'!$B$3),"")</f>
        <v/>
      </c>
    </row>
    <row r="936">
      <c r="A936">
        <f>'对齐'!A936</f>
        <v/>
      </c>
      <c r="B936">
        <f>'对齐'!B936/'对齐'!B935-1</f>
        <v/>
      </c>
      <c r="C936">
        <f>'对齐'!B936/'对齐'!B$2*100</f>
        <v/>
      </c>
      <c r="D936">
        <f>'对齐'!B936/MAX('对齐'!B$2:'对齐'!B936)-1</f>
        <v/>
      </c>
      <c r="E936">
        <f>IF(ROW()-2&gt;='参数'!$B$2,STDEV(OFFSET(B936,1-'参数'!$B$2,0,'参数'!$B$2,1))*SQRT('参数'!$B$3),"")</f>
        <v/>
      </c>
      <c r="F936">
        <f>'对齐'!C936/'对齐'!C935-1</f>
        <v/>
      </c>
      <c r="G936">
        <f>'对齐'!C936/'对齐'!C$2*100</f>
        <v/>
      </c>
      <c r="H936">
        <f>'对齐'!C936/MAX('对齐'!C$2:'对齐'!C936)-1</f>
        <v/>
      </c>
      <c r="I936">
        <f>IF(ROW()-2&gt;='参数'!$B$2,STDEV(OFFSET(F936,1-'参数'!$B$2,0,'参数'!$B$2,1))*SQRT('参数'!$B$3),"")</f>
        <v/>
      </c>
    </row>
    <row r="937">
      <c r="A937">
        <f>'对齐'!A937</f>
        <v/>
      </c>
      <c r="B937">
        <f>'对齐'!B937/'对齐'!B936-1</f>
        <v/>
      </c>
      <c r="C937">
        <f>'对齐'!B937/'对齐'!B$2*100</f>
        <v/>
      </c>
      <c r="D937">
        <f>'对齐'!B937/MAX('对齐'!B$2:'对齐'!B937)-1</f>
        <v/>
      </c>
      <c r="E937">
        <f>IF(ROW()-2&gt;='参数'!$B$2,STDEV(OFFSET(B937,1-'参数'!$B$2,0,'参数'!$B$2,1))*SQRT('参数'!$B$3),"")</f>
        <v/>
      </c>
      <c r="F937">
        <f>'对齐'!C937/'对齐'!C936-1</f>
        <v/>
      </c>
      <c r="G937">
        <f>'对齐'!C937/'对齐'!C$2*100</f>
        <v/>
      </c>
      <c r="H937">
        <f>'对齐'!C937/MAX('对齐'!C$2:'对齐'!C937)-1</f>
        <v/>
      </c>
      <c r="I937">
        <f>IF(ROW()-2&gt;='参数'!$B$2,STDEV(OFFSET(F937,1-'参数'!$B$2,0,'参数'!$B$2,1))*SQRT('参数'!$B$3),"")</f>
        <v/>
      </c>
    </row>
    <row r="938">
      <c r="A938">
        <f>'对齐'!A938</f>
        <v/>
      </c>
      <c r="B938">
        <f>'对齐'!B938/'对齐'!B937-1</f>
        <v/>
      </c>
      <c r="C938">
        <f>'对齐'!B938/'对齐'!B$2*100</f>
        <v/>
      </c>
      <c r="D938">
        <f>'对齐'!B938/MAX('对齐'!B$2:'对齐'!B938)-1</f>
        <v/>
      </c>
      <c r="E938">
        <f>IF(ROW()-2&gt;='参数'!$B$2,STDEV(OFFSET(B938,1-'参数'!$B$2,0,'参数'!$B$2,1))*SQRT('参数'!$B$3),"")</f>
        <v/>
      </c>
      <c r="F938">
        <f>'对齐'!C938/'对齐'!C937-1</f>
        <v/>
      </c>
      <c r="G938">
        <f>'对齐'!C938/'对齐'!C$2*100</f>
        <v/>
      </c>
      <c r="H938">
        <f>'对齐'!C938/MAX('对齐'!C$2:'对齐'!C938)-1</f>
        <v/>
      </c>
      <c r="I938">
        <f>IF(ROW()-2&gt;='参数'!$B$2,STDEV(OFFSET(F938,1-'参数'!$B$2,0,'参数'!$B$2,1))*SQRT('参数'!$B$3),"")</f>
        <v/>
      </c>
    </row>
    <row r="939">
      <c r="A939">
        <f>'对齐'!A939</f>
        <v/>
      </c>
      <c r="B939">
        <f>'对齐'!B939/'对齐'!B938-1</f>
        <v/>
      </c>
      <c r="C939">
        <f>'对齐'!B939/'对齐'!B$2*100</f>
        <v/>
      </c>
      <c r="D939">
        <f>'对齐'!B939/MAX('对齐'!B$2:'对齐'!B939)-1</f>
        <v/>
      </c>
      <c r="E939">
        <f>IF(ROW()-2&gt;='参数'!$B$2,STDEV(OFFSET(B939,1-'参数'!$B$2,0,'参数'!$B$2,1))*SQRT('参数'!$B$3),"")</f>
        <v/>
      </c>
      <c r="F939">
        <f>'对齐'!C939/'对齐'!C938-1</f>
        <v/>
      </c>
      <c r="G939">
        <f>'对齐'!C939/'对齐'!C$2*100</f>
        <v/>
      </c>
      <c r="H939">
        <f>'对齐'!C939/MAX('对齐'!C$2:'对齐'!C939)-1</f>
        <v/>
      </c>
      <c r="I939">
        <f>IF(ROW()-2&gt;='参数'!$B$2,STDEV(OFFSET(F939,1-'参数'!$B$2,0,'参数'!$B$2,1))*SQRT('参数'!$B$3),"")</f>
        <v/>
      </c>
    </row>
    <row r="940">
      <c r="A940">
        <f>'对齐'!A940</f>
        <v/>
      </c>
      <c r="B940">
        <f>'对齐'!B940/'对齐'!B939-1</f>
        <v/>
      </c>
      <c r="C940">
        <f>'对齐'!B940/'对齐'!B$2*100</f>
        <v/>
      </c>
      <c r="D940">
        <f>'对齐'!B940/MAX('对齐'!B$2:'对齐'!B940)-1</f>
        <v/>
      </c>
      <c r="E940">
        <f>IF(ROW()-2&gt;='参数'!$B$2,STDEV(OFFSET(B940,1-'参数'!$B$2,0,'参数'!$B$2,1))*SQRT('参数'!$B$3),"")</f>
        <v/>
      </c>
      <c r="F940">
        <f>'对齐'!C940/'对齐'!C939-1</f>
        <v/>
      </c>
      <c r="G940">
        <f>'对齐'!C940/'对齐'!C$2*100</f>
        <v/>
      </c>
      <c r="H940">
        <f>'对齐'!C940/MAX('对齐'!C$2:'对齐'!C940)-1</f>
        <v/>
      </c>
      <c r="I940">
        <f>IF(ROW()-2&gt;='参数'!$B$2,STDEV(OFFSET(F940,1-'参数'!$B$2,0,'参数'!$B$2,1))*SQRT('参数'!$B$3),"")</f>
        <v/>
      </c>
    </row>
    <row r="941">
      <c r="A941">
        <f>'对齐'!A941</f>
        <v/>
      </c>
      <c r="B941">
        <f>'对齐'!B941/'对齐'!B940-1</f>
        <v/>
      </c>
      <c r="C941">
        <f>'对齐'!B941/'对齐'!B$2*100</f>
        <v/>
      </c>
      <c r="D941">
        <f>'对齐'!B941/MAX('对齐'!B$2:'对齐'!B941)-1</f>
        <v/>
      </c>
      <c r="E941">
        <f>IF(ROW()-2&gt;='参数'!$B$2,STDEV(OFFSET(B941,1-'参数'!$B$2,0,'参数'!$B$2,1))*SQRT('参数'!$B$3),"")</f>
        <v/>
      </c>
      <c r="F941">
        <f>'对齐'!C941/'对齐'!C940-1</f>
        <v/>
      </c>
      <c r="G941">
        <f>'对齐'!C941/'对齐'!C$2*100</f>
        <v/>
      </c>
      <c r="H941">
        <f>'对齐'!C941/MAX('对齐'!C$2:'对齐'!C941)-1</f>
        <v/>
      </c>
      <c r="I941">
        <f>IF(ROW()-2&gt;='参数'!$B$2,STDEV(OFFSET(F941,1-'参数'!$B$2,0,'参数'!$B$2,1))*SQRT('参数'!$B$3),"")</f>
        <v/>
      </c>
    </row>
    <row r="942">
      <c r="A942">
        <f>'对齐'!A942</f>
        <v/>
      </c>
      <c r="B942">
        <f>'对齐'!B942/'对齐'!B941-1</f>
        <v/>
      </c>
      <c r="C942">
        <f>'对齐'!B942/'对齐'!B$2*100</f>
        <v/>
      </c>
      <c r="D942">
        <f>'对齐'!B942/MAX('对齐'!B$2:'对齐'!B942)-1</f>
        <v/>
      </c>
      <c r="E942">
        <f>IF(ROW()-2&gt;='参数'!$B$2,STDEV(OFFSET(B942,1-'参数'!$B$2,0,'参数'!$B$2,1))*SQRT('参数'!$B$3),"")</f>
        <v/>
      </c>
      <c r="F942">
        <f>'对齐'!C942/'对齐'!C941-1</f>
        <v/>
      </c>
      <c r="G942">
        <f>'对齐'!C942/'对齐'!C$2*100</f>
        <v/>
      </c>
      <c r="H942">
        <f>'对齐'!C942/MAX('对齐'!C$2:'对齐'!C942)-1</f>
        <v/>
      </c>
      <c r="I942">
        <f>IF(ROW()-2&gt;='参数'!$B$2,STDEV(OFFSET(F942,1-'参数'!$B$2,0,'参数'!$B$2,1))*SQRT('参数'!$B$3),"")</f>
        <v/>
      </c>
    </row>
    <row r="943">
      <c r="A943">
        <f>'对齐'!A943</f>
        <v/>
      </c>
      <c r="B943">
        <f>'对齐'!B943/'对齐'!B942-1</f>
        <v/>
      </c>
      <c r="C943">
        <f>'对齐'!B943/'对齐'!B$2*100</f>
        <v/>
      </c>
      <c r="D943">
        <f>'对齐'!B943/MAX('对齐'!B$2:'对齐'!B943)-1</f>
        <v/>
      </c>
      <c r="E943">
        <f>IF(ROW()-2&gt;='参数'!$B$2,STDEV(OFFSET(B943,1-'参数'!$B$2,0,'参数'!$B$2,1))*SQRT('参数'!$B$3),"")</f>
        <v/>
      </c>
      <c r="F943">
        <f>'对齐'!C943/'对齐'!C942-1</f>
        <v/>
      </c>
      <c r="G943">
        <f>'对齐'!C943/'对齐'!C$2*100</f>
        <v/>
      </c>
      <c r="H943">
        <f>'对齐'!C943/MAX('对齐'!C$2:'对齐'!C943)-1</f>
        <v/>
      </c>
      <c r="I943">
        <f>IF(ROW()-2&gt;='参数'!$B$2,STDEV(OFFSET(F943,1-'参数'!$B$2,0,'参数'!$B$2,1))*SQRT('参数'!$B$3),"")</f>
        <v/>
      </c>
    </row>
    <row r="944">
      <c r="A944">
        <f>'对齐'!A944</f>
        <v/>
      </c>
      <c r="B944">
        <f>'对齐'!B944/'对齐'!B943-1</f>
        <v/>
      </c>
      <c r="C944">
        <f>'对齐'!B944/'对齐'!B$2*100</f>
        <v/>
      </c>
      <c r="D944">
        <f>'对齐'!B944/MAX('对齐'!B$2:'对齐'!B944)-1</f>
        <v/>
      </c>
      <c r="E944">
        <f>IF(ROW()-2&gt;='参数'!$B$2,STDEV(OFFSET(B944,1-'参数'!$B$2,0,'参数'!$B$2,1))*SQRT('参数'!$B$3),"")</f>
        <v/>
      </c>
      <c r="F944">
        <f>'对齐'!C944/'对齐'!C943-1</f>
        <v/>
      </c>
      <c r="G944">
        <f>'对齐'!C944/'对齐'!C$2*100</f>
        <v/>
      </c>
      <c r="H944">
        <f>'对齐'!C944/MAX('对齐'!C$2:'对齐'!C944)-1</f>
        <v/>
      </c>
      <c r="I944">
        <f>IF(ROW()-2&gt;='参数'!$B$2,STDEV(OFFSET(F944,1-'参数'!$B$2,0,'参数'!$B$2,1))*SQRT('参数'!$B$3),"")</f>
        <v/>
      </c>
    </row>
    <row r="945">
      <c r="A945">
        <f>'对齐'!A945</f>
        <v/>
      </c>
      <c r="B945">
        <f>'对齐'!B945/'对齐'!B944-1</f>
        <v/>
      </c>
      <c r="C945">
        <f>'对齐'!B945/'对齐'!B$2*100</f>
        <v/>
      </c>
      <c r="D945">
        <f>'对齐'!B945/MAX('对齐'!B$2:'对齐'!B945)-1</f>
        <v/>
      </c>
      <c r="E945">
        <f>IF(ROW()-2&gt;='参数'!$B$2,STDEV(OFFSET(B945,1-'参数'!$B$2,0,'参数'!$B$2,1))*SQRT('参数'!$B$3),"")</f>
        <v/>
      </c>
      <c r="F945">
        <f>'对齐'!C945/'对齐'!C944-1</f>
        <v/>
      </c>
      <c r="G945">
        <f>'对齐'!C945/'对齐'!C$2*100</f>
        <v/>
      </c>
      <c r="H945">
        <f>'对齐'!C945/MAX('对齐'!C$2:'对齐'!C945)-1</f>
        <v/>
      </c>
      <c r="I945">
        <f>IF(ROW()-2&gt;='参数'!$B$2,STDEV(OFFSET(F945,1-'参数'!$B$2,0,'参数'!$B$2,1))*SQRT('参数'!$B$3),"")</f>
        <v/>
      </c>
    </row>
    <row r="946">
      <c r="A946">
        <f>'对齐'!A946</f>
        <v/>
      </c>
      <c r="B946">
        <f>'对齐'!B946/'对齐'!B945-1</f>
        <v/>
      </c>
      <c r="C946">
        <f>'对齐'!B946/'对齐'!B$2*100</f>
        <v/>
      </c>
      <c r="D946">
        <f>'对齐'!B946/MAX('对齐'!B$2:'对齐'!B946)-1</f>
        <v/>
      </c>
      <c r="E946">
        <f>IF(ROW()-2&gt;='参数'!$B$2,STDEV(OFFSET(B946,1-'参数'!$B$2,0,'参数'!$B$2,1))*SQRT('参数'!$B$3),"")</f>
        <v/>
      </c>
      <c r="F946">
        <f>'对齐'!C946/'对齐'!C945-1</f>
        <v/>
      </c>
      <c r="G946">
        <f>'对齐'!C946/'对齐'!C$2*100</f>
        <v/>
      </c>
      <c r="H946">
        <f>'对齐'!C946/MAX('对齐'!C$2:'对齐'!C946)-1</f>
        <v/>
      </c>
      <c r="I946">
        <f>IF(ROW()-2&gt;='参数'!$B$2,STDEV(OFFSET(F946,1-'参数'!$B$2,0,'参数'!$B$2,1))*SQRT('参数'!$B$3),"")</f>
        <v/>
      </c>
    </row>
    <row r="947">
      <c r="A947">
        <f>'对齐'!A947</f>
        <v/>
      </c>
      <c r="B947">
        <f>'对齐'!B947/'对齐'!B946-1</f>
        <v/>
      </c>
      <c r="C947">
        <f>'对齐'!B947/'对齐'!B$2*100</f>
        <v/>
      </c>
      <c r="D947">
        <f>'对齐'!B947/MAX('对齐'!B$2:'对齐'!B947)-1</f>
        <v/>
      </c>
      <c r="E947">
        <f>IF(ROW()-2&gt;='参数'!$B$2,STDEV(OFFSET(B947,1-'参数'!$B$2,0,'参数'!$B$2,1))*SQRT('参数'!$B$3),"")</f>
        <v/>
      </c>
      <c r="F947">
        <f>'对齐'!C947/'对齐'!C946-1</f>
        <v/>
      </c>
      <c r="G947">
        <f>'对齐'!C947/'对齐'!C$2*100</f>
        <v/>
      </c>
      <c r="H947">
        <f>'对齐'!C947/MAX('对齐'!C$2:'对齐'!C947)-1</f>
        <v/>
      </c>
      <c r="I947">
        <f>IF(ROW()-2&gt;='参数'!$B$2,STDEV(OFFSET(F947,1-'参数'!$B$2,0,'参数'!$B$2,1))*SQRT('参数'!$B$3),"")</f>
        <v/>
      </c>
    </row>
    <row r="948">
      <c r="A948">
        <f>'对齐'!A948</f>
        <v/>
      </c>
      <c r="B948">
        <f>'对齐'!B948/'对齐'!B947-1</f>
        <v/>
      </c>
      <c r="C948">
        <f>'对齐'!B948/'对齐'!B$2*100</f>
        <v/>
      </c>
      <c r="D948">
        <f>'对齐'!B948/MAX('对齐'!B$2:'对齐'!B948)-1</f>
        <v/>
      </c>
      <c r="E948">
        <f>IF(ROW()-2&gt;='参数'!$B$2,STDEV(OFFSET(B948,1-'参数'!$B$2,0,'参数'!$B$2,1))*SQRT('参数'!$B$3),"")</f>
        <v/>
      </c>
      <c r="F948">
        <f>'对齐'!C948/'对齐'!C947-1</f>
        <v/>
      </c>
      <c r="G948">
        <f>'对齐'!C948/'对齐'!C$2*100</f>
        <v/>
      </c>
      <c r="H948">
        <f>'对齐'!C948/MAX('对齐'!C$2:'对齐'!C948)-1</f>
        <v/>
      </c>
      <c r="I948">
        <f>IF(ROW()-2&gt;='参数'!$B$2,STDEV(OFFSET(F948,1-'参数'!$B$2,0,'参数'!$B$2,1))*SQRT('参数'!$B$3),"")</f>
        <v/>
      </c>
    </row>
    <row r="949">
      <c r="A949">
        <f>'对齐'!A949</f>
        <v/>
      </c>
      <c r="B949">
        <f>'对齐'!B949/'对齐'!B948-1</f>
        <v/>
      </c>
      <c r="C949">
        <f>'对齐'!B949/'对齐'!B$2*100</f>
        <v/>
      </c>
      <c r="D949">
        <f>'对齐'!B949/MAX('对齐'!B$2:'对齐'!B949)-1</f>
        <v/>
      </c>
      <c r="E949">
        <f>IF(ROW()-2&gt;='参数'!$B$2,STDEV(OFFSET(B949,1-'参数'!$B$2,0,'参数'!$B$2,1))*SQRT('参数'!$B$3),"")</f>
        <v/>
      </c>
      <c r="F949">
        <f>'对齐'!C949/'对齐'!C948-1</f>
        <v/>
      </c>
      <c r="G949">
        <f>'对齐'!C949/'对齐'!C$2*100</f>
        <v/>
      </c>
      <c r="H949">
        <f>'对齐'!C949/MAX('对齐'!C$2:'对齐'!C949)-1</f>
        <v/>
      </c>
      <c r="I949">
        <f>IF(ROW()-2&gt;='参数'!$B$2,STDEV(OFFSET(F949,1-'参数'!$B$2,0,'参数'!$B$2,1))*SQRT('参数'!$B$3),"")</f>
        <v/>
      </c>
    </row>
    <row r="950">
      <c r="A950">
        <f>'对齐'!A950</f>
        <v/>
      </c>
      <c r="B950">
        <f>'对齐'!B950/'对齐'!B949-1</f>
        <v/>
      </c>
      <c r="C950">
        <f>'对齐'!B950/'对齐'!B$2*100</f>
        <v/>
      </c>
      <c r="D950">
        <f>'对齐'!B950/MAX('对齐'!B$2:'对齐'!B950)-1</f>
        <v/>
      </c>
      <c r="E950">
        <f>IF(ROW()-2&gt;='参数'!$B$2,STDEV(OFFSET(B950,1-'参数'!$B$2,0,'参数'!$B$2,1))*SQRT('参数'!$B$3),"")</f>
        <v/>
      </c>
      <c r="F950">
        <f>'对齐'!C950/'对齐'!C949-1</f>
        <v/>
      </c>
      <c r="G950">
        <f>'对齐'!C950/'对齐'!C$2*100</f>
        <v/>
      </c>
      <c r="H950">
        <f>'对齐'!C950/MAX('对齐'!C$2:'对齐'!C950)-1</f>
        <v/>
      </c>
      <c r="I950">
        <f>IF(ROW()-2&gt;='参数'!$B$2,STDEV(OFFSET(F950,1-'参数'!$B$2,0,'参数'!$B$2,1))*SQRT('参数'!$B$3),"")</f>
        <v/>
      </c>
    </row>
    <row r="951">
      <c r="A951">
        <f>'对齐'!A951</f>
        <v/>
      </c>
      <c r="B951">
        <f>'对齐'!B951/'对齐'!B950-1</f>
        <v/>
      </c>
      <c r="C951">
        <f>'对齐'!B951/'对齐'!B$2*100</f>
        <v/>
      </c>
      <c r="D951">
        <f>'对齐'!B951/MAX('对齐'!B$2:'对齐'!B951)-1</f>
        <v/>
      </c>
      <c r="E951">
        <f>IF(ROW()-2&gt;='参数'!$B$2,STDEV(OFFSET(B951,1-'参数'!$B$2,0,'参数'!$B$2,1))*SQRT('参数'!$B$3),"")</f>
        <v/>
      </c>
      <c r="F951">
        <f>'对齐'!C951/'对齐'!C950-1</f>
        <v/>
      </c>
      <c r="G951">
        <f>'对齐'!C951/'对齐'!C$2*100</f>
        <v/>
      </c>
      <c r="H951">
        <f>'对齐'!C951/MAX('对齐'!C$2:'对齐'!C951)-1</f>
        <v/>
      </c>
      <c r="I951">
        <f>IF(ROW()-2&gt;='参数'!$B$2,STDEV(OFFSET(F951,1-'参数'!$B$2,0,'参数'!$B$2,1))*SQRT('参数'!$B$3),"")</f>
        <v/>
      </c>
    </row>
    <row r="952">
      <c r="A952">
        <f>'对齐'!A952</f>
        <v/>
      </c>
      <c r="B952">
        <f>'对齐'!B952/'对齐'!B951-1</f>
        <v/>
      </c>
      <c r="C952">
        <f>'对齐'!B952/'对齐'!B$2*100</f>
        <v/>
      </c>
      <c r="D952">
        <f>'对齐'!B952/MAX('对齐'!B$2:'对齐'!B952)-1</f>
        <v/>
      </c>
      <c r="E952">
        <f>IF(ROW()-2&gt;='参数'!$B$2,STDEV(OFFSET(B952,1-'参数'!$B$2,0,'参数'!$B$2,1))*SQRT('参数'!$B$3),"")</f>
        <v/>
      </c>
      <c r="F952">
        <f>'对齐'!C952/'对齐'!C951-1</f>
        <v/>
      </c>
      <c r="G952">
        <f>'对齐'!C952/'对齐'!C$2*100</f>
        <v/>
      </c>
      <c r="H952">
        <f>'对齐'!C952/MAX('对齐'!C$2:'对齐'!C952)-1</f>
        <v/>
      </c>
      <c r="I952">
        <f>IF(ROW()-2&gt;='参数'!$B$2,STDEV(OFFSET(F952,1-'参数'!$B$2,0,'参数'!$B$2,1))*SQRT('参数'!$B$3),"")</f>
        <v/>
      </c>
    </row>
    <row r="953">
      <c r="A953">
        <f>'对齐'!A953</f>
        <v/>
      </c>
      <c r="B953">
        <f>'对齐'!B953/'对齐'!B952-1</f>
        <v/>
      </c>
      <c r="C953">
        <f>'对齐'!B953/'对齐'!B$2*100</f>
        <v/>
      </c>
      <c r="D953">
        <f>'对齐'!B953/MAX('对齐'!B$2:'对齐'!B953)-1</f>
        <v/>
      </c>
      <c r="E953">
        <f>IF(ROW()-2&gt;='参数'!$B$2,STDEV(OFFSET(B953,1-'参数'!$B$2,0,'参数'!$B$2,1))*SQRT('参数'!$B$3),"")</f>
        <v/>
      </c>
      <c r="F953">
        <f>'对齐'!C953/'对齐'!C952-1</f>
        <v/>
      </c>
      <c r="G953">
        <f>'对齐'!C953/'对齐'!C$2*100</f>
        <v/>
      </c>
      <c r="H953">
        <f>'对齐'!C953/MAX('对齐'!C$2:'对齐'!C953)-1</f>
        <v/>
      </c>
      <c r="I953">
        <f>IF(ROW()-2&gt;='参数'!$B$2,STDEV(OFFSET(F953,1-'参数'!$B$2,0,'参数'!$B$2,1))*SQRT('参数'!$B$3),"")</f>
        <v/>
      </c>
    </row>
    <row r="954">
      <c r="A954">
        <f>'对齐'!A954</f>
        <v/>
      </c>
      <c r="B954">
        <f>'对齐'!B954/'对齐'!B953-1</f>
        <v/>
      </c>
      <c r="C954">
        <f>'对齐'!B954/'对齐'!B$2*100</f>
        <v/>
      </c>
      <c r="D954">
        <f>'对齐'!B954/MAX('对齐'!B$2:'对齐'!B954)-1</f>
        <v/>
      </c>
      <c r="E954">
        <f>IF(ROW()-2&gt;='参数'!$B$2,STDEV(OFFSET(B954,1-'参数'!$B$2,0,'参数'!$B$2,1))*SQRT('参数'!$B$3),"")</f>
        <v/>
      </c>
      <c r="F954">
        <f>'对齐'!C954/'对齐'!C953-1</f>
        <v/>
      </c>
      <c r="G954">
        <f>'对齐'!C954/'对齐'!C$2*100</f>
        <v/>
      </c>
      <c r="H954">
        <f>'对齐'!C954/MAX('对齐'!C$2:'对齐'!C954)-1</f>
        <v/>
      </c>
      <c r="I954">
        <f>IF(ROW()-2&gt;='参数'!$B$2,STDEV(OFFSET(F954,1-'参数'!$B$2,0,'参数'!$B$2,1))*SQRT('参数'!$B$3),"")</f>
        <v/>
      </c>
    </row>
    <row r="955">
      <c r="A955">
        <f>'对齐'!A955</f>
        <v/>
      </c>
      <c r="B955">
        <f>'对齐'!B955/'对齐'!B954-1</f>
        <v/>
      </c>
      <c r="C955">
        <f>'对齐'!B955/'对齐'!B$2*100</f>
        <v/>
      </c>
      <c r="D955">
        <f>'对齐'!B955/MAX('对齐'!B$2:'对齐'!B955)-1</f>
        <v/>
      </c>
      <c r="E955">
        <f>IF(ROW()-2&gt;='参数'!$B$2,STDEV(OFFSET(B955,1-'参数'!$B$2,0,'参数'!$B$2,1))*SQRT('参数'!$B$3),"")</f>
        <v/>
      </c>
      <c r="F955">
        <f>'对齐'!C955/'对齐'!C954-1</f>
        <v/>
      </c>
      <c r="G955">
        <f>'对齐'!C955/'对齐'!C$2*100</f>
        <v/>
      </c>
      <c r="H955">
        <f>'对齐'!C955/MAX('对齐'!C$2:'对齐'!C955)-1</f>
        <v/>
      </c>
      <c r="I955">
        <f>IF(ROW()-2&gt;='参数'!$B$2,STDEV(OFFSET(F955,1-'参数'!$B$2,0,'参数'!$B$2,1))*SQRT('参数'!$B$3),"")</f>
        <v/>
      </c>
    </row>
    <row r="956">
      <c r="A956">
        <f>'对齐'!A956</f>
        <v/>
      </c>
      <c r="B956">
        <f>'对齐'!B956/'对齐'!B955-1</f>
        <v/>
      </c>
      <c r="C956">
        <f>'对齐'!B956/'对齐'!B$2*100</f>
        <v/>
      </c>
      <c r="D956">
        <f>'对齐'!B956/MAX('对齐'!B$2:'对齐'!B956)-1</f>
        <v/>
      </c>
      <c r="E956">
        <f>IF(ROW()-2&gt;='参数'!$B$2,STDEV(OFFSET(B956,1-'参数'!$B$2,0,'参数'!$B$2,1))*SQRT('参数'!$B$3),"")</f>
        <v/>
      </c>
      <c r="F956">
        <f>'对齐'!C956/'对齐'!C955-1</f>
        <v/>
      </c>
      <c r="G956">
        <f>'对齐'!C956/'对齐'!C$2*100</f>
        <v/>
      </c>
      <c r="H956">
        <f>'对齐'!C956/MAX('对齐'!C$2:'对齐'!C956)-1</f>
        <v/>
      </c>
      <c r="I956">
        <f>IF(ROW()-2&gt;='参数'!$B$2,STDEV(OFFSET(F956,1-'参数'!$B$2,0,'参数'!$B$2,1))*SQRT('参数'!$B$3),"")</f>
        <v/>
      </c>
    </row>
    <row r="957">
      <c r="A957">
        <f>'对齐'!A957</f>
        <v/>
      </c>
      <c r="B957">
        <f>'对齐'!B957/'对齐'!B956-1</f>
        <v/>
      </c>
      <c r="C957">
        <f>'对齐'!B957/'对齐'!B$2*100</f>
        <v/>
      </c>
      <c r="D957">
        <f>'对齐'!B957/MAX('对齐'!B$2:'对齐'!B957)-1</f>
        <v/>
      </c>
      <c r="E957">
        <f>IF(ROW()-2&gt;='参数'!$B$2,STDEV(OFFSET(B957,1-'参数'!$B$2,0,'参数'!$B$2,1))*SQRT('参数'!$B$3),"")</f>
        <v/>
      </c>
      <c r="F957">
        <f>'对齐'!C957/'对齐'!C956-1</f>
        <v/>
      </c>
      <c r="G957">
        <f>'对齐'!C957/'对齐'!C$2*100</f>
        <v/>
      </c>
      <c r="H957">
        <f>'对齐'!C957/MAX('对齐'!C$2:'对齐'!C957)-1</f>
        <v/>
      </c>
      <c r="I957">
        <f>IF(ROW()-2&gt;='参数'!$B$2,STDEV(OFFSET(F957,1-'参数'!$B$2,0,'参数'!$B$2,1))*SQRT('参数'!$B$3),"")</f>
        <v/>
      </c>
    </row>
    <row r="958">
      <c r="A958">
        <f>'对齐'!A958</f>
        <v/>
      </c>
      <c r="B958">
        <f>'对齐'!B958/'对齐'!B957-1</f>
        <v/>
      </c>
      <c r="C958">
        <f>'对齐'!B958/'对齐'!B$2*100</f>
        <v/>
      </c>
      <c r="D958">
        <f>'对齐'!B958/MAX('对齐'!B$2:'对齐'!B958)-1</f>
        <v/>
      </c>
      <c r="E958">
        <f>IF(ROW()-2&gt;='参数'!$B$2,STDEV(OFFSET(B958,1-'参数'!$B$2,0,'参数'!$B$2,1))*SQRT('参数'!$B$3),"")</f>
        <v/>
      </c>
      <c r="F958">
        <f>'对齐'!C958/'对齐'!C957-1</f>
        <v/>
      </c>
      <c r="G958">
        <f>'对齐'!C958/'对齐'!C$2*100</f>
        <v/>
      </c>
      <c r="H958">
        <f>'对齐'!C958/MAX('对齐'!C$2:'对齐'!C958)-1</f>
        <v/>
      </c>
      <c r="I958">
        <f>IF(ROW()-2&gt;='参数'!$B$2,STDEV(OFFSET(F958,1-'参数'!$B$2,0,'参数'!$B$2,1))*SQRT('参数'!$B$3),"")</f>
        <v/>
      </c>
    </row>
    <row r="959">
      <c r="A959">
        <f>'对齐'!A959</f>
        <v/>
      </c>
      <c r="B959">
        <f>'对齐'!B959/'对齐'!B958-1</f>
        <v/>
      </c>
      <c r="C959">
        <f>'对齐'!B959/'对齐'!B$2*100</f>
        <v/>
      </c>
      <c r="D959">
        <f>'对齐'!B959/MAX('对齐'!B$2:'对齐'!B959)-1</f>
        <v/>
      </c>
      <c r="E959">
        <f>IF(ROW()-2&gt;='参数'!$B$2,STDEV(OFFSET(B959,1-'参数'!$B$2,0,'参数'!$B$2,1))*SQRT('参数'!$B$3),"")</f>
        <v/>
      </c>
      <c r="F959">
        <f>'对齐'!C959/'对齐'!C958-1</f>
        <v/>
      </c>
      <c r="G959">
        <f>'对齐'!C959/'对齐'!C$2*100</f>
        <v/>
      </c>
      <c r="H959">
        <f>'对齐'!C959/MAX('对齐'!C$2:'对齐'!C959)-1</f>
        <v/>
      </c>
      <c r="I959">
        <f>IF(ROW()-2&gt;='参数'!$B$2,STDEV(OFFSET(F959,1-'参数'!$B$2,0,'参数'!$B$2,1))*SQRT('参数'!$B$3),"")</f>
        <v/>
      </c>
    </row>
    <row r="960">
      <c r="A960">
        <f>'对齐'!A960</f>
        <v/>
      </c>
      <c r="B960">
        <f>'对齐'!B960/'对齐'!B959-1</f>
        <v/>
      </c>
      <c r="C960">
        <f>'对齐'!B960/'对齐'!B$2*100</f>
        <v/>
      </c>
      <c r="D960">
        <f>'对齐'!B960/MAX('对齐'!B$2:'对齐'!B960)-1</f>
        <v/>
      </c>
      <c r="E960">
        <f>IF(ROW()-2&gt;='参数'!$B$2,STDEV(OFFSET(B960,1-'参数'!$B$2,0,'参数'!$B$2,1))*SQRT('参数'!$B$3),"")</f>
        <v/>
      </c>
      <c r="F960">
        <f>'对齐'!C960/'对齐'!C959-1</f>
        <v/>
      </c>
      <c r="G960">
        <f>'对齐'!C960/'对齐'!C$2*100</f>
        <v/>
      </c>
      <c r="H960">
        <f>'对齐'!C960/MAX('对齐'!C$2:'对齐'!C960)-1</f>
        <v/>
      </c>
      <c r="I960">
        <f>IF(ROW()-2&gt;='参数'!$B$2,STDEV(OFFSET(F960,1-'参数'!$B$2,0,'参数'!$B$2,1))*SQRT('参数'!$B$3),"")</f>
        <v/>
      </c>
    </row>
    <row r="961">
      <c r="A961">
        <f>'对齐'!A961</f>
        <v/>
      </c>
      <c r="B961">
        <f>'对齐'!B961/'对齐'!B960-1</f>
        <v/>
      </c>
      <c r="C961">
        <f>'对齐'!B961/'对齐'!B$2*100</f>
        <v/>
      </c>
      <c r="D961">
        <f>'对齐'!B961/MAX('对齐'!B$2:'对齐'!B961)-1</f>
        <v/>
      </c>
      <c r="E961">
        <f>IF(ROW()-2&gt;='参数'!$B$2,STDEV(OFFSET(B961,1-'参数'!$B$2,0,'参数'!$B$2,1))*SQRT('参数'!$B$3),"")</f>
        <v/>
      </c>
      <c r="F961">
        <f>'对齐'!C961/'对齐'!C960-1</f>
        <v/>
      </c>
      <c r="G961">
        <f>'对齐'!C961/'对齐'!C$2*100</f>
        <v/>
      </c>
      <c r="H961">
        <f>'对齐'!C961/MAX('对齐'!C$2:'对齐'!C961)-1</f>
        <v/>
      </c>
      <c r="I961">
        <f>IF(ROW()-2&gt;='参数'!$B$2,STDEV(OFFSET(F961,1-'参数'!$B$2,0,'参数'!$B$2,1))*SQRT('参数'!$B$3),"")</f>
        <v/>
      </c>
    </row>
    <row r="962">
      <c r="A962">
        <f>'对齐'!A962</f>
        <v/>
      </c>
      <c r="B962">
        <f>'对齐'!B962/'对齐'!B961-1</f>
        <v/>
      </c>
      <c r="C962">
        <f>'对齐'!B962/'对齐'!B$2*100</f>
        <v/>
      </c>
      <c r="D962">
        <f>'对齐'!B962/MAX('对齐'!B$2:'对齐'!B962)-1</f>
        <v/>
      </c>
      <c r="E962">
        <f>IF(ROW()-2&gt;='参数'!$B$2,STDEV(OFFSET(B962,1-'参数'!$B$2,0,'参数'!$B$2,1))*SQRT('参数'!$B$3),"")</f>
        <v/>
      </c>
      <c r="F962">
        <f>'对齐'!C962/'对齐'!C961-1</f>
        <v/>
      </c>
      <c r="G962">
        <f>'对齐'!C962/'对齐'!C$2*100</f>
        <v/>
      </c>
      <c r="H962">
        <f>'对齐'!C962/MAX('对齐'!C$2:'对齐'!C962)-1</f>
        <v/>
      </c>
      <c r="I962">
        <f>IF(ROW()-2&gt;='参数'!$B$2,STDEV(OFFSET(F962,1-'参数'!$B$2,0,'参数'!$B$2,1))*SQRT('参数'!$B$3),"")</f>
        <v/>
      </c>
    </row>
    <row r="963">
      <c r="A963">
        <f>'对齐'!A963</f>
        <v/>
      </c>
      <c r="B963">
        <f>'对齐'!B963/'对齐'!B962-1</f>
        <v/>
      </c>
      <c r="C963">
        <f>'对齐'!B963/'对齐'!B$2*100</f>
        <v/>
      </c>
      <c r="D963">
        <f>'对齐'!B963/MAX('对齐'!B$2:'对齐'!B963)-1</f>
        <v/>
      </c>
      <c r="E963">
        <f>IF(ROW()-2&gt;='参数'!$B$2,STDEV(OFFSET(B963,1-'参数'!$B$2,0,'参数'!$B$2,1))*SQRT('参数'!$B$3),"")</f>
        <v/>
      </c>
      <c r="F963">
        <f>'对齐'!C963/'对齐'!C962-1</f>
        <v/>
      </c>
      <c r="G963">
        <f>'对齐'!C963/'对齐'!C$2*100</f>
        <v/>
      </c>
      <c r="H963">
        <f>'对齐'!C963/MAX('对齐'!C$2:'对齐'!C963)-1</f>
        <v/>
      </c>
      <c r="I963">
        <f>IF(ROW()-2&gt;='参数'!$B$2,STDEV(OFFSET(F963,1-'参数'!$B$2,0,'参数'!$B$2,1))*SQRT('参数'!$B$3),"")</f>
        <v/>
      </c>
    </row>
    <row r="964">
      <c r="A964">
        <f>'对齐'!A964</f>
        <v/>
      </c>
      <c r="B964">
        <f>'对齐'!B964/'对齐'!B963-1</f>
        <v/>
      </c>
      <c r="C964">
        <f>'对齐'!B964/'对齐'!B$2*100</f>
        <v/>
      </c>
      <c r="D964">
        <f>'对齐'!B964/MAX('对齐'!B$2:'对齐'!B964)-1</f>
        <v/>
      </c>
      <c r="E964">
        <f>IF(ROW()-2&gt;='参数'!$B$2,STDEV(OFFSET(B964,1-'参数'!$B$2,0,'参数'!$B$2,1))*SQRT('参数'!$B$3),"")</f>
        <v/>
      </c>
      <c r="F964">
        <f>'对齐'!C964/'对齐'!C963-1</f>
        <v/>
      </c>
      <c r="G964">
        <f>'对齐'!C964/'对齐'!C$2*100</f>
        <v/>
      </c>
      <c r="H964">
        <f>'对齐'!C964/MAX('对齐'!C$2:'对齐'!C964)-1</f>
        <v/>
      </c>
      <c r="I964">
        <f>IF(ROW()-2&gt;='参数'!$B$2,STDEV(OFFSET(F964,1-'参数'!$B$2,0,'参数'!$B$2,1))*SQRT('参数'!$B$3),"")</f>
        <v/>
      </c>
    </row>
    <row r="965">
      <c r="A965">
        <f>'对齐'!A965</f>
        <v/>
      </c>
      <c r="B965">
        <f>'对齐'!B965/'对齐'!B964-1</f>
        <v/>
      </c>
      <c r="C965">
        <f>'对齐'!B965/'对齐'!B$2*100</f>
        <v/>
      </c>
      <c r="D965">
        <f>'对齐'!B965/MAX('对齐'!B$2:'对齐'!B965)-1</f>
        <v/>
      </c>
      <c r="E965">
        <f>IF(ROW()-2&gt;='参数'!$B$2,STDEV(OFFSET(B965,1-'参数'!$B$2,0,'参数'!$B$2,1))*SQRT('参数'!$B$3),"")</f>
        <v/>
      </c>
      <c r="F965">
        <f>'对齐'!C965/'对齐'!C964-1</f>
        <v/>
      </c>
      <c r="G965">
        <f>'对齐'!C965/'对齐'!C$2*100</f>
        <v/>
      </c>
      <c r="H965">
        <f>'对齐'!C965/MAX('对齐'!C$2:'对齐'!C965)-1</f>
        <v/>
      </c>
      <c r="I965">
        <f>IF(ROW()-2&gt;='参数'!$B$2,STDEV(OFFSET(F965,1-'参数'!$B$2,0,'参数'!$B$2,1))*SQRT('参数'!$B$3),"")</f>
        <v/>
      </c>
    </row>
    <row r="966">
      <c r="A966">
        <f>'对齐'!A966</f>
        <v/>
      </c>
      <c r="B966">
        <f>'对齐'!B966/'对齐'!B965-1</f>
        <v/>
      </c>
      <c r="C966">
        <f>'对齐'!B966/'对齐'!B$2*100</f>
        <v/>
      </c>
      <c r="D966">
        <f>'对齐'!B966/MAX('对齐'!B$2:'对齐'!B966)-1</f>
        <v/>
      </c>
      <c r="E966">
        <f>IF(ROW()-2&gt;='参数'!$B$2,STDEV(OFFSET(B966,1-'参数'!$B$2,0,'参数'!$B$2,1))*SQRT('参数'!$B$3),"")</f>
        <v/>
      </c>
      <c r="F966">
        <f>'对齐'!C966/'对齐'!C965-1</f>
        <v/>
      </c>
      <c r="G966">
        <f>'对齐'!C966/'对齐'!C$2*100</f>
        <v/>
      </c>
      <c r="H966">
        <f>'对齐'!C966/MAX('对齐'!C$2:'对齐'!C966)-1</f>
        <v/>
      </c>
      <c r="I966">
        <f>IF(ROW()-2&gt;='参数'!$B$2,STDEV(OFFSET(F966,1-'参数'!$B$2,0,'参数'!$B$2,1))*SQRT('参数'!$B$3),"")</f>
        <v/>
      </c>
    </row>
    <row r="967">
      <c r="A967">
        <f>'对齐'!A967</f>
        <v/>
      </c>
      <c r="B967">
        <f>'对齐'!B967/'对齐'!B966-1</f>
        <v/>
      </c>
      <c r="C967">
        <f>'对齐'!B967/'对齐'!B$2*100</f>
        <v/>
      </c>
      <c r="D967">
        <f>'对齐'!B967/MAX('对齐'!B$2:'对齐'!B967)-1</f>
        <v/>
      </c>
      <c r="E967">
        <f>IF(ROW()-2&gt;='参数'!$B$2,STDEV(OFFSET(B967,1-'参数'!$B$2,0,'参数'!$B$2,1))*SQRT('参数'!$B$3),"")</f>
        <v/>
      </c>
      <c r="F967">
        <f>'对齐'!C967/'对齐'!C966-1</f>
        <v/>
      </c>
      <c r="G967">
        <f>'对齐'!C967/'对齐'!C$2*100</f>
        <v/>
      </c>
      <c r="H967">
        <f>'对齐'!C967/MAX('对齐'!C$2:'对齐'!C967)-1</f>
        <v/>
      </c>
      <c r="I967">
        <f>IF(ROW()-2&gt;='参数'!$B$2,STDEV(OFFSET(F967,1-'参数'!$B$2,0,'参数'!$B$2,1))*SQRT('参数'!$B$3),"")</f>
        <v/>
      </c>
    </row>
    <row r="968">
      <c r="A968">
        <f>'对齐'!A968</f>
        <v/>
      </c>
      <c r="B968">
        <f>'对齐'!B968/'对齐'!B967-1</f>
        <v/>
      </c>
      <c r="C968">
        <f>'对齐'!B968/'对齐'!B$2*100</f>
        <v/>
      </c>
      <c r="D968">
        <f>'对齐'!B968/MAX('对齐'!B$2:'对齐'!B968)-1</f>
        <v/>
      </c>
      <c r="E968">
        <f>IF(ROW()-2&gt;='参数'!$B$2,STDEV(OFFSET(B968,1-'参数'!$B$2,0,'参数'!$B$2,1))*SQRT('参数'!$B$3),"")</f>
        <v/>
      </c>
      <c r="F968">
        <f>'对齐'!C968/'对齐'!C967-1</f>
        <v/>
      </c>
      <c r="G968">
        <f>'对齐'!C968/'对齐'!C$2*100</f>
        <v/>
      </c>
      <c r="H968">
        <f>'对齐'!C968/MAX('对齐'!C$2:'对齐'!C968)-1</f>
        <v/>
      </c>
      <c r="I968">
        <f>IF(ROW()-2&gt;='参数'!$B$2,STDEV(OFFSET(F968,1-'参数'!$B$2,0,'参数'!$B$2,1))*SQRT('参数'!$B$3),"")</f>
        <v/>
      </c>
    </row>
    <row r="969">
      <c r="A969">
        <f>'对齐'!A969</f>
        <v/>
      </c>
      <c r="B969">
        <f>'对齐'!B969/'对齐'!B968-1</f>
        <v/>
      </c>
      <c r="C969">
        <f>'对齐'!B969/'对齐'!B$2*100</f>
        <v/>
      </c>
      <c r="D969">
        <f>'对齐'!B969/MAX('对齐'!B$2:'对齐'!B969)-1</f>
        <v/>
      </c>
      <c r="E969">
        <f>IF(ROW()-2&gt;='参数'!$B$2,STDEV(OFFSET(B969,1-'参数'!$B$2,0,'参数'!$B$2,1))*SQRT('参数'!$B$3),"")</f>
        <v/>
      </c>
      <c r="F969">
        <f>'对齐'!C969/'对齐'!C968-1</f>
        <v/>
      </c>
      <c r="G969">
        <f>'对齐'!C969/'对齐'!C$2*100</f>
        <v/>
      </c>
      <c r="H969">
        <f>'对齐'!C969/MAX('对齐'!C$2:'对齐'!C969)-1</f>
        <v/>
      </c>
      <c r="I969">
        <f>IF(ROW()-2&gt;='参数'!$B$2,STDEV(OFFSET(F969,1-'参数'!$B$2,0,'参数'!$B$2,1))*SQRT('参数'!$B$3),"")</f>
        <v/>
      </c>
    </row>
    <row r="970">
      <c r="A970">
        <f>'对齐'!A970</f>
        <v/>
      </c>
      <c r="B970">
        <f>'对齐'!B970/'对齐'!B969-1</f>
        <v/>
      </c>
      <c r="C970">
        <f>'对齐'!B970/'对齐'!B$2*100</f>
        <v/>
      </c>
      <c r="D970">
        <f>'对齐'!B970/MAX('对齐'!B$2:'对齐'!B970)-1</f>
        <v/>
      </c>
      <c r="E970">
        <f>IF(ROW()-2&gt;='参数'!$B$2,STDEV(OFFSET(B970,1-'参数'!$B$2,0,'参数'!$B$2,1))*SQRT('参数'!$B$3),"")</f>
        <v/>
      </c>
      <c r="F970">
        <f>'对齐'!C970/'对齐'!C969-1</f>
        <v/>
      </c>
      <c r="G970">
        <f>'对齐'!C970/'对齐'!C$2*100</f>
        <v/>
      </c>
      <c r="H970">
        <f>'对齐'!C970/MAX('对齐'!C$2:'对齐'!C970)-1</f>
        <v/>
      </c>
      <c r="I970">
        <f>IF(ROW()-2&gt;='参数'!$B$2,STDEV(OFFSET(F970,1-'参数'!$B$2,0,'参数'!$B$2,1))*SQRT('参数'!$B$3),"")</f>
        <v/>
      </c>
    </row>
    <row r="971">
      <c r="A971">
        <f>'对齐'!A971</f>
        <v/>
      </c>
      <c r="B971">
        <f>'对齐'!B971/'对齐'!B970-1</f>
        <v/>
      </c>
      <c r="C971">
        <f>'对齐'!B971/'对齐'!B$2*100</f>
        <v/>
      </c>
      <c r="D971">
        <f>'对齐'!B971/MAX('对齐'!B$2:'对齐'!B971)-1</f>
        <v/>
      </c>
      <c r="E971">
        <f>IF(ROW()-2&gt;='参数'!$B$2,STDEV(OFFSET(B971,1-'参数'!$B$2,0,'参数'!$B$2,1))*SQRT('参数'!$B$3),"")</f>
        <v/>
      </c>
      <c r="F971">
        <f>'对齐'!C971/'对齐'!C970-1</f>
        <v/>
      </c>
      <c r="G971">
        <f>'对齐'!C971/'对齐'!C$2*100</f>
        <v/>
      </c>
      <c r="H971">
        <f>'对齐'!C971/MAX('对齐'!C$2:'对齐'!C971)-1</f>
        <v/>
      </c>
      <c r="I971">
        <f>IF(ROW()-2&gt;='参数'!$B$2,STDEV(OFFSET(F971,1-'参数'!$B$2,0,'参数'!$B$2,1))*SQRT('参数'!$B$3),"")</f>
        <v/>
      </c>
    </row>
    <row r="972">
      <c r="A972">
        <f>'对齐'!A972</f>
        <v/>
      </c>
      <c r="B972">
        <f>'对齐'!B972/'对齐'!B971-1</f>
        <v/>
      </c>
      <c r="C972">
        <f>'对齐'!B972/'对齐'!B$2*100</f>
        <v/>
      </c>
      <c r="D972">
        <f>'对齐'!B972/MAX('对齐'!B$2:'对齐'!B972)-1</f>
        <v/>
      </c>
      <c r="E972">
        <f>IF(ROW()-2&gt;='参数'!$B$2,STDEV(OFFSET(B972,1-'参数'!$B$2,0,'参数'!$B$2,1))*SQRT('参数'!$B$3),"")</f>
        <v/>
      </c>
      <c r="F972">
        <f>'对齐'!C972/'对齐'!C971-1</f>
        <v/>
      </c>
      <c r="G972">
        <f>'对齐'!C972/'对齐'!C$2*100</f>
        <v/>
      </c>
      <c r="H972">
        <f>'对齐'!C972/MAX('对齐'!C$2:'对齐'!C972)-1</f>
        <v/>
      </c>
      <c r="I972">
        <f>IF(ROW()-2&gt;='参数'!$B$2,STDEV(OFFSET(F972,1-'参数'!$B$2,0,'参数'!$B$2,1))*SQRT('参数'!$B$3),"")</f>
        <v/>
      </c>
    </row>
    <row r="973">
      <c r="A973">
        <f>'对齐'!A973</f>
        <v/>
      </c>
      <c r="B973">
        <f>'对齐'!B973/'对齐'!B972-1</f>
        <v/>
      </c>
      <c r="C973">
        <f>'对齐'!B973/'对齐'!B$2*100</f>
        <v/>
      </c>
      <c r="D973">
        <f>'对齐'!B973/MAX('对齐'!B$2:'对齐'!B973)-1</f>
        <v/>
      </c>
      <c r="E973">
        <f>IF(ROW()-2&gt;='参数'!$B$2,STDEV(OFFSET(B973,1-'参数'!$B$2,0,'参数'!$B$2,1))*SQRT('参数'!$B$3),"")</f>
        <v/>
      </c>
      <c r="F973">
        <f>'对齐'!C973/'对齐'!C972-1</f>
        <v/>
      </c>
      <c r="G973">
        <f>'对齐'!C973/'对齐'!C$2*100</f>
        <v/>
      </c>
      <c r="H973">
        <f>'对齐'!C973/MAX('对齐'!C$2:'对齐'!C973)-1</f>
        <v/>
      </c>
      <c r="I973">
        <f>IF(ROW()-2&gt;='参数'!$B$2,STDEV(OFFSET(F973,1-'参数'!$B$2,0,'参数'!$B$2,1))*SQRT('参数'!$B$3),"")</f>
        <v/>
      </c>
    </row>
    <row r="974">
      <c r="A974">
        <f>'对齐'!A974</f>
        <v/>
      </c>
      <c r="B974">
        <f>'对齐'!B974/'对齐'!B973-1</f>
        <v/>
      </c>
      <c r="C974">
        <f>'对齐'!B974/'对齐'!B$2*100</f>
        <v/>
      </c>
      <c r="D974">
        <f>'对齐'!B974/MAX('对齐'!B$2:'对齐'!B974)-1</f>
        <v/>
      </c>
      <c r="E974">
        <f>IF(ROW()-2&gt;='参数'!$B$2,STDEV(OFFSET(B974,1-'参数'!$B$2,0,'参数'!$B$2,1))*SQRT('参数'!$B$3),"")</f>
        <v/>
      </c>
      <c r="F974">
        <f>'对齐'!C974/'对齐'!C973-1</f>
        <v/>
      </c>
      <c r="G974">
        <f>'对齐'!C974/'对齐'!C$2*100</f>
        <v/>
      </c>
      <c r="H974">
        <f>'对齐'!C974/MAX('对齐'!C$2:'对齐'!C974)-1</f>
        <v/>
      </c>
      <c r="I974">
        <f>IF(ROW()-2&gt;='参数'!$B$2,STDEV(OFFSET(F974,1-'参数'!$B$2,0,'参数'!$B$2,1))*SQRT('参数'!$B$3),"")</f>
        <v/>
      </c>
    </row>
    <row r="975">
      <c r="A975">
        <f>'对齐'!A975</f>
        <v/>
      </c>
      <c r="B975">
        <f>'对齐'!B975/'对齐'!B974-1</f>
        <v/>
      </c>
      <c r="C975">
        <f>'对齐'!B975/'对齐'!B$2*100</f>
        <v/>
      </c>
      <c r="D975">
        <f>'对齐'!B975/MAX('对齐'!B$2:'对齐'!B975)-1</f>
        <v/>
      </c>
      <c r="E975">
        <f>IF(ROW()-2&gt;='参数'!$B$2,STDEV(OFFSET(B975,1-'参数'!$B$2,0,'参数'!$B$2,1))*SQRT('参数'!$B$3),"")</f>
        <v/>
      </c>
      <c r="F975">
        <f>'对齐'!C975/'对齐'!C974-1</f>
        <v/>
      </c>
      <c r="G975">
        <f>'对齐'!C975/'对齐'!C$2*100</f>
        <v/>
      </c>
      <c r="H975">
        <f>'对齐'!C975/MAX('对齐'!C$2:'对齐'!C975)-1</f>
        <v/>
      </c>
      <c r="I975">
        <f>IF(ROW()-2&gt;='参数'!$B$2,STDEV(OFFSET(F975,1-'参数'!$B$2,0,'参数'!$B$2,1))*SQRT('参数'!$B$3),"")</f>
        <v/>
      </c>
    </row>
    <row r="976">
      <c r="A976">
        <f>'对齐'!A976</f>
        <v/>
      </c>
      <c r="B976">
        <f>'对齐'!B976/'对齐'!B975-1</f>
        <v/>
      </c>
      <c r="C976">
        <f>'对齐'!B976/'对齐'!B$2*100</f>
        <v/>
      </c>
      <c r="D976">
        <f>'对齐'!B976/MAX('对齐'!B$2:'对齐'!B976)-1</f>
        <v/>
      </c>
      <c r="E976">
        <f>IF(ROW()-2&gt;='参数'!$B$2,STDEV(OFFSET(B976,1-'参数'!$B$2,0,'参数'!$B$2,1))*SQRT('参数'!$B$3),"")</f>
        <v/>
      </c>
      <c r="F976">
        <f>'对齐'!C976/'对齐'!C975-1</f>
        <v/>
      </c>
      <c r="G976">
        <f>'对齐'!C976/'对齐'!C$2*100</f>
        <v/>
      </c>
      <c r="H976">
        <f>'对齐'!C976/MAX('对齐'!C$2:'对齐'!C976)-1</f>
        <v/>
      </c>
      <c r="I976">
        <f>IF(ROW()-2&gt;='参数'!$B$2,STDEV(OFFSET(F976,1-'参数'!$B$2,0,'参数'!$B$2,1))*SQRT('参数'!$B$3),"")</f>
        <v/>
      </c>
    </row>
    <row r="977">
      <c r="A977">
        <f>'对齐'!A977</f>
        <v/>
      </c>
      <c r="B977">
        <f>'对齐'!B977/'对齐'!B976-1</f>
        <v/>
      </c>
      <c r="C977">
        <f>'对齐'!B977/'对齐'!B$2*100</f>
        <v/>
      </c>
      <c r="D977">
        <f>'对齐'!B977/MAX('对齐'!B$2:'对齐'!B977)-1</f>
        <v/>
      </c>
      <c r="E977">
        <f>IF(ROW()-2&gt;='参数'!$B$2,STDEV(OFFSET(B977,1-'参数'!$B$2,0,'参数'!$B$2,1))*SQRT('参数'!$B$3),"")</f>
        <v/>
      </c>
      <c r="F977">
        <f>'对齐'!C977/'对齐'!C976-1</f>
        <v/>
      </c>
      <c r="G977">
        <f>'对齐'!C977/'对齐'!C$2*100</f>
        <v/>
      </c>
      <c r="H977">
        <f>'对齐'!C977/MAX('对齐'!C$2:'对齐'!C977)-1</f>
        <v/>
      </c>
      <c r="I977">
        <f>IF(ROW()-2&gt;='参数'!$B$2,STDEV(OFFSET(F977,1-'参数'!$B$2,0,'参数'!$B$2,1))*SQRT('参数'!$B$3),"")</f>
        <v/>
      </c>
    </row>
    <row r="978">
      <c r="A978">
        <f>'对齐'!A978</f>
        <v/>
      </c>
      <c r="B978">
        <f>'对齐'!B978/'对齐'!B977-1</f>
        <v/>
      </c>
      <c r="C978">
        <f>'对齐'!B978/'对齐'!B$2*100</f>
        <v/>
      </c>
      <c r="D978">
        <f>'对齐'!B978/MAX('对齐'!B$2:'对齐'!B978)-1</f>
        <v/>
      </c>
      <c r="E978">
        <f>IF(ROW()-2&gt;='参数'!$B$2,STDEV(OFFSET(B978,1-'参数'!$B$2,0,'参数'!$B$2,1))*SQRT('参数'!$B$3),"")</f>
        <v/>
      </c>
      <c r="F978">
        <f>'对齐'!C978/'对齐'!C977-1</f>
        <v/>
      </c>
      <c r="G978">
        <f>'对齐'!C978/'对齐'!C$2*100</f>
        <v/>
      </c>
      <c r="H978">
        <f>'对齐'!C978/MAX('对齐'!C$2:'对齐'!C978)-1</f>
        <v/>
      </c>
      <c r="I978">
        <f>IF(ROW()-2&gt;='参数'!$B$2,STDEV(OFFSET(F978,1-'参数'!$B$2,0,'参数'!$B$2,1))*SQRT('参数'!$B$3),"")</f>
        <v/>
      </c>
    </row>
    <row r="979">
      <c r="A979">
        <f>'对齐'!A979</f>
        <v/>
      </c>
      <c r="B979">
        <f>'对齐'!B979/'对齐'!B978-1</f>
        <v/>
      </c>
      <c r="C979">
        <f>'对齐'!B979/'对齐'!B$2*100</f>
        <v/>
      </c>
      <c r="D979">
        <f>'对齐'!B979/MAX('对齐'!B$2:'对齐'!B979)-1</f>
        <v/>
      </c>
      <c r="E979">
        <f>IF(ROW()-2&gt;='参数'!$B$2,STDEV(OFFSET(B979,1-'参数'!$B$2,0,'参数'!$B$2,1))*SQRT('参数'!$B$3),"")</f>
        <v/>
      </c>
      <c r="F979">
        <f>'对齐'!C979/'对齐'!C978-1</f>
        <v/>
      </c>
      <c r="G979">
        <f>'对齐'!C979/'对齐'!C$2*100</f>
        <v/>
      </c>
      <c r="H979">
        <f>'对齐'!C979/MAX('对齐'!C$2:'对齐'!C979)-1</f>
        <v/>
      </c>
      <c r="I979">
        <f>IF(ROW()-2&gt;='参数'!$B$2,STDEV(OFFSET(F979,1-'参数'!$B$2,0,'参数'!$B$2,1))*SQRT('参数'!$B$3),"")</f>
        <v/>
      </c>
    </row>
    <row r="980">
      <c r="A980">
        <f>'对齐'!A980</f>
        <v/>
      </c>
      <c r="B980">
        <f>'对齐'!B980/'对齐'!B979-1</f>
        <v/>
      </c>
      <c r="C980">
        <f>'对齐'!B980/'对齐'!B$2*100</f>
        <v/>
      </c>
      <c r="D980">
        <f>'对齐'!B980/MAX('对齐'!B$2:'对齐'!B980)-1</f>
        <v/>
      </c>
      <c r="E980">
        <f>IF(ROW()-2&gt;='参数'!$B$2,STDEV(OFFSET(B980,1-'参数'!$B$2,0,'参数'!$B$2,1))*SQRT('参数'!$B$3),"")</f>
        <v/>
      </c>
      <c r="F980">
        <f>'对齐'!C980/'对齐'!C979-1</f>
        <v/>
      </c>
      <c r="G980">
        <f>'对齐'!C980/'对齐'!C$2*100</f>
        <v/>
      </c>
      <c r="H980">
        <f>'对齐'!C980/MAX('对齐'!C$2:'对齐'!C980)-1</f>
        <v/>
      </c>
      <c r="I980">
        <f>IF(ROW()-2&gt;='参数'!$B$2,STDEV(OFFSET(F980,1-'参数'!$B$2,0,'参数'!$B$2,1))*SQRT('参数'!$B$3),"")</f>
        <v/>
      </c>
    </row>
    <row r="981">
      <c r="A981">
        <f>'对齐'!A981</f>
        <v/>
      </c>
      <c r="B981">
        <f>'对齐'!B981/'对齐'!B980-1</f>
        <v/>
      </c>
      <c r="C981">
        <f>'对齐'!B981/'对齐'!B$2*100</f>
        <v/>
      </c>
      <c r="D981">
        <f>'对齐'!B981/MAX('对齐'!B$2:'对齐'!B981)-1</f>
        <v/>
      </c>
      <c r="E981">
        <f>IF(ROW()-2&gt;='参数'!$B$2,STDEV(OFFSET(B981,1-'参数'!$B$2,0,'参数'!$B$2,1))*SQRT('参数'!$B$3),"")</f>
        <v/>
      </c>
      <c r="F981">
        <f>'对齐'!C981/'对齐'!C980-1</f>
        <v/>
      </c>
      <c r="G981">
        <f>'对齐'!C981/'对齐'!C$2*100</f>
        <v/>
      </c>
      <c r="H981">
        <f>'对齐'!C981/MAX('对齐'!C$2:'对齐'!C981)-1</f>
        <v/>
      </c>
      <c r="I981">
        <f>IF(ROW()-2&gt;='参数'!$B$2,STDEV(OFFSET(F981,1-'参数'!$B$2,0,'参数'!$B$2,1))*SQRT('参数'!$B$3),"")</f>
        <v/>
      </c>
    </row>
    <row r="982">
      <c r="A982">
        <f>'对齐'!A982</f>
        <v/>
      </c>
      <c r="B982">
        <f>'对齐'!B982/'对齐'!B981-1</f>
        <v/>
      </c>
      <c r="C982">
        <f>'对齐'!B982/'对齐'!B$2*100</f>
        <v/>
      </c>
      <c r="D982">
        <f>'对齐'!B982/MAX('对齐'!B$2:'对齐'!B982)-1</f>
        <v/>
      </c>
      <c r="E982">
        <f>IF(ROW()-2&gt;='参数'!$B$2,STDEV(OFFSET(B982,1-'参数'!$B$2,0,'参数'!$B$2,1))*SQRT('参数'!$B$3),"")</f>
        <v/>
      </c>
      <c r="F982">
        <f>'对齐'!C982/'对齐'!C981-1</f>
        <v/>
      </c>
      <c r="G982">
        <f>'对齐'!C982/'对齐'!C$2*100</f>
        <v/>
      </c>
      <c r="H982">
        <f>'对齐'!C982/MAX('对齐'!C$2:'对齐'!C982)-1</f>
        <v/>
      </c>
      <c r="I982">
        <f>IF(ROW()-2&gt;='参数'!$B$2,STDEV(OFFSET(F982,1-'参数'!$B$2,0,'参数'!$B$2,1))*SQRT('参数'!$B$3),"")</f>
        <v/>
      </c>
    </row>
    <row r="983">
      <c r="A983">
        <f>'对齐'!A983</f>
        <v/>
      </c>
      <c r="B983">
        <f>'对齐'!B983/'对齐'!B982-1</f>
        <v/>
      </c>
      <c r="C983">
        <f>'对齐'!B983/'对齐'!B$2*100</f>
        <v/>
      </c>
      <c r="D983">
        <f>'对齐'!B983/MAX('对齐'!B$2:'对齐'!B983)-1</f>
        <v/>
      </c>
      <c r="E983">
        <f>IF(ROW()-2&gt;='参数'!$B$2,STDEV(OFFSET(B983,1-'参数'!$B$2,0,'参数'!$B$2,1))*SQRT('参数'!$B$3),"")</f>
        <v/>
      </c>
      <c r="F983">
        <f>'对齐'!C983/'对齐'!C982-1</f>
        <v/>
      </c>
      <c r="G983">
        <f>'对齐'!C983/'对齐'!C$2*100</f>
        <v/>
      </c>
      <c r="H983">
        <f>'对齐'!C983/MAX('对齐'!C$2:'对齐'!C983)-1</f>
        <v/>
      </c>
      <c r="I983">
        <f>IF(ROW()-2&gt;='参数'!$B$2,STDEV(OFFSET(F983,1-'参数'!$B$2,0,'参数'!$B$2,1))*SQRT('参数'!$B$3),"")</f>
        <v/>
      </c>
    </row>
    <row r="984">
      <c r="A984">
        <f>'对齐'!A984</f>
        <v/>
      </c>
      <c r="B984">
        <f>'对齐'!B984/'对齐'!B983-1</f>
        <v/>
      </c>
      <c r="C984">
        <f>'对齐'!B984/'对齐'!B$2*100</f>
        <v/>
      </c>
      <c r="D984">
        <f>'对齐'!B984/MAX('对齐'!B$2:'对齐'!B984)-1</f>
        <v/>
      </c>
      <c r="E984">
        <f>IF(ROW()-2&gt;='参数'!$B$2,STDEV(OFFSET(B984,1-'参数'!$B$2,0,'参数'!$B$2,1))*SQRT('参数'!$B$3),"")</f>
        <v/>
      </c>
      <c r="F984">
        <f>'对齐'!C984/'对齐'!C983-1</f>
        <v/>
      </c>
      <c r="G984">
        <f>'对齐'!C984/'对齐'!C$2*100</f>
        <v/>
      </c>
      <c r="H984">
        <f>'对齐'!C984/MAX('对齐'!C$2:'对齐'!C984)-1</f>
        <v/>
      </c>
      <c r="I984">
        <f>IF(ROW()-2&gt;='参数'!$B$2,STDEV(OFFSET(F984,1-'参数'!$B$2,0,'参数'!$B$2,1))*SQRT('参数'!$B$3),"")</f>
        <v/>
      </c>
    </row>
    <row r="985">
      <c r="A985">
        <f>'对齐'!A985</f>
        <v/>
      </c>
      <c r="B985">
        <f>'对齐'!B985/'对齐'!B984-1</f>
        <v/>
      </c>
      <c r="C985">
        <f>'对齐'!B985/'对齐'!B$2*100</f>
        <v/>
      </c>
      <c r="D985">
        <f>'对齐'!B985/MAX('对齐'!B$2:'对齐'!B985)-1</f>
        <v/>
      </c>
      <c r="E985">
        <f>IF(ROW()-2&gt;='参数'!$B$2,STDEV(OFFSET(B985,1-'参数'!$B$2,0,'参数'!$B$2,1))*SQRT('参数'!$B$3),"")</f>
        <v/>
      </c>
      <c r="F985">
        <f>'对齐'!C985/'对齐'!C984-1</f>
        <v/>
      </c>
      <c r="G985">
        <f>'对齐'!C985/'对齐'!C$2*100</f>
        <v/>
      </c>
      <c r="H985">
        <f>'对齐'!C985/MAX('对齐'!C$2:'对齐'!C985)-1</f>
        <v/>
      </c>
      <c r="I985">
        <f>IF(ROW()-2&gt;='参数'!$B$2,STDEV(OFFSET(F985,1-'参数'!$B$2,0,'参数'!$B$2,1))*SQRT('参数'!$B$3),"")</f>
        <v/>
      </c>
    </row>
    <row r="986">
      <c r="A986">
        <f>'对齐'!A986</f>
        <v/>
      </c>
      <c r="B986">
        <f>'对齐'!B986/'对齐'!B985-1</f>
        <v/>
      </c>
      <c r="C986">
        <f>'对齐'!B986/'对齐'!B$2*100</f>
        <v/>
      </c>
      <c r="D986">
        <f>'对齐'!B986/MAX('对齐'!B$2:'对齐'!B986)-1</f>
        <v/>
      </c>
      <c r="E986">
        <f>IF(ROW()-2&gt;='参数'!$B$2,STDEV(OFFSET(B986,1-'参数'!$B$2,0,'参数'!$B$2,1))*SQRT('参数'!$B$3),"")</f>
        <v/>
      </c>
      <c r="F986">
        <f>'对齐'!C986/'对齐'!C985-1</f>
        <v/>
      </c>
      <c r="G986">
        <f>'对齐'!C986/'对齐'!C$2*100</f>
        <v/>
      </c>
      <c r="H986">
        <f>'对齐'!C986/MAX('对齐'!C$2:'对齐'!C986)-1</f>
        <v/>
      </c>
      <c r="I986">
        <f>IF(ROW()-2&gt;='参数'!$B$2,STDEV(OFFSET(F986,1-'参数'!$B$2,0,'参数'!$B$2,1))*SQRT('参数'!$B$3),"")</f>
        <v/>
      </c>
    </row>
    <row r="987">
      <c r="A987">
        <f>'对齐'!A987</f>
        <v/>
      </c>
      <c r="B987">
        <f>'对齐'!B987/'对齐'!B986-1</f>
        <v/>
      </c>
      <c r="C987">
        <f>'对齐'!B987/'对齐'!B$2*100</f>
        <v/>
      </c>
      <c r="D987">
        <f>'对齐'!B987/MAX('对齐'!B$2:'对齐'!B987)-1</f>
        <v/>
      </c>
      <c r="E987">
        <f>IF(ROW()-2&gt;='参数'!$B$2,STDEV(OFFSET(B987,1-'参数'!$B$2,0,'参数'!$B$2,1))*SQRT('参数'!$B$3),"")</f>
        <v/>
      </c>
      <c r="F987">
        <f>'对齐'!C987/'对齐'!C986-1</f>
        <v/>
      </c>
      <c r="G987">
        <f>'对齐'!C987/'对齐'!C$2*100</f>
        <v/>
      </c>
      <c r="H987">
        <f>'对齐'!C987/MAX('对齐'!C$2:'对齐'!C987)-1</f>
        <v/>
      </c>
      <c r="I987">
        <f>IF(ROW()-2&gt;='参数'!$B$2,STDEV(OFFSET(F987,1-'参数'!$B$2,0,'参数'!$B$2,1))*SQRT('参数'!$B$3),"")</f>
        <v/>
      </c>
    </row>
    <row r="988">
      <c r="A988">
        <f>'对齐'!A988</f>
        <v/>
      </c>
      <c r="B988">
        <f>'对齐'!B988/'对齐'!B987-1</f>
        <v/>
      </c>
      <c r="C988">
        <f>'对齐'!B988/'对齐'!B$2*100</f>
        <v/>
      </c>
      <c r="D988">
        <f>'对齐'!B988/MAX('对齐'!B$2:'对齐'!B988)-1</f>
        <v/>
      </c>
      <c r="E988">
        <f>IF(ROW()-2&gt;='参数'!$B$2,STDEV(OFFSET(B988,1-'参数'!$B$2,0,'参数'!$B$2,1))*SQRT('参数'!$B$3),"")</f>
        <v/>
      </c>
      <c r="F988">
        <f>'对齐'!C988/'对齐'!C987-1</f>
        <v/>
      </c>
      <c r="G988">
        <f>'对齐'!C988/'对齐'!C$2*100</f>
        <v/>
      </c>
      <c r="H988">
        <f>'对齐'!C988/MAX('对齐'!C$2:'对齐'!C988)-1</f>
        <v/>
      </c>
      <c r="I988">
        <f>IF(ROW()-2&gt;='参数'!$B$2,STDEV(OFFSET(F988,1-'参数'!$B$2,0,'参数'!$B$2,1))*SQRT('参数'!$B$3),"")</f>
        <v/>
      </c>
    </row>
    <row r="989">
      <c r="A989">
        <f>'对齐'!A989</f>
        <v/>
      </c>
      <c r="B989">
        <f>'对齐'!B989/'对齐'!B988-1</f>
        <v/>
      </c>
      <c r="C989">
        <f>'对齐'!B989/'对齐'!B$2*100</f>
        <v/>
      </c>
      <c r="D989">
        <f>'对齐'!B989/MAX('对齐'!B$2:'对齐'!B989)-1</f>
        <v/>
      </c>
      <c r="E989">
        <f>IF(ROW()-2&gt;='参数'!$B$2,STDEV(OFFSET(B989,1-'参数'!$B$2,0,'参数'!$B$2,1))*SQRT('参数'!$B$3),"")</f>
        <v/>
      </c>
      <c r="F989">
        <f>'对齐'!C989/'对齐'!C988-1</f>
        <v/>
      </c>
      <c r="G989">
        <f>'对齐'!C989/'对齐'!C$2*100</f>
        <v/>
      </c>
      <c r="H989">
        <f>'对齐'!C989/MAX('对齐'!C$2:'对齐'!C989)-1</f>
        <v/>
      </c>
      <c r="I989">
        <f>IF(ROW()-2&gt;='参数'!$B$2,STDEV(OFFSET(F989,1-'参数'!$B$2,0,'参数'!$B$2,1))*SQRT('参数'!$B$3),"")</f>
        <v/>
      </c>
    </row>
    <row r="990">
      <c r="A990">
        <f>'对齐'!A990</f>
        <v/>
      </c>
      <c r="B990">
        <f>'对齐'!B990/'对齐'!B989-1</f>
        <v/>
      </c>
      <c r="C990">
        <f>'对齐'!B990/'对齐'!B$2*100</f>
        <v/>
      </c>
      <c r="D990">
        <f>'对齐'!B990/MAX('对齐'!B$2:'对齐'!B990)-1</f>
        <v/>
      </c>
      <c r="E990">
        <f>IF(ROW()-2&gt;='参数'!$B$2,STDEV(OFFSET(B990,1-'参数'!$B$2,0,'参数'!$B$2,1))*SQRT('参数'!$B$3),"")</f>
        <v/>
      </c>
      <c r="F990">
        <f>'对齐'!C990/'对齐'!C989-1</f>
        <v/>
      </c>
      <c r="G990">
        <f>'对齐'!C990/'对齐'!C$2*100</f>
        <v/>
      </c>
      <c r="H990">
        <f>'对齐'!C990/MAX('对齐'!C$2:'对齐'!C990)-1</f>
        <v/>
      </c>
      <c r="I990">
        <f>IF(ROW()-2&gt;='参数'!$B$2,STDEV(OFFSET(F990,1-'参数'!$B$2,0,'参数'!$B$2,1))*SQRT('参数'!$B$3),"")</f>
        <v/>
      </c>
    </row>
    <row r="991">
      <c r="A991">
        <f>'对齐'!A991</f>
        <v/>
      </c>
      <c r="B991">
        <f>'对齐'!B991/'对齐'!B990-1</f>
        <v/>
      </c>
      <c r="C991">
        <f>'对齐'!B991/'对齐'!B$2*100</f>
        <v/>
      </c>
      <c r="D991">
        <f>'对齐'!B991/MAX('对齐'!B$2:'对齐'!B991)-1</f>
        <v/>
      </c>
      <c r="E991">
        <f>IF(ROW()-2&gt;='参数'!$B$2,STDEV(OFFSET(B991,1-'参数'!$B$2,0,'参数'!$B$2,1))*SQRT('参数'!$B$3),"")</f>
        <v/>
      </c>
      <c r="F991">
        <f>'对齐'!C991/'对齐'!C990-1</f>
        <v/>
      </c>
      <c r="G991">
        <f>'对齐'!C991/'对齐'!C$2*100</f>
        <v/>
      </c>
      <c r="H991">
        <f>'对齐'!C991/MAX('对齐'!C$2:'对齐'!C991)-1</f>
        <v/>
      </c>
      <c r="I991">
        <f>IF(ROW()-2&gt;='参数'!$B$2,STDEV(OFFSET(F991,1-'参数'!$B$2,0,'参数'!$B$2,1))*SQRT('参数'!$B$3),"")</f>
        <v/>
      </c>
    </row>
    <row r="992">
      <c r="A992">
        <f>'对齐'!A992</f>
        <v/>
      </c>
      <c r="B992">
        <f>'对齐'!B992/'对齐'!B991-1</f>
        <v/>
      </c>
      <c r="C992">
        <f>'对齐'!B992/'对齐'!B$2*100</f>
        <v/>
      </c>
      <c r="D992">
        <f>'对齐'!B992/MAX('对齐'!B$2:'对齐'!B992)-1</f>
        <v/>
      </c>
      <c r="E992">
        <f>IF(ROW()-2&gt;='参数'!$B$2,STDEV(OFFSET(B992,1-'参数'!$B$2,0,'参数'!$B$2,1))*SQRT('参数'!$B$3),"")</f>
        <v/>
      </c>
      <c r="F992">
        <f>'对齐'!C992/'对齐'!C991-1</f>
        <v/>
      </c>
      <c r="G992">
        <f>'对齐'!C992/'对齐'!C$2*100</f>
        <v/>
      </c>
      <c r="H992">
        <f>'对齐'!C992/MAX('对齐'!C$2:'对齐'!C992)-1</f>
        <v/>
      </c>
      <c r="I992">
        <f>IF(ROW()-2&gt;='参数'!$B$2,STDEV(OFFSET(F992,1-'参数'!$B$2,0,'参数'!$B$2,1))*SQRT('参数'!$B$3),"")</f>
        <v/>
      </c>
    </row>
    <row r="993">
      <c r="A993">
        <f>'对齐'!A993</f>
        <v/>
      </c>
      <c r="B993">
        <f>'对齐'!B993/'对齐'!B992-1</f>
        <v/>
      </c>
      <c r="C993">
        <f>'对齐'!B993/'对齐'!B$2*100</f>
        <v/>
      </c>
      <c r="D993">
        <f>'对齐'!B993/MAX('对齐'!B$2:'对齐'!B993)-1</f>
        <v/>
      </c>
      <c r="E993">
        <f>IF(ROW()-2&gt;='参数'!$B$2,STDEV(OFFSET(B993,1-'参数'!$B$2,0,'参数'!$B$2,1))*SQRT('参数'!$B$3),"")</f>
        <v/>
      </c>
      <c r="F993">
        <f>'对齐'!C993/'对齐'!C992-1</f>
        <v/>
      </c>
      <c r="G993">
        <f>'对齐'!C993/'对齐'!C$2*100</f>
        <v/>
      </c>
      <c r="H993">
        <f>'对齐'!C993/MAX('对齐'!C$2:'对齐'!C993)-1</f>
        <v/>
      </c>
      <c r="I993">
        <f>IF(ROW()-2&gt;='参数'!$B$2,STDEV(OFFSET(F993,1-'参数'!$B$2,0,'参数'!$B$2,1))*SQRT('参数'!$B$3),"")</f>
        <v/>
      </c>
    </row>
    <row r="994">
      <c r="A994">
        <f>'对齐'!A994</f>
        <v/>
      </c>
      <c r="B994">
        <f>'对齐'!B994/'对齐'!B993-1</f>
        <v/>
      </c>
      <c r="C994">
        <f>'对齐'!B994/'对齐'!B$2*100</f>
        <v/>
      </c>
      <c r="D994">
        <f>'对齐'!B994/MAX('对齐'!B$2:'对齐'!B994)-1</f>
        <v/>
      </c>
      <c r="E994">
        <f>IF(ROW()-2&gt;='参数'!$B$2,STDEV(OFFSET(B994,1-'参数'!$B$2,0,'参数'!$B$2,1))*SQRT('参数'!$B$3),"")</f>
        <v/>
      </c>
      <c r="F994">
        <f>'对齐'!C994/'对齐'!C993-1</f>
        <v/>
      </c>
      <c r="G994">
        <f>'对齐'!C994/'对齐'!C$2*100</f>
        <v/>
      </c>
      <c r="H994">
        <f>'对齐'!C994/MAX('对齐'!C$2:'对齐'!C994)-1</f>
        <v/>
      </c>
      <c r="I994">
        <f>IF(ROW()-2&gt;='参数'!$B$2,STDEV(OFFSET(F994,1-'参数'!$B$2,0,'参数'!$B$2,1))*SQRT('参数'!$B$3),"")</f>
        <v/>
      </c>
    </row>
    <row r="995">
      <c r="A995">
        <f>'对齐'!A995</f>
        <v/>
      </c>
      <c r="B995">
        <f>'对齐'!B995/'对齐'!B994-1</f>
        <v/>
      </c>
      <c r="C995">
        <f>'对齐'!B995/'对齐'!B$2*100</f>
        <v/>
      </c>
      <c r="D995">
        <f>'对齐'!B995/MAX('对齐'!B$2:'对齐'!B995)-1</f>
        <v/>
      </c>
      <c r="E995">
        <f>IF(ROW()-2&gt;='参数'!$B$2,STDEV(OFFSET(B995,1-'参数'!$B$2,0,'参数'!$B$2,1))*SQRT('参数'!$B$3),"")</f>
        <v/>
      </c>
      <c r="F995">
        <f>'对齐'!C995/'对齐'!C994-1</f>
        <v/>
      </c>
      <c r="G995">
        <f>'对齐'!C995/'对齐'!C$2*100</f>
        <v/>
      </c>
      <c r="H995">
        <f>'对齐'!C995/MAX('对齐'!C$2:'对齐'!C995)-1</f>
        <v/>
      </c>
      <c r="I995">
        <f>IF(ROW()-2&gt;='参数'!$B$2,STDEV(OFFSET(F995,1-'参数'!$B$2,0,'参数'!$B$2,1))*SQRT('参数'!$B$3),"")</f>
        <v/>
      </c>
    </row>
    <row r="996">
      <c r="A996">
        <f>'对齐'!A996</f>
        <v/>
      </c>
      <c r="B996">
        <f>'对齐'!B996/'对齐'!B995-1</f>
        <v/>
      </c>
      <c r="C996">
        <f>'对齐'!B996/'对齐'!B$2*100</f>
        <v/>
      </c>
      <c r="D996">
        <f>'对齐'!B996/MAX('对齐'!B$2:'对齐'!B996)-1</f>
        <v/>
      </c>
      <c r="E996">
        <f>IF(ROW()-2&gt;='参数'!$B$2,STDEV(OFFSET(B996,1-'参数'!$B$2,0,'参数'!$B$2,1))*SQRT('参数'!$B$3),"")</f>
        <v/>
      </c>
      <c r="F996">
        <f>'对齐'!C996/'对齐'!C995-1</f>
        <v/>
      </c>
      <c r="G996">
        <f>'对齐'!C996/'对齐'!C$2*100</f>
        <v/>
      </c>
      <c r="H996">
        <f>'对齐'!C996/MAX('对齐'!C$2:'对齐'!C996)-1</f>
        <v/>
      </c>
      <c r="I996">
        <f>IF(ROW()-2&gt;='参数'!$B$2,STDEV(OFFSET(F996,1-'参数'!$B$2,0,'参数'!$B$2,1))*SQRT('参数'!$B$3),"")</f>
        <v/>
      </c>
    </row>
    <row r="997">
      <c r="A997">
        <f>'对齐'!A997</f>
        <v/>
      </c>
      <c r="B997">
        <f>'对齐'!B997/'对齐'!B996-1</f>
        <v/>
      </c>
      <c r="C997">
        <f>'对齐'!B997/'对齐'!B$2*100</f>
        <v/>
      </c>
      <c r="D997">
        <f>'对齐'!B997/MAX('对齐'!B$2:'对齐'!B997)-1</f>
        <v/>
      </c>
      <c r="E997">
        <f>IF(ROW()-2&gt;='参数'!$B$2,STDEV(OFFSET(B997,1-'参数'!$B$2,0,'参数'!$B$2,1))*SQRT('参数'!$B$3),"")</f>
        <v/>
      </c>
      <c r="F997">
        <f>'对齐'!C997/'对齐'!C996-1</f>
        <v/>
      </c>
      <c r="G997">
        <f>'对齐'!C997/'对齐'!C$2*100</f>
        <v/>
      </c>
      <c r="H997">
        <f>'对齐'!C997/MAX('对齐'!C$2:'对齐'!C997)-1</f>
        <v/>
      </c>
      <c r="I997">
        <f>IF(ROW()-2&gt;='参数'!$B$2,STDEV(OFFSET(F997,1-'参数'!$B$2,0,'参数'!$B$2,1))*SQRT('参数'!$B$3),"")</f>
        <v/>
      </c>
    </row>
    <row r="998">
      <c r="A998">
        <f>'对齐'!A998</f>
        <v/>
      </c>
      <c r="B998">
        <f>'对齐'!B998/'对齐'!B997-1</f>
        <v/>
      </c>
      <c r="C998">
        <f>'对齐'!B998/'对齐'!B$2*100</f>
        <v/>
      </c>
      <c r="D998">
        <f>'对齐'!B998/MAX('对齐'!B$2:'对齐'!B998)-1</f>
        <v/>
      </c>
      <c r="E998">
        <f>IF(ROW()-2&gt;='参数'!$B$2,STDEV(OFFSET(B998,1-'参数'!$B$2,0,'参数'!$B$2,1))*SQRT('参数'!$B$3),"")</f>
        <v/>
      </c>
      <c r="F998">
        <f>'对齐'!C998/'对齐'!C997-1</f>
        <v/>
      </c>
      <c r="G998">
        <f>'对齐'!C998/'对齐'!C$2*100</f>
        <v/>
      </c>
      <c r="H998">
        <f>'对齐'!C998/MAX('对齐'!C$2:'对齐'!C998)-1</f>
        <v/>
      </c>
      <c r="I998">
        <f>IF(ROW()-2&gt;='参数'!$B$2,STDEV(OFFSET(F998,1-'参数'!$B$2,0,'参数'!$B$2,1))*SQRT('参数'!$B$3),"")</f>
        <v/>
      </c>
    </row>
    <row r="999">
      <c r="A999">
        <f>'对齐'!A999</f>
        <v/>
      </c>
      <c r="B999">
        <f>'对齐'!B999/'对齐'!B998-1</f>
        <v/>
      </c>
      <c r="C999">
        <f>'对齐'!B999/'对齐'!B$2*100</f>
        <v/>
      </c>
      <c r="D999">
        <f>'对齐'!B999/MAX('对齐'!B$2:'对齐'!B999)-1</f>
        <v/>
      </c>
      <c r="E999">
        <f>IF(ROW()-2&gt;='参数'!$B$2,STDEV(OFFSET(B999,1-'参数'!$B$2,0,'参数'!$B$2,1))*SQRT('参数'!$B$3),"")</f>
        <v/>
      </c>
      <c r="F999">
        <f>'对齐'!C999/'对齐'!C998-1</f>
        <v/>
      </c>
      <c r="G999">
        <f>'对齐'!C999/'对齐'!C$2*100</f>
        <v/>
      </c>
      <c r="H999">
        <f>'对齐'!C999/MAX('对齐'!C$2:'对齐'!C999)-1</f>
        <v/>
      </c>
      <c r="I999">
        <f>IF(ROW()-2&gt;='参数'!$B$2,STDEV(OFFSET(F999,1-'参数'!$B$2,0,'参数'!$B$2,1))*SQRT('参数'!$B$3),"")</f>
        <v/>
      </c>
    </row>
    <row r="1000">
      <c r="A1000">
        <f>'对齐'!A1000</f>
        <v/>
      </c>
      <c r="B1000">
        <f>'对齐'!B1000/'对齐'!B999-1</f>
        <v/>
      </c>
      <c r="C1000">
        <f>'对齐'!B1000/'对齐'!B$2*100</f>
        <v/>
      </c>
      <c r="D1000">
        <f>'对齐'!B1000/MAX('对齐'!B$2:'对齐'!B1000)-1</f>
        <v/>
      </c>
      <c r="E1000">
        <f>IF(ROW()-2&gt;='参数'!$B$2,STDEV(OFFSET(B1000,1-'参数'!$B$2,0,'参数'!$B$2,1))*SQRT('参数'!$B$3),"")</f>
        <v/>
      </c>
      <c r="F1000">
        <f>'对齐'!C1000/'对齐'!C999-1</f>
        <v/>
      </c>
      <c r="G1000">
        <f>'对齐'!C1000/'对齐'!C$2*100</f>
        <v/>
      </c>
      <c r="H1000">
        <f>'对齐'!C1000/MAX('对齐'!C$2:'对齐'!C1000)-1</f>
        <v/>
      </c>
      <c r="I1000">
        <f>IF(ROW()-2&gt;='参数'!$B$2,STDEV(OFFSET(F1000,1-'参数'!$B$2,0,'参数'!$B$2,1))*SQRT('参数'!$B$3),"")</f>
        <v/>
      </c>
    </row>
    <row r="1001">
      <c r="A1001">
        <f>'对齐'!A1001</f>
        <v/>
      </c>
      <c r="B1001">
        <f>'对齐'!B1001/'对齐'!B1000-1</f>
        <v/>
      </c>
      <c r="C1001">
        <f>'对齐'!B1001/'对齐'!B$2*100</f>
        <v/>
      </c>
      <c r="D1001">
        <f>'对齐'!B1001/MAX('对齐'!B$2:'对齐'!B1001)-1</f>
        <v/>
      </c>
      <c r="E1001">
        <f>IF(ROW()-2&gt;='参数'!$B$2,STDEV(OFFSET(B1001,1-'参数'!$B$2,0,'参数'!$B$2,1))*SQRT('参数'!$B$3),"")</f>
        <v/>
      </c>
      <c r="F1001">
        <f>'对齐'!C1001/'对齐'!C1000-1</f>
        <v/>
      </c>
      <c r="G1001">
        <f>'对齐'!C1001/'对齐'!C$2*100</f>
        <v/>
      </c>
      <c r="H1001">
        <f>'对齐'!C1001/MAX('对齐'!C$2:'对齐'!C1001)-1</f>
        <v/>
      </c>
      <c r="I1001">
        <f>IF(ROW()-2&gt;='参数'!$B$2,STDEV(OFFSET(F1001,1-'参数'!$B$2,0,'参数'!$B$2,1))*SQRT('参数'!$B$3),"")</f>
        <v/>
      </c>
    </row>
    <row r="1002">
      <c r="A1002">
        <f>'对齐'!A1002</f>
        <v/>
      </c>
      <c r="B1002">
        <f>'对齐'!B1002/'对齐'!B1001-1</f>
        <v/>
      </c>
      <c r="C1002">
        <f>'对齐'!B1002/'对齐'!B$2*100</f>
        <v/>
      </c>
      <c r="D1002">
        <f>'对齐'!B1002/MAX('对齐'!B$2:'对齐'!B1002)-1</f>
        <v/>
      </c>
      <c r="E1002">
        <f>IF(ROW()-2&gt;='参数'!$B$2,STDEV(OFFSET(B1002,1-'参数'!$B$2,0,'参数'!$B$2,1))*SQRT('参数'!$B$3),"")</f>
        <v/>
      </c>
      <c r="F1002">
        <f>'对齐'!C1002/'对齐'!C1001-1</f>
        <v/>
      </c>
      <c r="G1002">
        <f>'对齐'!C1002/'对齐'!C$2*100</f>
        <v/>
      </c>
      <c r="H1002">
        <f>'对齐'!C1002/MAX('对齐'!C$2:'对齐'!C1002)-1</f>
        <v/>
      </c>
      <c r="I1002">
        <f>IF(ROW()-2&gt;='参数'!$B$2,STDEV(OFFSET(F1002,1-'参数'!$B$2,0,'参数'!$B$2,1))*SQRT('参数'!$B$3),"")</f>
        <v/>
      </c>
    </row>
    <row r="1003">
      <c r="A1003">
        <f>'对齐'!A1003</f>
        <v/>
      </c>
      <c r="B1003">
        <f>'对齐'!B1003/'对齐'!B1002-1</f>
        <v/>
      </c>
      <c r="C1003">
        <f>'对齐'!B1003/'对齐'!B$2*100</f>
        <v/>
      </c>
      <c r="D1003">
        <f>'对齐'!B1003/MAX('对齐'!B$2:'对齐'!B1003)-1</f>
        <v/>
      </c>
      <c r="E1003">
        <f>IF(ROW()-2&gt;='参数'!$B$2,STDEV(OFFSET(B1003,1-'参数'!$B$2,0,'参数'!$B$2,1))*SQRT('参数'!$B$3),"")</f>
        <v/>
      </c>
      <c r="F1003">
        <f>'对齐'!C1003/'对齐'!C1002-1</f>
        <v/>
      </c>
      <c r="G1003">
        <f>'对齐'!C1003/'对齐'!C$2*100</f>
        <v/>
      </c>
      <c r="H1003">
        <f>'对齐'!C1003/MAX('对齐'!C$2:'对齐'!C1003)-1</f>
        <v/>
      </c>
      <c r="I1003">
        <f>IF(ROW()-2&gt;='参数'!$B$2,STDEV(OFFSET(F1003,1-'参数'!$B$2,0,'参数'!$B$2,1))*SQRT('参数'!$B$3),"")</f>
        <v/>
      </c>
    </row>
    <row r="1004">
      <c r="A1004">
        <f>'对齐'!A1004</f>
        <v/>
      </c>
      <c r="B1004">
        <f>'对齐'!B1004/'对齐'!B1003-1</f>
        <v/>
      </c>
      <c r="C1004">
        <f>'对齐'!B1004/'对齐'!B$2*100</f>
        <v/>
      </c>
      <c r="D1004">
        <f>'对齐'!B1004/MAX('对齐'!B$2:'对齐'!B1004)-1</f>
        <v/>
      </c>
      <c r="E1004">
        <f>IF(ROW()-2&gt;='参数'!$B$2,STDEV(OFFSET(B1004,1-'参数'!$B$2,0,'参数'!$B$2,1))*SQRT('参数'!$B$3),"")</f>
        <v/>
      </c>
      <c r="F1004">
        <f>'对齐'!C1004/'对齐'!C1003-1</f>
        <v/>
      </c>
      <c r="G1004">
        <f>'对齐'!C1004/'对齐'!C$2*100</f>
        <v/>
      </c>
      <c r="H1004">
        <f>'对齐'!C1004/MAX('对齐'!C$2:'对齐'!C1004)-1</f>
        <v/>
      </c>
      <c r="I1004">
        <f>IF(ROW()-2&gt;='参数'!$B$2,STDEV(OFFSET(F1004,1-'参数'!$B$2,0,'参数'!$B$2,1))*SQRT('参数'!$B$3),"")</f>
        <v/>
      </c>
    </row>
    <row r="1005">
      <c r="A1005">
        <f>'对齐'!A1005</f>
        <v/>
      </c>
      <c r="B1005">
        <f>'对齐'!B1005/'对齐'!B1004-1</f>
        <v/>
      </c>
      <c r="C1005">
        <f>'对齐'!B1005/'对齐'!B$2*100</f>
        <v/>
      </c>
      <c r="D1005">
        <f>'对齐'!B1005/MAX('对齐'!B$2:'对齐'!B1005)-1</f>
        <v/>
      </c>
      <c r="E1005">
        <f>IF(ROW()-2&gt;='参数'!$B$2,STDEV(OFFSET(B1005,1-'参数'!$B$2,0,'参数'!$B$2,1))*SQRT('参数'!$B$3),"")</f>
        <v/>
      </c>
      <c r="F1005">
        <f>'对齐'!C1005/'对齐'!C1004-1</f>
        <v/>
      </c>
      <c r="G1005">
        <f>'对齐'!C1005/'对齐'!C$2*100</f>
        <v/>
      </c>
      <c r="H1005">
        <f>'对齐'!C1005/MAX('对齐'!C$2:'对齐'!C1005)-1</f>
        <v/>
      </c>
      <c r="I1005">
        <f>IF(ROW()-2&gt;='参数'!$B$2,STDEV(OFFSET(F1005,1-'参数'!$B$2,0,'参数'!$B$2,1))*SQRT('参数'!$B$3),"")</f>
        <v/>
      </c>
    </row>
    <row r="1006">
      <c r="A1006">
        <f>'对齐'!A1006</f>
        <v/>
      </c>
      <c r="B1006">
        <f>'对齐'!B1006/'对齐'!B1005-1</f>
        <v/>
      </c>
      <c r="C1006">
        <f>'对齐'!B1006/'对齐'!B$2*100</f>
        <v/>
      </c>
      <c r="D1006">
        <f>'对齐'!B1006/MAX('对齐'!B$2:'对齐'!B1006)-1</f>
        <v/>
      </c>
      <c r="E1006">
        <f>IF(ROW()-2&gt;='参数'!$B$2,STDEV(OFFSET(B1006,1-'参数'!$B$2,0,'参数'!$B$2,1))*SQRT('参数'!$B$3),"")</f>
        <v/>
      </c>
      <c r="F1006">
        <f>'对齐'!C1006/'对齐'!C1005-1</f>
        <v/>
      </c>
      <c r="G1006">
        <f>'对齐'!C1006/'对齐'!C$2*100</f>
        <v/>
      </c>
      <c r="H1006">
        <f>'对齐'!C1006/MAX('对齐'!C$2:'对齐'!C1006)-1</f>
        <v/>
      </c>
      <c r="I1006">
        <f>IF(ROW()-2&gt;='参数'!$B$2,STDEV(OFFSET(F1006,1-'参数'!$B$2,0,'参数'!$B$2,1))*SQRT('参数'!$B$3),"")</f>
        <v/>
      </c>
    </row>
    <row r="1007">
      <c r="A1007">
        <f>'对齐'!A1007</f>
        <v/>
      </c>
      <c r="B1007">
        <f>'对齐'!B1007/'对齐'!B1006-1</f>
        <v/>
      </c>
      <c r="C1007">
        <f>'对齐'!B1007/'对齐'!B$2*100</f>
        <v/>
      </c>
      <c r="D1007">
        <f>'对齐'!B1007/MAX('对齐'!B$2:'对齐'!B1007)-1</f>
        <v/>
      </c>
      <c r="E1007">
        <f>IF(ROW()-2&gt;='参数'!$B$2,STDEV(OFFSET(B1007,1-'参数'!$B$2,0,'参数'!$B$2,1))*SQRT('参数'!$B$3),"")</f>
        <v/>
      </c>
      <c r="F1007">
        <f>'对齐'!C1007/'对齐'!C1006-1</f>
        <v/>
      </c>
      <c r="G1007">
        <f>'对齐'!C1007/'对齐'!C$2*100</f>
        <v/>
      </c>
      <c r="H1007">
        <f>'对齐'!C1007/MAX('对齐'!C$2:'对齐'!C1007)-1</f>
        <v/>
      </c>
      <c r="I1007">
        <f>IF(ROW()-2&gt;='参数'!$B$2,STDEV(OFFSET(F1007,1-'参数'!$B$2,0,'参数'!$B$2,1))*SQRT('参数'!$B$3),"")</f>
        <v/>
      </c>
    </row>
    <row r="1008">
      <c r="A1008">
        <f>'对齐'!A1008</f>
        <v/>
      </c>
      <c r="B1008">
        <f>'对齐'!B1008/'对齐'!B1007-1</f>
        <v/>
      </c>
      <c r="C1008">
        <f>'对齐'!B1008/'对齐'!B$2*100</f>
        <v/>
      </c>
      <c r="D1008">
        <f>'对齐'!B1008/MAX('对齐'!B$2:'对齐'!B1008)-1</f>
        <v/>
      </c>
      <c r="E1008">
        <f>IF(ROW()-2&gt;='参数'!$B$2,STDEV(OFFSET(B1008,1-'参数'!$B$2,0,'参数'!$B$2,1))*SQRT('参数'!$B$3),"")</f>
        <v/>
      </c>
      <c r="F1008">
        <f>'对齐'!C1008/'对齐'!C1007-1</f>
        <v/>
      </c>
      <c r="G1008">
        <f>'对齐'!C1008/'对齐'!C$2*100</f>
        <v/>
      </c>
      <c r="H1008">
        <f>'对齐'!C1008/MAX('对齐'!C$2:'对齐'!C1008)-1</f>
        <v/>
      </c>
      <c r="I1008">
        <f>IF(ROW()-2&gt;='参数'!$B$2,STDEV(OFFSET(F1008,1-'参数'!$B$2,0,'参数'!$B$2,1))*SQRT('参数'!$B$3),"")</f>
        <v/>
      </c>
    </row>
    <row r="1009">
      <c r="A1009">
        <f>'对齐'!A1009</f>
        <v/>
      </c>
      <c r="B1009">
        <f>'对齐'!B1009/'对齐'!B1008-1</f>
        <v/>
      </c>
      <c r="C1009">
        <f>'对齐'!B1009/'对齐'!B$2*100</f>
        <v/>
      </c>
      <c r="D1009">
        <f>'对齐'!B1009/MAX('对齐'!B$2:'对齐'!B1009)-1</f>
        <v/>
      </c>
      <c r="E1009">
        <f>IF(ROW()-2&gt;='参数'!$B$2,STDEV(OFFSET(B1009,1-'参数'!$B$2,0,'参数'!$B$2,1))*SQRT('参数'!$B$3),"")</f>
        <v/>
      </c>
      <c r="F1009">
        <f>'对齐'!C1009/'对齐'!C1008-1</f>
        <v/>
      </c>
      <c r="G1009">
        <f>'对齐'!C1009/'对齐'!C$2*100</f>
        <v/>
      </c>
      <c r="H1009">
        <f>'对齐'!C1009/MAX('对齐'!C$2:'对齐'!C1009)-1</f>
        <v/>
      </c>
      <c r="I1009">
        <f>IF(ROW()-2&gt;='参数'!$B$2,STDEV(OFFSET(F1009,1-'参数'!$B$2,0,'参数'!$B$2,1))*SQRT('参数'!$B$3),"")</f>
        <v/>
      </c>
    </row>
    <row r="1010">
      <c r="A1010">
        <f>'对齐'!A1010</f>
        <v/>
      </c>
      <c r="B1010">
        <f>'对齐'!B1010/'对齐'!B1009-1</f>
        <v/>
      </c>
      <c r="C1010">
        <f>'对齐'!B1010/'对齐'!B$2*100</f>
        <v/>
      </c>
      <c r="D1010">
        <f>'对齐'!B1010/MAX('对齐'!B$2:'对齐'!B1010)-1</f>
        <v/>
      </c>
      <c r="E1010">
        <f>IF(ROW()-2&gt;='参数'!$B$2,STDEV(OFFSET(B1010,1-'参数'!$B$2,0,'参数'!$B$2,1))*SQRT('参数'!$B$3),"")</f>
        <v/>
      </c>
      <c r="F1010">
        <f>'对齐'!C1010/'对齐'!C1009-1</f>
        <v/>
      </c>
      <c r="G1010">
        <f>'对齐'!C1010/'对齐'!C$2*100</f>
        <v/>
      </c>
      <c r="H1010">
        <f>'对齐'!C1010/MAX('对齐'!C$2:'对齐'!C1010)-1</f>
        <v/>
      </c>
      <c r="I1010">
        <f>IF(ROW()-2&gt;='参数'!$B$2,STDEV(OFFSET(F1010,1-'参数'!$B$2,0,'参数'!$B$2,1))*SQRT('参数'!$B$3),"")</f>
        <v/>
      </c>
    </row>
    <row r="1011">
      <c r="A1011">
        <f>'对齐'!A1011</f>
        <v/>
      </c>
      <c r="B1011">
        <f>'对齐'!B1011/'对齐'!B1010-1</f>
        <v/>
      </c>
      <c r="C1011">
        <f>'对齐'!B1011/'对齐'!B$2*100</f>
        <v/>
      </c>
      <c r="D1011">
        <f>'对齐'!B1011/MAX('对齐'!B$2:'对齐'!B1011)-1</f>
        <v/>
      </c>
      <c r="E1011">
        <f>IF(ROW()-2&gt;='参数'!$B$2,STDEV(OFFSET(B1011,1-'参数'!$B$2,0,'参数'!$B$2,1))*SQRT('参数'!$B$3),"")</f>
        <v/>
      </c>
      <c r="F1011">
        <f>'对齐'!C1011/'对齐'!C1010-1</f>
        <v/>
      </c>
      <c r="G1011">
        <f>'对齐'!C1011/'对齐'!C$2*100</f>
        <v/>
      </c>
      <c r="H1011">
        <f>'对齐'!C1011/MAX('对齐'!C$2:'对齐'!C1011)-1</f>
        <v/>
      </c>
      <c r="I1011">
        <f>IF(ROW()-2&gt;='参数'!$B$2,STDEV(OFFSET(F1011,1-'参数'!$B$2,0,'参数'!$B$2,1))*SQRT('参数'!$B$3),"")</f>
        <v/>
      </c>
    </row>
    <row r="1012">
      <c r="A1012">
        <f>'对齐'!A1012</f>
        <v/>
      </c>
      <c r="B1012">
        <f>'对齐'!B1012/'对齐'!B1011-1</f>
        <v/>
      </c>
      <c r="C1012">
        <f>'对齐'!B1012/'对齐'!B$2*100</f>
        <v/>
      </c>
      <c r="D1012">
        <f>'对齐'!B1012/MAX('对齐'!B$2:'对齐'!B1012)-1</f>
        <v/>
      </c>
      <c r="E1012">
        <f>IF(ROW()-2&gt;='参数'!$B$2,STDEV(OFFSET(B1012,1-'参数'!$B$2,0,'参数'!$B$2,1))*SQRT('参数'!$B$3),"")</f>
        <v/>
      </c>
      <c r="F1012">
        <f>'对齐'!C1012/'对齐'!C1011-1</f>
        <v/>
      </c>
      <c r="G1012">
        <f>'对齐'!C1012/'对齐'!C$2*100</f>
        <v/>
      </c>
      <c r="H1012">
        <f>'对齐'!C1012/MAX('对齐'!C$2:'对齐'!C1012)-1</f>
        <v/>
      </c>
      <c r="I1012">
        <f>IF(ROW()-2&gt;='参数'!$B$2,STDEV(OFFSET(F1012,1-'参数'!$B$2,0,'参数'!$B$2,1))*SQRT('参数'!$B$3),"")</f>
        <v/>
      </c>
    </row>
    <row r="1013">
      <c r="A1013">
        <f>'对齐'!A1013</f>
        <v/>
      </c>
      <c r="B1013">
        <f>'对齐'!B1013/'对齐'!B1012-1</f>
        <v/>
      </c>
      <c r="C1013">
        <f>'对齐'!B1013/'对齐'!B$2*100</f>
        <v/>
      </c>
      <c r="D1013">
        <f>'对齐'!B1013/MAX('对齐'!B$2:'对齐'!B1013)-1</f>
        <v/>
      </c>
      <c r="E1013">
        <f>IF(ROW()-2&gt;='参数'!$B$2,STDEV(OFFSET(B1013,1-'参数'!$B$2,0,'参数'!$B$2,1))*SQRT('参数'!$B$3),"")</f>
        <v/>
      </c>
      <c r="F1013">
        <f>'对齐'!C1013/'对齐'!C1012-1</f>
        <v/>
      </c>
      <c r="G1013">
        <f>'对齐'!C1013/'对齐'!C$2*100</f>
        <v/>
      </c>
      <c r="H1013">
        <f>'对齐'!C1013/MAX('对齐'!C$2:'对齐'!C1013)-1</f>
        <v/>
      </c>
      <c r="I1013">
        <f>IF(ROW()-2&gt;='参数'!$B$2,STDEV(OFFSET(F1013,1-'参数'!$B$2,0,'参数'!$B$2,1))*SQRT('参数'!$B$3),"")</f>
        <v/>
      </c>
    </row>
    <row r="1014">
      <c r="A1014">
        <f>'对齐'!A1014</f>
        <v/>
      </c>
      <c r="B1014">
        <f>'对齐'!B1014/'对齐'!B1013-1</f>
        <v/>
      </c>
      <c r="C1014">
        <f>'对齐'!B1014/'对齐'!B$2*100</f>
        <v/>
      </c>
      <c r="D1014">
        <f>'对齐'!B1014/MAX('对齐'!B$2:'对齐'!B1014)-1</f>
        <v/>
      </c>
      <c r="E1014">
        <f>IF(ROW()-2&gt;='参数'!$B$2,STDEV(OFFSET(B1014,1-'参数'!$B$2,0,'参数'!$B$2,1))*SQRT('参数'!$B$3),"")</f>
        <v/>
      </c>
      <c r="F1014">
        <f>'对齐'!C1014/'对齐'!C1013-1</f>
        <v/>
      </c>
      <c r="G1014">
        <f>'对齐'!C1014/'对齐'!C$2*100</f>
        <v/>
      </c>
      <c r="H1014">
        <f>'对齐'!C1014/MAX('对齐'!C$2:'对齐'!C1014)-1</f>
        <v/>
      </c>
      <c r="I1014">
        <f>IF(ROW()-2&gt;='参数'!$B$2,STDEV(OFFSET(F1014,1-'参数'!$B$2,0,'参数'!$B$2,1))*SQRT('参数'!$B$3),"")</f>
        <v/>
      </c>
    </row>
    <row r="1015">
      <c r="A1015">
        <f>'对齐'!A1015</f>
        <v/>
      </c>
      <c r="B1015">
        <f>'对齐'!B1015/'对齐'!B1014-1</f>
        <v/>
      </c>
      <c r="C1015">
        <f>'对齐'!B1015/'对齐'!B$2*100</f>
        <v/>
      </c>
      <c r="D1015">
        <f>'对齐'!B1015/MAX('对齐'!B$2:'对齐'!B1015)-1</f>
        <v/>
      </c>
      <c r="E1015">
        <f>IF(ROW()-2&gt;='参数'!$B$2,STDEV(OFFSET(B1015,1-'参数'!$B$2,0,'参数'!$B$2,1))*SQRT('参数'!$B$3),"")</f>
        <v/>
      </c>
      <c r="F1015">
        <f>'对齐'!C1015/'对齐'!C1014-1</f>
        <v/>
      </c>
      <c r="G1015">
        <f>'对齐'!C1015/'对齐'!C$2*100</f>
        <v/>
      </c>
      <c r="H1015">
        <f>'对齐'!C1015/MAX('对齐'!C$2:'对齐'!C1015)-1</f>
        <v/>
      </c>
      <c r="I1015">
        <f>IF(ROW()-2&gt;='参数'!$B$2,STDEV(OFFSET(F1015,1-'参数'!$B$2,0,'参数'!$B$2,1))*SQRT('参数'!$B$3),"")</f>
        <v/>
      </c>
    </row>
    <row r="1016">
      <c r="A1016">
        <f>'对齐'!A1016</f>
        <v/>
      </c>
      <c r="B1016">
        <f>'对齐'!B1016/'对齐'!B1015-1</f>
        <v/>
      </c>
      <c r="C1016">
        <f>'对齐'!B1016/'对齐'!B$2*100</f>
        <v/>
      </c>
      <c r="D1016">
        <f>'对齐'!B1016/MAX('对齐'!B$2:'对齐'!B1016)-1</f>
        <v/>
      </c>
      <c r="E1016">
        <f>IF(ROW()-2&gt;='参数'!$B$2,STDEV(OFFSET(B1016,1-'参数'!$B$2,0,'参数'!$B$2,1))*SQRT('参数'!$B$3),"")</f>
        <v/>
      </c>
      <c r="F1016">
        <f>'对齐'!C1016/'对齐'!C1015-1</f>
        <v/>
      </c>
      <c r="G1016">
        <f>'对齐'!C1016/'对齐'!C$2*100</f>
        <v/>
      </c>
      <c r="H1016">
        <f>'对齐'!C1016/MAX('对齐'!C$2:'对齐'!C1016)-1</f>
        <v/>
      </c>
      <c r="I1016">
        <f>IF(ROW()-2&gt;='参数'!$B$2,STDEV(OFFSET(F1016,1-'参数'!$B$2,0,'参数'!$B$2,1))*SQRT('参数'!$B$3),"")</f>
        <v/>
      </c>
    </row>
    <row r="1017">
      <c r="A1017">
        <f>'对齐'!A1017</f>
        <v/>
      </c>
      <c r="B1017">
        <f>'对齐'!B1017/'对齐'!B1016-1</f>
        <v/>
      </c>
      <c r="C1017">
        <f>'对齐'!B1017/'对齐'!B$2*100</f>
        <v/>
      </c>
      <c r="D1017">
        <f>'对齐'!B1017/MAX('对齐'!B$2:'对齐'!B1017)-1</f>
        <v/>
      </c>
      <c r="E1017">
        <f>IF(ROW()-2&gt;='参数'!$B$2,STDEV(OFFSET(B1017,1-'参数'!$B$2,0,'参数'!$B$2,1))*SQRT('参数'!$B$3),"")</f>
        <v/>
      </c>
      <c r="F1017">
        <f>'对齐'!C1017/'对齐'!C1016-1</f>
        <v/>
      </c>
      <c r="G1017">
        <f>'对齐'!C1017/'对齐'!C$2*100</f>
        <v/>
      </c>
      <c r="H1017">
        <f>'对齐'!C1017/MAX('对齐'!C$2:'对齐'!C1017)-1</f>
        <v/>
      </c>
      <c r="I1017">
        <f>IF(ROW()-2&gt;='参数'!$B$2,STDEV(OFFSET(F1017,1-'参数'!$B$2,0,'参数'!$B$2,1))*SQRT('参数'!$B$3),"")</f>
        <v/>
      </c>
    </row>
    <row r="1018">
      <c r="A1018">
        <f>'对齐'!A1018</f>
        <v/>
      </c>
      <c r="B1018">
        <f>'对齐'!B1018/'对齐'!B1017-1</f>
        <v/>
      </c>
      <c r="C1018">
        <f>'对齐'!B1018/'对齐'!B$2*100</f>
        <v/>
      </c>
      <c r="D1018">
        <f>'对齐'!B1018/MAX('对齐'!B$2:'对齐'!B1018)-1</f>
        <v/>
      </c>
      <c r="E1018">
        <f>IF(ROW()-2&gt;='参数'!$B$2,STDEV(OFFSET(B1018,1-'参数'!$B$2,0,'参数'!$B$2,1))*SQRT('参数'!$B$3),"")</f>
        <v/>
      </c>
      <c r="F1018">
        <f>'对齐'!C1018/'对齐'!C1017-1</f>
        <v/>
      </c>
      <c r="G1018">
        <f>'对齐'!C1018/'对齐'!C$2*100</f>
        <v/>
      </c>
      <c r="H1018">
        <f>'对齐'!C1018/MAX('对齐'!C$2:'对齐'!C1018)-1</f>
        <v/>
      </c>
      <c r="I1018">
        <f>IF(ROW()-2&gt;='参数'!$B$2,STDEV(OFFSET(F1018,1-'参数'!$B$2,0,'参数'!$B$2,1))*SQRT('参数'!$B$3),"")</f>
        <v/>
      </c>
    </row>
    <row r="1019">
      <c r="A1019">
        <f>'对齐'!A1019</f>
        <v/>
      </c>
      <c r="B1019">
        <f>'对齐'!B1019/'对齐'!B1018-1</f>
        <v/>
      </c>
      <c r="C1019">
        <f>'对齐'!B1019/'对齐'!B$2*100</f>
        <v/>
      </c>
      <c r="D1019">
        <f>'对齐'!B1019/MAX('对齐'!B$2:'对齐'!B1019)-1</f>
        <v/>
      </c>
      <c r="E1019">
        <f>IF(ROW()-2&gt;='参数'!$B$2,STDEV(OFFSET(B1019,1-'参数'!$B$2,0,'参数'!$B$2,1))*SQRT('参数'!$B$3),"")</f>
        <v/>
      </c>
      <c r="F1019">
        <f>'对齐'!C1019/'对齐'!C1018-1</f>
        <v/>
      </c>
      <c r="G1019">
        <f>'对齐'!C1019/'对齐'!C$2*100</f>
        <v/>
      </c>
      <c r="H1019">
        <f>'对齐'!C1019/MAX('对齐'!C$2:'对齐'!C1019)-1</f>
        <v/>
      </c>
      <c r="I1019">
        <f>IF(ROW()-2&gt;='参数'!$B$2,STDEV(OFFSET(F1019,1-'参数'!$B$2,0,'参数'!$B$2,1))*SQRT('参数'!$B$3),"")</f>
        <v/>
      </c>
    </row>
    <row r="1020">
      <c r="A1020">
        <f>'对齐'!A1020</f>
        <v/>
      </c>
      <c r="B1020">
        <f>'对齐'!B1020/'对齐'!B1019-1</f>
        <v/>
      </c>
      <c r="C1020">
        <f>'对齐'!B1020/'对齐'!B$2*100</f>
        <v/>
      </c>
      <c r="D1020">
        <f>'对齐'!B1020/MAX('对齐'!B$2:'对齐'!B1020)-1</f>
        <v/>
      </c>
      <c r="E1020">
        <f>IF(ROW()-2&gt;='参数'!$B$2,STDEV(OFFSET(B1020,1-'参数'!$B$2,0,'参数'!$B$2,1))*SQRT('参数'!$B$3),"")</f>
        <v/>
      </c>
      <c r="F1020">
        <f>'对齐'!C1020/'对齐'!C1019-1</f>
        <v/>
      </c>
      <c r="G1020">
        <f>'对齐'!C1020/'对齐'!C$2*100</f>
        <v/>
      </c>
      <c r="H1020">
        <f>'对齐'!C1020/MAX('对齐'!C$2:'对齐'!C1020)-1</f>
        <v/>
      </c>
      <c r="I1020">
        <f>IF(ROW()-2&gt;='参数'!$B$2,STDEV(OFFSET(F1020,1-'参数'!$B$2,0,'参数'!$B$2,1))*SQRT('参数'!$B$3),"")</f>
        <v/>
      </c>
    </row>
    <row r="1021">
      <c r="A1021">
        <f>'对齐'!A1021</f>
        <v/>
      </c>
      <c r="B1021">
        <f>'对齐'!B1021/'对齐'!B1020-1</f>
        <v/>
      </c>
      <c r="C1021">
        <f>'对齐'!B1021/'对齐'!B$2*100</f>
        <v/>
      </c>
      <c r="D1021">
        <f>'对齐'!B1021/MAX('对齐'!B$2:'对齐'!B1021)-1</f>
        <v/>
      </c>
      <c r="E1021">
        <f>IF(ROW()-2&gt;='参数'!$B$2,STDEV(OFFSET(B1021,1-'参数'!$B$2,0,'参数'!$B$2,1))*SQRT('参数'!$B$3),"")</f>
        <v/>
      </c>
      <c r="F1021">
        <f>'对齐'!C1021/'对齐'!C1020-1</f>
        <v/>
      </c>
      <c r="G1021">
        <f>'对齐'!C1021/'对齐'!C$2*100</f>
        <v/>
      </c>
      <c r="H1021">
        <f>'对齐'!C1021/MAX('对齐'!C$2:'对齐'!C1021)-1</f>
        <v/>
      </c>
      <c r="I1021">
        <f>IF(ROW()-2&gt;='参数'!$B$2,STDEV(OFFSET(F1021,1-'参数'!$B$2,0,'参数'!$B$2,1))*SQRT('参数'!$B$3),"")</f>
        <v/>
      </c>
    </row>
    <row r="1022">
      <c r="A1022">
        <f>'对齐'!A1022</f>
        <v/>
      </c>
      <c r="B1022">
        <f>'对齐'!B1022/'对齐'!B1021-1</f>
        <v/>
      </c>
      <c r="C1022">
        <f>'对齐'!B1022/'对齐'!B$2*100</f>
        <v/>
      </c>
      <c r="D1022">
        <f>'对齐'!B1022/MAX('对齐'!B$2:'对齐'!B1022)-1</f>
        <v/>
      </c>
      <c r="E1022">
        <f>IF(ROW()-2&gt;='参数'!$B$2,STDEV(OFFSET(B1022,1-'参数'!$B$2,0,'参数'!$B$2,1))*SQRT('参数'!$B$3),"")</f>
        <v/>
      </c>
      <c r="F1022">
        <f>'对齐'!C1022/'对齐'!C1021-1</f>
        <v/>
      </c>
      <c r="G1022">
        <f>'对齐'!C1022/'对齐'!C$2*100</f>
        <v/>
      </c>
      <c r="H1022">
        <f>'对齐'!C1022/MAX('对齐'!C$2:'对齐'!C1022)-1</f>
        <v/>
      </c>
      <c r="I1022">
        <f>IF(ROW()-2&gt;='参数'!$B$2,STDEV(OFFSET(F1022,1-'参数'!$B$2,0,'参数'!$B$2,1))*SQRT('参数'!$B$3),"")</f>
        <v/>
      </c>
    </row>
    <row r="1023">
      <c r="A1023">
        <f>'对齐'!A1023</f>
        <v/>
      </c>
      <c r="B1023">
        <f>'对齐'!B1023/'对齐'!B1022-1</f>
        <v/>
      </c>
      <c r="C1023">
        <f>'对齐'!B1023/'对齐'!B$2*100</f>
        <v/>
      </c>
      <c r="D1023">
        <f>'对齐'!B1023/MAX('对齐'!B$2:'对齐'!B1023)-1</f>
        <v/>
      </c>
      <c r="E1023">
        <f>IF(ROW()-2&gt;='参数'!$B$2,STDEV(OFFSET(B1023,1-'参数'!$B$2,0,'参数'!$B$2,1))*SQRT('参数'!$B$3),"")</f>
        <v/>
      </c>
      <c r="F1023">
        <f>'对齐'!C1023/'对齐'!C1022-1</f>
        <v/>
      </c>
      <c r="G1023">
        <f>'对齐'!C1023/'对齐'!C$2*100</f>
        <v/>
      </c>
      <c r="H1023">
        <f>'对齐'!C1023/MAX('对齐'!C$2:'对齐'!C1023)-1</f>
        <v/>
      </c>
      <c r="I1023">
        <f>IF(ROW()-2&gt;='参数'!$B$2,STDEV(OFFSET(F1023,1-'参数'!$B$2,0,'参数'!$B$2,1))*SQRT('参数'!$B$3),"")</f>
        <v/>
      </c>
    </row>
    <row r="1024">
      <c r="A1024">
        <f>'对齐'!A1024</f>
        <v/>
      </c>
      <c r="B1024">
        <f>'对齐'!B1024/'对齐'!B1023-1</f>
        <v/>
      </c>
      <c r="C1024">
        <f>'对齐'!B1024/'对齐'!B$2*100</f>
        <v/>
      </c>
      <c r="D1024">
        <f>'对齐'!B1024/MAX('对齐'!B$2:'对齐'!B1024)-1</f>
        <v/>
      </c>
      <c r="E1024">
        <f>IF(ROW()-2&gt;='参数'!$B$2,STDEV(OFFSET(B1024,1-'参数'!$B$2,0,'参数'!$B$2,1))*SQRT('参数'!$B$3),"")</f>
        <v/>
      </c>
      <c r="F1024">
        <f>'对齐'!C1024/'对齐'!C1023-1</f>
        <v/>
      </c>
      <c r="G1024">
        <f>'对齐'!C1024/'对齐'!C$2*100</f>
        <v/>
      </c>
      <c r="H1024">
        <f>'对齐'!C1024/MAX('对齐'!C$2:'对齐'!C1024)-1</f>
        <v/>
      </c>
      <c r="I1024">
        <f>IF(ROW()-2&gt;='参数'!$B$2,STDEV(OFFSET(F1024,1-'参数'!$B$2,0,'参数'!$B$2,1))*SQRT('参数'!$B$3),"")</f>
        <v/>
      </c>
    </row>
    <row r="1025">
      <c r="A1025">
        <f>'对齐'!A1025</f>
        <v/>
      </c>
      <c r="B1025">
        <f>'对齐'!B1025/'对齐'!B1024-1</f>
        <v/>
      </c>
      <c r="C1025">
        <f>'对齐'!B1025/'对齐'!B$2*100</f>
        <v/>
      </c>
      <c r="D1025">
        <f>'对齐'!B1025/MAX('对齐'!B$2:'对齐'!B1025)-1</f>
        <v/>
      </c>
      <c r="E1025">
        <f>IF(ROW()-2&gt;='参数'!$B$2,STDEV(OFFSET(B1025,1-'参数'!$B$2,0,'参数'!$B$2,1))*SQRT('参数'!$B$3),"")</f>
        <v/>
      </c>
      <c r="F1025">
        <f>'对齐'!C1025/'对齐'!C1024-1</f>
        <v/>
      </c>
      <c r="G1025">
        <f>'对齐'!C1025/'对齐'!C$2*100</f>
        <v/>
      </c>
      <c r="H1025">
        <f>'对齐'!C1025/MAX('对齐'!C$2:'对齐'!C1025)-1</f>
        <v/>
      </c>
      <c r="I1025">
        <f>IF(ROW()-2&gt;='参数'!$B$2,STDEV(OFFSET(F1025,1-'参数'!$B$2,0,'参数'!$B$2,1))*SQRT('参数'!$B$3),"")</f>
        <v/>
      </c>
    </row>
    <row r="1026">
      <c r="A1026">
        <f>'对齐'!A1026</f>
        <v/>
      </c>
      <c r="B1026">
        <f>'对齐'!B1026/'对齐'!B1025-1</f>
        <v/>
      </c>
      <c r="C1026">
        <f>'对齐'!B1026/'对齐'!B$2*100</f>
        <v/>
      </c>
      <c r="D1026">
        <f>'对齐'!B1026/MAX('对齐'!B$2:'对齐'!B1026)-1</f>
        <v/>
      </c>
      <c r="E1026">
        <f>IF(ROW()-2&gt;='参数'!$B$2,STDEV(OFFSET(B1026,1-'参数'!$B$2,0,'参数'!$B$2,1))*SQRT('参数'!$B$3),"")</f>
        <v/>
      </c>
      <c r="F1026">
        <f>'对齐'!C1026/'对齐'!C1025-1</f>
        <v/>
      </c>
      <c r="G1026">
        <f>'对齐'!C1026/'对齐'!C$2*100</f>
        <v/>
      </c>
      <c r="H1026">
        <f>'对齐'!C1026/MAX('对齐'!C$2:'对齐'!C1026)-1</f>
        <v/>
      </c>
      <c r="I1026">
        <f>IF(ROW()-2&gt;='参数'!$B$2,STDEV(OFFSET(F1026,1-'参数'!$B$2,0,'参数'!$B$2,1))*SQRT('参数'!$B$3),"")</f>
        <v/>
      </c>
    </row>
    <row r="1027">
      <c r="A1027">
        <f>'对齐'!A1027</f>
        <v/>
      </c>
      <c r="B1027">
        <f>'对齐'!B1027/'对齐'!B1026-1</f>
        <v/>
      </c>
      <c r="C1027">
        <f>'对齐'!B1027/'对齐'!B$2*100</f>
        <v/>
      </c>
      <c r="D1027">
        <f>'对齐'!B1027/MAX('对齐'!B$2:'对齐'!B1027)-1</f>
        <v/>
      </c>
      <c r="E1027">
        <f>IF(ROW()-2&gt;='参数'!$B$2,STDEV(OFFSET(B1027,1-'参数'!$B$2,0,'参数'!$B$2,1))*SQRT('参数'!$B$3),"")</f>
        <v/>
      </c>
      <c r="F1027">
        <f>'对齐'!C1027/'对齐'!C1026-1</f>
        <v/>
      </c>
      <c r="G1027">
        <f>'对齐'!C1027/'对齐'!C$2*100</f>
        <v/>
      </c>
      <c r="H1027">
        <f>'对齐'!C1027/MAX('对齐'!C$2:'对齐'!C1027)-1</f>
        <v/>
      </c>
      <c r="I1027">
        <f>IF(ROW()-2&gt;='参数'!$B$2,STDEV(OFFSET(F1027,1-'参数'!$B$2,0,'参数'!$B$2,1))*SQRT('参数'!$B$3),"")</f>
        <v/>
      </c>
    </row>
    <row r="1028">
      <c r="A1028">
        <f>'对齐'!A1028</f>
        <v/>
      </c>
      <c r="B1028">
        <f>'对齐'!B1028/'对齐'!B1027-1</f>
        <v/>
      </c>
      <c r="C1028">
        <f>'对齐'!B1028/'对齐'!B$2*100</f>
        <v/>
      </c>
      <c r="D1028">
        <f>'对齐'!B1028/MAX('对齐'!B$2:'对齐'!B1028)-1</f>
        <v/>
      </c>
      <c r="E1028">
        <f>IF(ROW()-2&gt;='参数'!$B$2,STDEV(OFFSET(B1028,1-'参数'!$B$2,0,'参数'!$B$2,1))*SQRT('参数'!$B$3),"")</f>
        <v/>
      </c>
      <c r="F1028">
        <f>'对齐'!C1028/'对齐'!C1027-1</f>
        <v/>
      </c>
      <c r="G1028">
        <f>'对齐'!C1028/'对齐'!C$2*100</f>
        <v/>
      </c>
      <c r="H1028">
        <f>'对齐'!C1028/MAX('对齐'!C$2:'对齐'!C1028)-1</f>
        <v/>
      </c>
      <c r="I1028">
        <f>IF(ROW()-2&gt;='参数'!$B$2,STDEV(OFFSET(F1028,1-'参数'!$B$2,0,'参数'!$B$2,1))*SQRT('参数'!$B$3),"")</f>
        <v/>
      </c>
    </row>
    <row r="1029">
      <c r="A1029">
        <f>'对齐'!A1029</f>
        <v/>
      </c>
      <c r="B1029">
        <f>'对齐'!B1029/'对齐'!B1028-1</f>
        <v/>
      </c>
      <c r="C1029">
        <f>'对齐'!B1029/'对齐'!B$2*100</f>
        <v/>
      </c>
      <c r="D1029">
        <f>'对齐'!B1029/MAX('对齐'!B$2:'对齐'!B1029)-1</f>
        <v/>
      </c>
      <c r="E1029">
        <f>IF(ROW()-2&gt;='参数'!$B$2,STDEV(OFFSET(B1029,1-'参数'!$B$2,0,'参数'!$B$2,1))*SQRT('参数'!$B$3),"")</f>
        <v/>
      </c>
      <c r="F1029">
        <f>'对齐'!C1029/'对齐'!C1028-1</f>
        <v/>
      </c>
      <c r="G1029">
        <f>'对齐'!C1029/'对齐'!C$2*100</f>
        <v/>
      </c>
      <c r="H1029">
        <f>'对齐'!C1029/MAX('对齐'!C$2:'对齐'!C1029)-1</f>
        <v/>
      </c>
      <c r="I1029">
        <f>IF(ROW()-2&gt;='参数'!$B$2,STDEV(OFFSET(F1029,1-'参数'!$B$2,0,'参数'!$B$2,1))*SQRT('参数'!$B$3),"")</f>
        <v/>
      </c>
    </row>
    <row r="1030">
      <c r="A1030">
        <f>'对齐'!A1030</f>
        <v/>
      </c>
      <c r="B1030">
        <f>'对齐'!B1030/'对齐'!B1029-1</f>
        <v/>
      </c>
      <c r="C1030">
        <f>'对齐'!B1030/'对齐'!B$2*100</f>
        <v/>
      </c>
      <c r="D1030">
        <f>'对齐'!B1030/MAX('对齐'!B$2:'对齐'!B1030)-1</f>
        <v/>
      </c>
      <c r="E1030">
        <f>IF(ROW()-2&gt;='参数'!$B$2,STDEV(OFFSET(B1030,1-'参数'!$B$2,0,'参数'!$B$2,1))*SQRT('参数'!$B$3),"")</f>
        <v/>
      </c>
      <c r="F1030">
        <f>'对齐'!C1030/'对齐'!C1029-1</f>
        <v/>
      </c>
      <c r="G1030">
        <f>'对齐'!C1030/'对齐'!C$2*100</f>
        <v/>
      </c>
      <c r="H1030">
        <f>'对齐'!C1030/MAX('对齐'!C$2:'对齐'!C1030)-1</f>
        <v/>
      </c>
      <c r="I1030">
        <f>IF(ROW()-2&gt;='参数'!$B$2,STDEV(OFFSET(F1030,1-'参数'!$B$2,0,'参数'!$B$2,1))*SQRT('参数'!$B$3),"")</f>
        <v/>
      </c>
    </row>
    <row r="1031">
      <c r="A1031">
        <f>'对齐'!A1031</f>
        <v/>
      </c>
      <c r="B1031">
        <f>'对齐'!B1031/'对齐'!B1030-1</f>
        <v/>
      </c>
      <c r="C1031">
        <f>'对齐'!B1031/'对齐'!B$2*100</f>
        <v/>
      </c>
      <c r="D1031">
        <f>'对齐'!B1031/MAX('对齐'!B$2:'对齐'!B1031)-1</f>
        <v/>
      </c>
      <c r="E1031">
        <f>IF(ROW()-2&gt;='参数'!$B$2,STDEV(OFFSET(B1031,1-'参数'!$B$2,0,'参数'!$B$2,1))*SQRT('参数'!$B$3),"")</f>
        <v/>
      </c>
      <c r="F1031">
        <f>'对齐'!C1031/'对齐'!C1030-1</f>
        <v/>
      </c>
      <c r="G1031">
        <f>'对齐'!C1031/'对齐'!C$2*100</f>
        <v/>
      </c>
      <c r="H1031">
        <f>'对齐'!C1031/MAX('对齐'!C$2:'对齐'!C1031)-1</f>
        <v/>
      </c>
      <c r="I1031">
        <f>IF(ROW()-2&gt;='参数'!$B$2,STDEV(OFFSET(F1031,1-'参数'!$B$2,0,'参数'!$B$2,1))*SQRT('参数'!$B$3),"")</f>
        <v/>
      </c>
    </row>
    <row r="1032">
      <c r="A1032">
        <f>'对齐'!A1032</f>
        <v/>
      </c>
      <c r="B1032">
        <f>'对齐'!B1032/'对齐'!B1031-1</f>
        <v/>
      </c>
      <c r="C1032">
        <f>'对齐'!B1032/'对齐'!B$2*100</f>
        <v/>
      </c>
      <c r="D1032">
        <f>'对齐'!B1032/MAX('对齐'!B$2:'对齐'!B1032)-1</f>
        <v/>
      </c>
      <c r="E1032">
        <f>IF(ROW()-2&gt;='参数'!$B$2,STDEV(OFFSET(B1032,1-'参数'!$B$2,0,'参数'!$B$2,1))*SQRT('参数'!$B$3),"")</f>
        <v/>
      </c>
      <c r="F1032">
        <f>'对齐'!C1032/'对齐'!C1031-1</f>
        <v/>
      </c>
      <c r="G1032">
        <f>'对齐'!C1032/'对齐'!C$2*100</f>
        <v/>
      </c>
      <c r="H1032">
        <f>'对齐'!C1032/MAX('对齐'!C$2:'对齐'!C1032)-1</f>
        <v/>
      </c>
      <c r="I1032">
        <f>IF(ROW()-2&gt;='参数'!$B$2,STDEV(OFFSET(F1032,1-'参数'!$B$2,0,'参数'!$B$2,1))*SQRT('参数'!$B$3),"")</f>
        <v/>
      </c>
    </row>
    <row r="1033">
      <c r="A1033">
        <f>'对齐'!A1033</f>
        <v/>
      </c>
      <c r="B1033">
        <f>'对齐'!B1033/'对齐'!B1032-1</f>
        <v/>
      </c>
      <c r="C1033">
        <f>'对齐'!B1033/'对齐'!B$2*100</f>
        <v/>
      </c>
      <c r="D1033">
        <f>'对齐'!B1033/MAX('对齐'!B$2:'对齐'!B1033)-1</f>
        <v/>
      </c>
      <c r="E1033">
        <f>IF(ROW()-2&gt;='参数'!$B$2,STDEV(OFFSET(B1033,1-'参数'!$B$2,0,'参数'!$B$2,1))*SQRT('参数'!$B$3),"")</f>
        <v/>
      </c>
      <c r="F1033">
        <f>'对齐'!C1033/'对齐'!C1032-1</f>
        <v/>
      </c>
      <c r="G1033">
        <f>'对齐'!C1033/'对齐'!C$2*100</f>
        <v/>
      </c>
      <c r="H1033">
        <f>'对齐'!C1033/MAX('对齐'!C$2:'对齐'!C1033)-1</f>
        <v/>
      </c>
      <c r="I1033">
        <f>IF(ROW()-2&gt;='参数'!$B$2,STDEV(OFFSET(F1033,1-'参数'!$B$2,0,'参数'!$B$2,1))*SQRT('参数'!$B$3),"")</f>
        <v/>
      </c>
    </row>
    <row r="1034">
      <c r="A1034">
        <f>'对齐'!A1034</f>
        <v/>
      </c>
      <c r="B1034">
        <f>'对齐'!B1034/'对齐'!B1033-1</f>
        <v/>
      </c>
      <c r="C1034">
        <f>'对齐'!B1034/'对齐'!B$2*100</f>
        <v/>
      </c>
      <c r="D1034">
        <f>'对齐'!B1034/MAX('对齐'!B$2:'对齐'!B1034)-1</f>
        <v/>
      </c>
      <c r="E1034">
        <f>IF(ROW()-2&gt;='参数'!$B$2,STDEV(OFFSET(B1034,1-'参数'!$B$2,0,'参数'!$B$2,1))*SQRT('参数'!$B$3),"")</f>
        <v/>
      </c>
      <c r="F1034">
        <f>'对齐'!C1034/'对齐'!C1033-1</f>
        <v/>
      </c>
      <c r="G1034">
        <f>'对齐'!C1034/'对齐'!C$2*100</f>
        <v/>
      </c>
      <c r="H1034">
        <f>'对齐'!C1034/MAX('对齐'!C$2:'对齐'!C1034)-1</f>
        <v/>
      </c>
      <c r="I1034">
        <f>IF(ROW()-2&gt;='参数'!$B$2,STDEV(OFFSET(F1034,1-'参数'!$B$2,0,'参数'!$B$2,1))*SQRT('参数'!$B$3),"")</f>
        <v/>
      </c>
    </row>
    <row r="1035">
      <c r="A1035">
        <f>'对齐'!A1035</f>
        <v/>
      </c>
      <c r="B1035">
        <f>'对齐'!B1035/'对齐'!B1034-1</f>
        <v/>
      </c>
      <c r="C1035">
        <f>'对齐'!B1035/'对齐'!B$2*100</f>
        <v/>
      </c>
      <c r="D1035">
        <f>'对齐'!B1035/MAX('对齐'!B$2:'对齐'!B1035)-1</f>
        <v/>
      </c>
      <c r="E1035">
        <f>IF(ROW()-2&gt;='参数'!$B$2,STDEV(OFFSET(B1035,1-'参数'!$B$2,0,'参数'!$B$2,1))*SQRT('参数'!$B$3),"")</f>
        <v/>
      </c>
      <c r="F1035">
        <f>'对齐'!C1035/'对齐'!C1034-1</f>
        <v/>
      </c>
      <c r="G1035">
        <f>'对齐'!C1035/'对齐'!C$2*100</f>
        <v/>
      </c>
      <c r="H1035">
        <f>'对齐'!C1035/MAX('对齐'!C$2:'对齐'!C1035)-1</f>
        <v/>
      </c>
      <c r="I1035">
        <f>IF(ROW()-2&gt;='参数'!$B$2,STDEV(OFFSET(F1035,1-'参数'!$B$2,0,'参数'!$B$2,1))*SQRT('参数'!$B$3),"")</f>
        <v/>
      </c>
    </row>
    <row r="1036">
      <c r="A1036">
        <f>'对齐'!A1036</f>
        <v/>
      </c>
      <c r="B1036">
        <f>'对齐'!B1036/'对齐'!B1035-1</f>
        <v/>
      </c>
      <c r="C1036">
        <f>'对齐'!B1036/'对齐'!B$2*100</f>
        <v/>
      </c>
      <c r="D1036">
        <f>'对齐'!B1036/MAX('对齐'!B$2:'对齐'!B1036)-1</f>
        <v/>
      </c>
      <c r="E1036">
        <f>IF(ROW()-2&gt;='参数'!$B$2,STDEV(OFFSET(B1036,1-'参数'!$B$2,0,'参数'!$B$2,1))*SQRT('参数'!$B$3),"")</f>
        <v/>
      </c>
      <c r="F1036">
        <f>'对齐'!C1036/'对齐'!C1035-1</f>
        <v/>
      </c>
      <c r="G1036">
        <f>'对齐'!C1036/'对齐'!C$2*100</f>
        <v/>
      </c>
      <c r="H1036">
        <f>'对齐'!C1036/MAX('对齐'!C$2:'对齐'!C1036)-1</f>
        <v/>
      </c>
      <c r="I1036">
        <f>IF(ROW()-2&gt;='参数'!$B$2,STDEV(OFFSET(F1036,1-'参数'!$B$2,0,'参数'!$B$2,1))*SQRT('参数'!$B$3),"")</f>
        <v/>
      </c>
    </row>
    <row r="1037">
      <c r="A1037">
        <f>'对齐'!A1037</f>
        <v/>
      </c>
      <c r="B1037">
        <f>'对齐'!B1037/'对齐'!B1036-1</f>
        <v/>
      </c>
      <c r="C1037">
        <f>'对齐'!B1037/'对齐'!B$2*100</f>
        <v/>
      </c>
      <c r="D1037">
        <f>'对齐'!B1037/MAX('对齐'!B$2:'对齐'!B1037)-1</f>
        <v/>
      </c>
      <c r="E1037">
        <f>IF(ROW()-2&gt;='参数'!$B$2,STDEV(OFFSET(B1037,1-'参数'!$B$2,0,'参数'!$B$2,1))*SQRT('参数'!$B$3),"")</f>
        <v/>
      </c>
      <c r="F1037">
        <f>'对齐'!C1037/'对齐'!C1036-1</f>
        <v/>
      </c>
      <c r="G1037">
        <f>'对齐'!C1037/'对齐'!C$2*100</f>
        <v/>
      </c>
      <c r="H1037">
        <f>'对齐'!C1037/MAX('对齐'!C$2:'对齐'!C1037)-1</f>
        <v/>
      </c>
      <c r="I1037">
        <f>IF(ROW()-2&gt;='参数'!$B$2,STDEV(OFFSET(F1037,1-'参数'!$B$2,0,'参数'!$B$2,1))*SQRT('参数'!$B$3),"")</f>
        <v/>
      </c>
    </row>
    <row r="1038">
      <c r="A1038">
        <f>'对齐'!A1038</f>
        <v/>
      </c>
      <c r="B1038">
        <f>'对齐'!B1038/'对齐'!B1037-1</f>
        <v/>
      </c>
      <c r="C1038">
        <f>'对齐'!B1038/'对齐'!B$2*100</f>
        <v/>
      </c>
      <c r="D1038">
        <f>'对齐'!B1038/MAX('对齐'!B$2:'对齐'!B1038)-1</f>
        <v/>
      </c>
      <c r="E1038">
        <f>IF(ROW()-2&gt;='参数'!$B$2,STDEV(OFFSET(B1038,1-'参数'!$B$2,0,'参数'!$B$2,1))*SQRT('参数'!$B$3),"")</f>
        <v/>
      </c>
      <c r="F1038">
        <f>'对齐'!C1038/'对齐'!C1037-1</f>
        <v/>
      </c>
      <c r="G1038">
        <f>'对齐'!C1038/'对齐'!C$2*100</f>
        <v/>
      </c>
      <c r="H1038">
        <f>'对齐'!C1038/MAX('对齐'!C$2:'对齐'!C1038)-1</f>
        <v/>
      </c>
      <c r="I1038">
        <f>IF(ROW()-2&gt;='参数'!$B$2,STDEV(OFFSET(F1038,1-'参数'!$B$2,0,'参数'!$B$2,1))*SQRT('参数'!$B$3),"")</f>
        <v/>
      </c>
    </row>
    <row r="1039">
      <c r="A1039">
        <f>'对齐'!A1039</f>
        <v/>
      </c>
      <c r="B1039">
        <f>'对齐'!B1039/'对齐'!B1038-1</f>
        <v/>
      </c>
      <c r="C1039">
        <f>'对齐'!B1039/'对齐'!B$2*100</f>
        <v/>
      </c>
      <c r="D1039">
        <f>'对齐'!B1039/MAX('对齐'!B$2:'对齐'!B1039)-1</f>
        <v/>
      </c>
      <c r="E1039">
        <f>IF(ROW()-2&gt;='参数'!$B$2,STDEV(OFFSET(B1039,1-'参数'!$B$2,0,'参数'!$B$2,1))*SQRT('参数'!$B$3),"")</f>
        <v/>
      </c>
      <c r="F1039">
        <f>'对齐'!C1039/'对齐'!C1038-1</f>
        <v/>
      </c>
      <c r="G1039">
        <f>'对齐'!C1039/'对齐'!C$2*100</f>
        <v/>
      </c>
      <c r="H1039">
        <f>'对齐'!C1039/MAX('对齐'!C$2:'对齐'!C1039)-1</f>
        <v/>
      </c>
      <c r="I1039">
        <f>IF(ROW()-2&gt;='参数'!$B$2,STDEV(OFFSET(F1039,1-'参数'!$B$2,0,'参数'!$B$2,1))*SQRT('参数'!$B$3),"")</f>
        <v/>
      </c>
    </row>
    <row r="1040">
      <c r="A1040">
        <f>'对齐'!A1040</f>
        <v/>
      </c>
      <c r="B1040">
        <f>'对齐'!B1040/'对齐'!B1039-1</f>
        <v/>
      </c>
      <c r="C1040">
        <f>'对齐'!B1040/'对齐'!B$2*100</f>
        <v/>
      </c>
      <c r="D1040">
        <f>'对齐'!B1040/MAX('对齐'!B$2:'对齐'!B1040)-1</f>
        <v/>
      </c>
      <c r="E1040">
        <f>IF(ROW()-2&gt;='参数'!$B$2,STDEV(OFFSET(B1040,1-'参数'!$B$2,0,'参数'!$B$2,1))*SQRT('参数'!$B$3),"")</f>
        <v/>
      </c>
      <c r="F1040">
        <f>'对齐'!C1040/'对齐'!C1039-1</f>
        <v/>
      </c>
      <c r="G1040">
        <f>'对齐'!C1040/'对齐'!C$2*100</f>
        <v/>
      </c>
      <c r="H1040">
        <f>'对齐'!C1040/MAX('对齐'!C$2:'对齐'!C1040)-1</f>
        <v/>
      </c>
      <c r="I1040">
        <f>IF(ROW()-2&gt;='参数'!$B$2,STDEV(OFFSET(F1040,1-'参数'!$B$2,0,'参数'!$B$2,1))*SQRT('参数'!$B$3),"")</f>
        <v/>
      </c>
    </row>
    <row r="1041">
      <c r="A1041">
        <f>'对齐'!A1041</f>
        <v/>
      </c>
      <c r="B1041">
        <f>'对齐'!B1041/'对齐'!B1040-1</f>
        <v/>
      </c>
      <c r="C1041">
        <f>'对齐'!B1041/'对齐'!B$2*100</f>
        <v/>
      </c>
      <c r="D1041">
        <f>'对齐'!B1041/MAX('对齐'!B$2:'对齐'!B1041)-1</f>
        <v/>
      </c>
      <c r="E1041">
        <f>IF(ROW()-2&gt;='参数'!$B$2,STDEV(OFFSET(B1041,1-'参数'!$B$2,0,'参数'!$B$2,1))*SQRT('参数'!$B$3),"")</f>
        <v/>
      </c>
      <c r="F1041">
        <f>'对齐'!C1041/'对齐'!C1040-1</f>
        <v/>
      </c>
      <c r="G1041">
        <f>'对齐'!C1041/'对齐'!C$2*100</f>
        <v/>
      </c>
      <c r="H1041">
        <f>'对齐'!C1041/MAX('对齐'!C$2:'对齐'!C1041)-1</f>
        <v/>
      </c>
      <c r="I1041">
        <f>IF(ROW()-2&gt;='参数'!$B$2,STDEV(OFFSET(F1041,1-'参数'!$B$2,0,'参数'!$B$2,1))*SQRT('参数'!$B$3),"")</f>
        <v/>
      </c>
    </row>
    <row r="1042">
      <c r="A1042">
        <f>'对齐'!A1042</f>
        <v/>
      </c>
      <c r="B1042">
        <f>'对齐'!B1042/'对齐'!B1041-1</f>
        <v/>
      </c>
      <c r="C1042">
        <f>'对齐'!B1042/'对齐'!B$2*100</f>
        <v/>
      </c>
      <c r="D1042">
        <f>'对齐'!B1042/MAX('对齐'!B$2:'对齐'!B1042)-1</f>
        <v/>
      </c>
      <c r="E1042">
        <f>IF(ROW()-2&gt;='参数'!$B$2,STDEV(OFFSET(B1042,1-'参数'!$B$2,0,'参数'!$B$2,1))*SQRT('参数'!$B$3),"")</f>
        <v/>
      </c>
      <c r="F1042">
        <f>'对齐'!C1042/'对齐'!C1041-1</f>
        <v/>
      </c>
      <c r="G1042">
        <f>'对齐'!C1042/'对齐'!C$2*100</f>
        <v/>
      </c>
      <c r="H1042">
        <f>'对齐'!C1042/MAX('对齐'!C$2:'对齐'!C1042)-1</f>
        <v/>
      </c>
      <c r="I1042">
        <f>IF(ROW()-2&gt;='参数'!$B$2,STDEV(OFFSET(F1042,1-'参数'!$B$2,0,'参数'!$B$2,1))*SQRT('参数'!$B$3),"")</f>
        <v/>
      </c>
    </row>
    <row r="1043">
      <c r="A1043">
        <f>'对齐'!A1043</f>
        <v/>
      </c>
      <c r="B1043">
        <f>'对齐'!B1043/'对齐'!B1042-1</f>
        <v/>
      </c>
      <c r="C1043">
        <f>'对齐'!B1043/'对齐'!B$2*100</f>
        <v/>
      </c>
      <c r="D1043">
        <f>'对齐'!B1043/MAX('对齐'!B$2:'对齐'!B1043)-1</f>
        <v/>
      </c>
      <c r="E1043">
        <f>IF(ROW()-2&gt;='参数'!$B$2,STDEV(OFFSET(B1043,1-'参数'!$B$2,0,'参数'!$B$2,1))*SQRT('参数'!$B$3),"")</f>
        <v/>
      </c>
      <c r="F1043">
        <f>'对齐'!C1043/'对齐'!C1042-1</f>
        <v/>
      </c>
      <c r="G1043">
        <f>'对齐'!C1043/'对齐'!C$2*100</f>
        <v/>
      </c>
      <c r="H1043">
        <f>'对齐'!C1043/MAX('对齐'!C$2:'对齐'!C1043)-1</f>
        <v/>
      </c>
      <c r="I1043">
        <f>IF(ROW()-2&gt;='参数'!$B$2,STDEV(OFFSET(F1043,1-'参数'!$B$2,0,'参数'!$B$2,1))*SQRT('参数'!$B$3),"")</f>
        <v/>
      </c>
    </row>
    <row r="1044">
      <c r="A1044">
        <f>'对齐'!A1044</f>
        <v/>
      </c>
      <c r="B1044">
        <f>'对齐'!B1044/'对齐'!B1043-1</f>
        <v/>
      </c>
      <c r="C1044">
        <f>'对齐'!B1044/'对齐'!B$2*100</f>
        <v/>
      </c>
      <c r="D1044">
        <f>'对齐'!B1044/MAX('对齐'!B$2:'对齐'!B1044)-1</f>
        <v/>
      </c>
      <c r="E1044">
        <f>IF(ROW()-2&gt;='参数'!$B$2,STDEV(OFFSET(B1044,1-'参数'!$B$2,0,'参数'!$B$2,1))*SQRT('参数'!$B$3),"")</f>
        <v/>
      </c>
      <c r="F1044">
        <f>'对齐'!C1044/'对齐'!C1043-1</f>
        <v/>
      </c>
      <c r="G1044">
        <f>'对齐'!C1044/'对齐'!C$2*100</f>
        <v/>
      </c>
      <c r="H1044">
        <f>'对齐'!C1044/MAX('对齐'!C$2:'对齐'!C1044)-1</f>
        <v/>
      </c>
      <c r="I1044">
        <f>IF(ROW()-2&gt;='参数'!$B$2,STDEV(OFFSET(F1044,1-'参数'!$B$2,0,'参数'!$B$2,1))*SQRT('参数'!$B$3),"")</f>
        <v/>
      </c>
    </row>
    <row r="1045">
      <c r="A1045">
        <f>'对齐'!A1045</f>
        <v/>
      </c>
      <c r="B1045">
        <f>'对齐'!B1045/'对齐'!B1044-1</f>
        <v/>
      </c>
      <c r="C1045">
        <f>'对齐'!B1045/'对齐'!B$2*100</f>
        <v/>
      </c>
      <c r="D1045">
        <f>'对齐'!B1045/MAX('对齐'!B$2:'对齐'!B1045)-1</f>
        <v/>
      </c>
      <c r="E1045">
        <f>IF(ROW()-2&gt;='参数'!$B$2,STDEV(OFFSET(B1045,1-'参数'!$B$2,0,'参数'!$B$2,1))*SQRT('参数'!$B$3),"")</f>
        <v/>
      </c>
      <c r="F1045">
        <f>'对齐'!C1045/'对齐'!C1044-1</f>
        <v/>
      </c>
      <c r="G1045">
        <f>'对齐'!C1045/'对齐'!C$2*100</f>
        <v/>
      </c>
      <c r="H1045">
        <f>'对齐'!C1045/MAX('对齐'!C$2:'对齐'!C1045)-1</f>
        <v/>
      </c>
      <c r="I1045">
        <f>IF(ROW()-2&gt;='参数'!$B$2,STDEV(OFFSET(F1045,1-'参数'!$B$2,0,'参数'!$B$2,1))*SQRT('参数'!$B$3),"")</f>
        <v/>
      </c>
    </row>
    <row r="1046">
      <c r="A1046">
        <f>'对齐'!A1046</f>
        <v/>
      </c>
      <c r="B1046">
        <f>'对齐'!B1046/'对齐'!B1045-1</f>
        <v/>
      </c>
      <c r="C1046">
        <f>'对齐'!B1046/'对齐'!B$2*100</f>
        <v/>
      </c>
      <c r="D1046">
        <f>'对齐'!B1046/MAX('对齐'!B$2:'对齐'!B1046)-1</f>
        <v/>
      </c>
      <c r="E1046">
        <f>IF(ROW()-2&gt;='参数'!$B$2,STDEV(OFFSET(B1046,1-'参数'!$B$2,0,'参数'!$B$2,1))*SQRT('参数'!$B$3),"")</f>
        <v/>
      </c>
      <c r="F1046">
        <f>'对齐'!C1046/'对齐'!C1045-1</f>
        <v/>
      </c>
      <c r="G1046">
        <f>'对齐'!C1046/'对齐'!C$2*100</f>
        <v/>
      </c>
      <c r="H1046">
        <f>'对齐'!C1046/MAX('对齐'!C$2:'对齐'!C1046)-1</f>
        <v/>
      </c>
      <c r="I1046">
        <f>IF(ROW()-2&gt;='参数'!$B$2,STDEV(OFFSET(F1046,1-'参数'!$B$2,0,'参数'!$B$2,1))*SQRT('参数'!$B$3),"")</f>
        <v/>
      </c>
    </row>
    <row r="1047">
      <c r="A1047">
        <f>'对齐'!A1047</f>
        <v/>
      </c>
      <c r="B1047">
        <f>'对齐'!B1047/'对齐'!B1046-1</f>
        <v/>
      </c>
      <c r="C1047">
        <f>'对齐'!B1047/'对齐'!B$2*100</f>
        <v/>
      </c>
      <c r="D1047">
        <f>'对齐'!B1047/MAX('对齐'!B$2:'对齐'!B1047)-1</f>
        <v/>
      </c>
      <c r="E1047">
        <f>IF(ROW()-2&gt;='参数'!$B$2,STDEV(OFFSET(B1047,1-'参数'!$B$2,0,'参数'!$B$2,1))*SQRT('参数'!$B$3),"")</f>
        <v/>
      </c>
      <c r="F1047">
        <f>'对齐'!C1047/'对齐'!C1046-1</f>
        <v/>
      </c>
      <c r="G1047">
        <f>'对齐'!C1047/'对齐'!C$2*100</f>
        <v/>
      </c>
      <c r="H1047">
        <f>'对齐'!C1047/MAX('对齐'!C$2:'对齐'!C1047)-1</f>
        <v/>
      </c>
      <c r="I1047">
        <f>IF(ROW()-2&gt;='参数'!$B$2,STDEV(OFFSET(F1047,1-'参数'!$B$2,0,'参数'!$B$2,1))*SQRT('参数'!$B$3),"")</f>
        <v/>
      </c>
    </row>
    <row r="1048">
      <c r="A1048">
        <f>'对齐'!A1048</f>
        <v/>
      </c>
      <c r="B1048">
        <f>'对齐'!B1048/'对齐'!B1047-1</f>
        <v/>
      </c>
      <c r="C1048">
        <f>'对齐'!B1048/'对齐'!B$2*100</f>
        <v/>
      </c>
      <c r="D1048">
        <f>'对齐'!B1048/MAX('对齐'!B$2:'对齐'!B1048)-1</f>
        <v/>
      </c>
      <c r="E1048">
        <f>IF(ROW()-2&gt;='参数'!$B$2,STDEV(OFFSET(B1048,1-'参数'!$B$2,0,'参数'!$B$2,1))*SQRT('参数'!$B$3),"")</f>
        <v/>
      </c>
      <c r="F1048">
        <f>'对齐'!C1048/'对齐'!C1047-1</f>
        <v/>
      </c>
      <c r="G1048">
        <f>'对齐'!C1048/'对齐'!C$2*100</f>
        <v/>
      </c>
      <c r="H1048">
        <f>'对齐'!C1048/MAX('对齐'!C$2:'对齐'!C1048)-1</f>
        <v/>
      </c>
      <c r="I1048">
        <f>IF(ROW()-2&gt;='参数'!$B$2,STDEV(OFFSET(F1048,1-'参数'!$B$2,0,'参数'!$B$2,1))*SQRT('参数'!$B$3),"")</f>
        <v/>
      </c>
    </row>
    <row r="1049">
      <c r="A1049">
        <f>'对齐'!A1049</f>
        <v/>
      </c>
      <c r="B1049">
        <f>'对齐'!B1049/'对齐'!B1048-1</f>
        <v/>
      </c>
      <c r="C1049">
        <f>'对齐'!B1049/'对齐'!B$2*100</f>
        <v/>
      </c>
      <c r="D1049">
        <f>'对齐'!B1049/MAX('对齐'!B$2:'对齐'!B1049)-1</f>
        <v/>
      </c>
      <c r="E1049">
        <f>IF(ROW()-2&gt;='参数'!$B$2,STDEV(OFFSET(B1049,1-'参数'!$B$2,0,'参数'!$B$2,1))*SQRT('参数'!$B$3),"")</f>
        <v/>
      </c>
      <c r="F1049">
        <f>'对齐'!C1049/'对齐'!C1048-1</f>
        <v/>
      </c>
      <c r="G1049">
        <f>'对齐'!C1049/'对齐'!C$2*100</f>
        <v/>
      </c>
      <c r="H1049">
        <f>'对齐'!C1049/MAX('对齐'!C$2:'对齐'!C1049)-1</f>
        <v/>
      </c>
      <c r="I1049">
        <f>IF(ROW()-2&gt;='参数'!$B$2,STDEV(OFFSET(F1049,1-'参数'!$B$2,0,'参数'!$B$2,1))*SQRT('参数'!$B$3),"")</f>
        <v/>
      </c>
    </row>
    <row r="1050">
      <c r="A1050">
        <f>'对齐'!A1050</f>
        <v/>
      </c>
      <c r="B1050">
        <f>'对齐'!B1050/'对齐'!B1049-1</f>
        <v/>
      </c>
      <c r="C1050">
        <f>'对齐'!B1050/'对齐'!B$2*100</f>
        <v/>
      </c>
      <c r="D1050">
        <f>'对齐'!B1050/MAX('对齐'!B$2:'对齐'!B1050)-1</f>
        <v/>
      </c>
      <c r="E1050">
        <f>IF(ROW()-2&gt;='参数'!$B$2,STDEV(OFFSET(B1050,1-'参数'!$B$2,0,'参数'!$B$2,1))*SQRT('参数'!$B$3),"")</f>
        <v/>
      </c>
      <c r="F1050">
        <f>'对齐'!C1050/'对齐'!C1049-1</f>
        <v/>
      </c>
      <c r="G1050">
        <f>'对齐'!C1050/'对齐'!C$2*100</f>
        <v/>
      </c>
      <c r="H1050">
        <f>'对齐'!C1050/MAX('对齐'!C$2:'对齐'!C1050)-1</f>
        <v/>
      </c>
      <c r="I1050">
        <f>IF(ROW()-2&gt;='参数'!$B$2,STDEV(OFFSET(F1050,1-'参数'!$B$2,0,'参数'!$B$2,1))*SQRT('参数'!$B$3),"")</f>
        <v/>
      </c>
    </row>
    <row r="1051">
      <c r="A1051">
        <f>'对齐'!A1051</f>
        <v/>
      </c>
      <c r="B1051">
        <f>'对齐'!B1051/'对齐'!B1050-1</f>
        <v/>
      </c>
      <c r="C1051">
        <f>'对齐'!B1051/'对齐'!B$2*100</f>
        <v/>
      </c>
      <c r="D1051">
        <f>'对齐'!B1051/MAX('对齐'!B$2:'对齐'!B1051)-1</f>
        <v/>
      </c>
      <c r="E1051">
        <f>IF(ROW()-2&gt;='参数'!$B$2,STDEV(OFFSET(B1051,1-'参数'!$B$2,0,'参数'!$B$2,1))*SQRT('参数'!$B$3),"")</f>
        <v/>
      </c>
      <c r="F1051">
        <f>'对齐'!C1051/'对齐'!C1050-1</f>
        <v/>
      </c>
      <c r="G1051">
        <f>'对齐'!C1051/'对齐'!C$2*100</f>
        <v/>
      </c>
      <c r="H1051">
        <f>'对齐'!C1051/MAX('对齐'!C$2:'对齐'!C1051)-1</f>
        <v/>
      </c>
      <c r="I1051">
        <f>IF(ROW()-2&gt;='参数'!$B$2,STDEV(OFFSET(F1051,1-'参数'!$B$2,0,'参数'!$B$2,1))*SQRT('参数'!$B$3),"")</f>
        <v/>
      </c>
    </row>
    <row r="1052">
      <c r="A1052">
        <f>'对齐'!A1052</f>
        <v/>
      </c>
      <c r="B1052">
        <f>'对齐'!B1052/'对齐'!B1051-1</f>
        <v/>
      </c>
      <c r="C1052">
        <f>'对齐'!B1052/'对齐'!B$2*100</f>
        <v/>
      </c>
      <c r="D1052">
        <f>'对齐'!B1052/MAX('对齐'!B$2:'对齐'!B1052)-1</f>
        <v/>
      </c>
      <c r="E1052">
        <f>IF(ROW()-2&gt;='参数'!$B$2,STDEV(OFFSET(B1052,1-'参数'!$B$2,0,'参数'!$B$2,1))*SQRT('参数'!$B$3),"")</f>
        <v/>
      </c>
      <c r="F1052">
        <f>'对齐'!C1052/'对齐'!C1051-1</f>
        <v/>
      </c>
      <c r="G1052">
        <f>'对齐'!C1052/'对齐'!C$2*100</f>
        <v/>
      </c>
      <c r="H1052">
        <f>'对齐'!C1052/MAX('对齐'!C$2:'对齐'!C1052)-1</f>
        <v/>
      </c>
      <c r="I1052">
        <f>IF(ROW()-2&gt;='参数'!$B$2,STDEV(OFFSET(F1052,1-'参数'!$B$2,0,'参数'!$B$2,1))*SQRT('参数'!$B$3),"")</f>
        <v/>
      </c>
    </row>
    <row r="1053">
      <c r="A1053">
        <f>'对齐'!A1053</f>
        <v/>
      </c>
      <c r="B1053">
        <f>'对齐'!B1053/'对齐'!B1052-1</f>
        <v/>
      </c>
      <c r="C1053">
        <f>'对齐'!B1053/'对齐'!B$2*100</f>
        <v/>
      </c>
      <c r="D1053">
        <f>'对齐'!B1053/MAX('对齐'!B$2:'对齐'!B1053)-1</f>
        <v/>
      </c>
      <c r="E1053">
        <f>IF(ROW()-2&gt;='参数'!$B$2,STDEV(OFFSET(B1053,1-'参数'!$B$2,0,'参数'!$B$2,1))*SQRT('参数'!$B$3),"")</f>
        <v/>
      </c>
      <c r="F1053">
        <f>'对齐'!C1053/'对齐'!C1052-1</f>
        <v/>
      </c>
      <c r="G1053">
        <f>'对齐'!C1053/'对齐'!C$2*100</f>
        <v/>
      </c>
      <c r="H1053">
        <f>'对齐'!C1053/MAX('对齐'!C$2:'对齐'!C1053)-1</f>
        <v/>
      </c>
      <c r="I1053">
        <f>IF(ROW()-2&gt;='参数'!$B$2,STDEV(OFFSET(F1053,1-'参数'!$B$2,0,'参数'!$B$2,1))*SQRT('参数'!$B$3),"")</f>
        <v/>
      </c>
    </row>
    <row r="1054">
      <c r="A1054">
        <f>'对齐'!A1054</f>
        <v/>
      </c>
      <c r="B1054">
        <f>'对齐'!B1054/'对齐'!B1053-1</f>
        <v/>
      </c>
      <c r="C1054">
        <f>'对齐'!B1054/'对齐'!B$2*100</f>
        <v/>
      </c>
      <c r="D1054">
        <f>'对齐'!B1054/MAX('对齐'!B$2:'对齐'!B1054)-1</f>
        <v/>
      </c>
      <c r="E1054">
        <f>IF(ROW()-2&gt;='参数'!$B$2,STDEV(OFFSET(B1054,1-'参数'!$B$2,0,'参数'!$B$2,1))*SQRT('参数'!$B$3),"")</f>
        <v/>
      </c>
      <c r="F1054">
        <f>'对齐'!C1054/'对齐'!C1053-1</f>
        <v/>
      </c>
      <c r="G1054">
        <f>'对齐'!C1054/'对齐'!C$2*100</f>
        <v/>
      </c>
      <c r="H1054">
        <f>'对齐'!C1054/MAX('对齐'!C$2:'对齐'!C1054)-1</f>
        <v/>
      </c>
      <c r="I1054">
        <f>IF(ROW()-2&gt;='参数'!$B$2,STDEV(OFFSET(F1054,1-'参数'!$B$2,0,'参数'!$B$2,1))*SQRT('参数'!$B$3),"")</f>
        <v/>
      </c>
    </row>
    <row r="1055">
      <c r="A1055">
        <f>'对齐'!A1055</f>
        <v/>
      </c>
      <c r="B1055">
        <f>'对齐'!B1055/'对齐'!B1054-1</f>
        <v/>
      </c>
      <c r="C1055">
        <f>'对齐'!B1055/'对齐'!B$2*100</f>
        <v/>
      </c>
      <c r="D1055">
        <f>'对齐'!B1055/MAX('对齐'!B$2:'对齐'!B1055)-1</f>
        <v/>
      </c>
      <c r="E1055">
        <f>IF(ROW()-2&gt;='参数'!$B$2,STDEV(OFFSET(B1055,1-'参数'!$B$2,0,'参数'!$B$2,1))*SQRT('参数'!$B$3),"")</f>
        <v/>
      </c>
      <c r="F1055">
        <f>'对齐'!C1055/'对齐'!C1054-1</f>
        <v/>
      </c>
      <c r="G1055">
        <f>'对齐'!C1055/'对齐'!C$2*100</f>
        <v/>
      </c>
      <c r="H1055">
        <f>'对齐'!C1055/MAX('对齐'!C$2:'对齐'!C1055)-1</f>
        <v/>
      </c>
      <c r="I1055">
        <f>IF(ROW()-2&gt;='参数'!$B$2,STDEV(OFFSET(F1055,1-'参数'!$B$2,0,'参数'!$B$2,1))*SQRT('参数'!$B$3),"")</f>
        <v/>
      </c>
    </row>
    <row r="1056">
      <c r="A1056">
        <f>'对齐'!A1056</f>
        <v/>
      </c>
      <c r="B1056">
        <f>'对齐'!B1056/'对齐'!B1055-1</f>
        <v/>
      </c>
      <c r="C1056">
        <f>'对齐'!B1056/'对齐'!B$2*100</f>
        <v/>
      </c>
      <c r="D1056">
        <f>'对齐'!B1056/MAX('对齐'!B$2:'对齐'!B1056)-1</f>
        <v/>
      </c>
      <c r="E1056">
        <f>IF(ROW()-2&gt;='参数'!$B$2,STDEV(OFFSET(B1056,1-'参数'!$B$2,0,'参数'!$B$2,1))*SQRT('参数'!$B$3),"")</f>
        <v/>
      </c>
      <c r="F1056">
        <f>'对齐'!C1056/'对齐'!C1055-1</f>
        <v/>
      </c>
      <c r="G1056">
        <f>'对齐'!C1056/'对齐'!C$2*100</f>
        <v/>
      </c>
      <c r="H1056">
        <f>'对齐'!C1056/MAX('对齐'!C$2:'对齐'!C1056)-1</f>
        <v/>
      </c>
      <c r="I1056">
        <f>IF(ROW()-2&gt;='参数'!$B$2,STDEV(OFFSET(F1056,1-'参数'!$B$2,0,'参数'!$B$2,1))*SQRT('参数'!$B$3),"")</f>
        <v/>
      </c>
    </row>
    <row r="1057">
      <c r="A1057">
        <f>'对齐'!A1057</f>
        <v/>
      </c>
      <c r="B1057">
        <f>'对齐'!B1057/'对齐'!B1056-1</f>
        <v/>
      </c>
      <c r="C1057">
        <f>'对齐'!B1057/'对齐'!B$2*100</f>
        <v/>
      </c>
      <c r="D1057">
        <f>'对齐'!B1057/MAX('对齐'!B$2:'对齐'!B1057)-1</f>
        <v/>
      </c>
      <c r="E1057">
        <f>IF(ROW()-2&gt;='参数'!$B$2,STDEV(OFFSET(B1057,1-'参数'!$B$2,0,'参数'!$B$2,1))*SQRT('参数'!$B$3),"")</f>
        <v/>
      </c>
      <c r="F1057">
        <f>'对齐'!C1057/'对齐'!C1056-1</f>
        <v/>
      </c>
      <c r="G1057">
        <f>'对齐'!C1057/'对齐'!C$2*100</f>
        <v/>
      </c>
      <c r="H1057">
        <f>'对齐'!C1057/MAX('对齐'!C$2:'对齐'!C1057)-1</f>
        <v/>
      </c>
      <c r="I1057">
        <f>IF(ROW()-2&gt;='参数'!$B$2,STDEV(OFFSET(F1057,1-'参数'!$B$2,0,'参数'!$B$2,1))*SQRT('参数'!$B$3),"")</f>
        <v/>
      </c>
    </row>
    <row r="1058">
      <c r="A1058">
        <f>'对齐'!A1058</f>
        <v/>
      </c>
      <c r="B1058">
        <f>'对齐'!B1058/'对齐'!B1057-1</f>
        <v/>
      </c>
      <c r="C1058">
        <f>'对齐'!B1058/'对齐'!B$2*100</f>
        <v/>
      </c>
      <c r="D1058">
        <f>'对齐'!B1058/MAX('对齐'!B$2:'对齐'!B1058)-1</f>
        <v/>
      </c>
      <c r="E1058">
        <f>IF(ROW()-2&gt;='参数'!$B$2,STDEV(OFFSET(B1058,1-'参数'!$B$2,0,'参数'!$B$2,1))*SQRT('参数'!$B$3),"")</f>
        <v/>
      </c>
      <c r="F1058">
        <f>'对齐'!C1058/'对齐'!C1057-1</f>
        <v/>
      </c>
      <c r="G1058">
        <f>'对齐'!C1058/'对齐'!C$2*100</f>
        <v/>
      </c>
      <c r="H1058">
        <f>'对齐'!C1058/MAX('对齐'!C$2:'对齐'!C1058)-1</f>
        <v/>
      </c>
      <c r="I1058">
        <f>IF(ROW()-2&gt;='参数'!$B$2,STDEV(OFFSET(F1058,1-'参数'!$B$2,0,'参数'!$B$2,1))*SQRT('参数'!$B$3),"")</f>
        <v/>
      </c>
    </row>
    <row r="1059">
      <c r="A1059">
        <f>'对齐'!A1059</f>
        <v/>
      </c>
      <c r="B1059">
        <f>'对齐'!B1059/'对齐'!B1058-1</f>
        <v/>
      </c>
      <c r="C1059">
        <f>'对齐'!B1059/'对齐'!B$2*100</f>
        <v/>
      </c>
      <c r="D1059">
        <f>'对齐'!B1059/MAX('对齐'!B$2:'对齐'!B1059)-1</f>
        <v/>
      </c>
      <c r="E1059">
        <f>IF(ROW()-2&gt;='参数'!$B$2,STDEV(OFFSET(B1059,1-'参数'!$B$2,0,'参数'!$B$2,1))*SQRT('参数'!$B$3),"")</f>
        <v/>
      </c>
      <c r="F1059">
        <f>'对齐'!C1059/'对齐'!C1058-1</f>
        <v/>
      </c>
      <c r="G1059">
        <f>'对齐'!C1059/'对齐'!C$2*100</f>
        <v/>
      </c>
      <c r="H1059">
        <f>'对齐'!C1059/MAX('对齐'!C$2:'对齐'!C1059)-1</f>
        <v/>
      </c>
      <c r="I1059">
        <f>IF(ROW()-2&gt;='参数'!$B$2,STDEV(OFFSET(F1059,1-'参数'!$B$2,0,'参数'!$B$2,1))*SQRT('参数'!$B$3),"")</f>
        <v/>
      </c>
    </row>
    <row r="1060">
      <c r="A1060">
        <f>'对齐'!A1060</f>
        <v/>
      </c>
      <c r="B1060">
        <f>'对齐'!B1060/'对齐'!B1059-1</f>
        <v/>
      </c>
      <c r="C1060">
        <f>'对齐'!B1060/'对齐'!B$2*100</f>
        <v/>
      </c>
      <c r="D1060">
        <f>'对齐'!B1060/MAX('对齐'!B$2:'对齐'!B1060)-1</f>
        <v/>
      </c>
      <c r="E1060">
        <f>IF(ROW()-2&gt;='参数'!$B$2,STDEV(OFFSET(B1060,1-'参数'!$B$2,0,'参数'!$B$2,1))*SQRT('参数'!$B$3),"")</f>
        <v/>
      </c>
      <c r="F1060">
        <f>'对齐'!C1060/'对齐'!C1059-1</f>
        <v/>
      </c>
      <c r="G1060">
        <f>'对齐'!C1060/'对齐'!C$2*100</f>
        <v/>
      </c>
      <c r="H1060">
        <f>'对齐'!C1060/MAX('对齐'!C$2:'对齐'!C1060)-1</f>
        <v/>
      </c>
      <c r="I1060">
        <f>IF(ROW()-2&gt;='参数'!$B$2,STDEV(OFFSET(F1060,1-'参数'!$B$2,0,'参数'!$B$2,1))*SQRT('参数'!$B$3),"")</f>
        <v/>
      </c>
    </row>
    <row r="1061">
      <c r="A1061">
        <f>'对齐'!A1061</f>
        <v/>
      </c>
      <c r="B1061">
        <f>'对齐'!B1061/'对齐'!B1060-1</f>
        <v/>
      </c>
      <c r="C1061">
        <f>'对齐'!B1061/'对齐'!B$2*100</f>
        <v/>
      </c>
      <c r="D1061">
        <f>'对齐'!B1061/MAX('对齐'!B$2:'对齐'!B1061)-1</f>
        <v/>
      </c>
      <c r="E1061">
        <f>IF(ROW()-2&gt;='参数'!$B$2,STDEV(OFFSET(B1061,1-'参数'!$B$2,0,'参数'!$B$2,1))*SQRT('参数'!$B$3),"")</f>
        <v/>
      </c>
      <c r="F1061">
        <f>'对齐'!C1061/'对齐'!C1060-1</f>
        <v/>
      </c>
      <c r="G1061">
        <f>'对齐'!C1061/'对齐'!C$2*100</f>
        <v/>
      </c>
      <c r="H1061">
        <f>'对齐'!C1061/MAX('对齐'!C$2:'对齐'!C1061)-1</f>
        <v/>
      </c>
      <c r="I1061">
        <f>IF(ROW()-2&gt;='参数'!$B$2,STDEV(OFFSET(F1061,1-'参数'!$B$2,0,'参数'!$B$2,1))*SQRT('参数'!$B$3),"")</f>
        <v/>
      </c>
    </row>
    <row r="1062">
      <c r="A1062">
        <f>'对齐'!A1062</f>
        <v/>
      </c>
      <c r="B1062">
        <f>'对齐'!B1062/'对齐'!B1061-1</f>
        <v/>
      </c>
      <c r="C1062">
        <f>'对齐'!B1062/'对齐'!B$2*100</f>
        <v/>
      </c>
      <c r="D1062">
        <f>'对齐'!B1062/MAX('对齐'!B$2:'对齐'!B1062)-1</f>
        <v/>
      </c>
      <c r="E1062">
        <f>IF(ROW()-2&gt;='参数'!$B$2,STDEV(OFFSET(B1062,1-'参数'!$B$2,0,'参数'!$B$2,1))*SQRT('参数'!$B$3),"")</f>
        <v/>
      </c>
      <c r="F1062">
        <f>'对齐'!C1062/'对齐'!C1061-1</f>
        <v/>
      </c>
      <c r="G1062">
        <f>'对齐'!C1062/'对齐'!C$2*100</f>
        <v/>
      </c>
      <c r="H1062">
        <f>'对齐'!C1062/MAX('对齐'!C$2:'对齐'!C1062)-1</f>
        <v/>
      </c>
      <c r="I1062">
        <f>IF(ROW()-2&gt;='参数'!$B$2,STDEV(OFFSET(F1062,1-'参数'!$B$2,0,'参数'!$B$2,1))*SQRT('参数'!$B$3),"")</f>
        <v/>
      </c>
    </row>
    <row r="1063">
      <c r="A1063">
        <f>'对齐'!A1063</f>
        <v/>
      </c>
      <c r="B1063">
        <f>'对齐'!B1063/'对齐'!B1062-1</f>
        <v/>
      </c>
      <c r="C1063">
        <f>'对齐'!B1063/'对齐'!B$2*100</f>
        <v/>
      </c>
      <c r="D1063">
        <f>'对齐'!B1063/MAX('对齐'!B$2:'对齐'!B1063)-1</f>
        <v/>
      </c>
      <c r="E1063">
        <f>IF(ROW()-2&gt;='参数'!$B$2,STDEV(OFFSET(B1063,1-'参数'!$B$2,0,'参数'!$B$2,1))*SQRT('参数'!$B$3),"")</f>
        <v/>
      </c>
      <c r="F1063">
        <f>'对齐'!C1063/'对齐'!C1062-1</f>
        <v/>
      </c>
      <c r="G1063">
        <f>'对齐'!C1063/'对齐'!C$2*100</f>
        <v/>
      </c>
      <c r="H1063">
        <f>'对齐'!C1063/MAX('对齐'!C$2:'对齐'!C1063)-1</f>
        <v/>
      </c>
      <c r="I1063">
        <f>IF(ROW()-2&gt;='参数'!$B$2,STDEV(OFFSET(F1063,1-'参数'!$B$2,0,'参数'!$B$2,1))*SQRT('参数'!$B$3),"")</f>
        <v/>
      </c>
    </row>
    <row r="1064">
      <c r="A1064">
        <f>'对齐'!A1064</f>
        <v/>
      </c>
      <c r="B1064">
        <f>'对齐'!B1064/'对齐'!B1063-1</f>
        <v/>
      </c>
      <c r="C1064">
        <f>'对齐'!B1064/'对齐'!B$2*100</f>
        <v/>
      </c>
      <c r="D1064">
        <f>'对齐'!B1064/MAX('对齐'!B$2:'对齐'!B1064)-1</f>
        <v/>
      </c>
      <c r="E1064">
        <f>IF(ROW()-2&gt;='参数'!$B$2,STDEV(OFFSET(B1064,1-'参数'!$B$2,0,'参数'!$B$2,1))*SQRT('参数'!$B$3),"")</f>
        <v/>
      </c>
      <c r="F1064">
        <f>'对齐'!C1064/'对齐'!C1063-1</f>
        <v/>
      </c>
      <c r="G1064">
        <f>'对齐'!C1064/'对齐'!C$2*100</f>
        <v/>
      </c>
      <c r="H1064">
        <f>'对齐'!C1064/MAX('对齐'!C$2:'对齐'!C1064)-1</f>
        <v/>
      </c>
      <c r="I1064">
        <f>IF(ROW()-2&gt;='参数'!$B$2,STDEV(OFFSET(F1064,1-'参数'!$B$2,0,'参数'!$B$2,1))*SQRT('参数'!$B$3),"")</f>
        <v/>
      </c>
    </row>
    <row r="1065">
      <c r="A1065">
        <f>'对齐'!A1065</f>
        <v/>
      </c>
      <c r="B1065">
        <f>'对齐'!B1065/'对齐'!B1064-1</f>
        <v/>
      </c>
      <c r="C1065">
        <f>'对齐'!B1065/'对齐'!B$2*100</f>
        <v/>
      </c>
      <c r="D1065">
        <f>'对齐'!B1065/MAX('对齐'!B$2:'对齐'!B1065)-1</f>
        <v/>
      </c>
      <c r="E1065">
        <f>IF(ROW()-2&gt;='参数'!$B$2,STDEV(OFFSET(B1065,1-'参数'!$B$2,0,'参数'!$B$2,1))*SQRT('参数'!$B$3),"")</f>
        <v/>
      </c>
      <c r="F1065">
        <f>'对齐'!C1065/'对齐'!C1064-1</f>
        <v/>
      </c>
      <c r="G1065">
        <f>'对齐'!C1065/'对齐'!C$2*100</f>
        <v/>
      </c>
      <c r="H1065">
        <f>'对齐'!C1065/MAX('对齐'!C$2:'对齐'!C1065)-1</f>
        <v/>
      </c>
      <c r="I1065">
        <f>IF(ROW()-2&gt;='参数'!$B$2,STDEV(OFFSET(F1065,1-'参数'!$B$2,0,'参数'!$B$2,1))*SQRT('参数'!$B$3),"")</f>
        <v/>
      </c>
    </row>
    <row r="1066">
      <c r="A1066">
        <f>'对齐'!A1066</f>
        <v/>
      </c>
      <c r="B1066">
        <f>'对齐'!B1066/'对齐'!B1065-1</f>
        <v/>
      </c>
      <c r="C1066">
        <f>'对齐'!B1066/'对齐'!B$2*100</f>
        <v/>
      </c>
      <c r="D1066">
        <f>'对齐'!B1066/MAX('对齐'!B$2:'对齐'!B1066)-1</f>
        <v/>
      </c>
      <c r="E1066">
        <f>IF(ROW()-2&gt;='参数'!$B$2,STDEV(OFFSET(B1066,1-'参数'!$B$2,0,'参数'!$B$2,1))*SQRT('参数'!$B$3),"")</f>
        <v/>
      </c>
      <c r="F1066">
        <f>'对齐'!C1066/'对齐'!C1065-1</f>
        <v/>
      </c>
      <c r="G1066">
        <f>'对齐'!C1066/'对齐'!C$2*100</f>
        <v/>
      </c>
      <c r="H1066">
        <f>'对齐'!C1066/MAX('对齐'!C$2:'对齐'!C1066)-1</f>
        <v/>
      </c>
      <c r="I1066">
        <f>IF(ROW()-2&gt;='参数'!$B$2,STDEV(OFFSET(F1066,1-'参数'!$B$2,0,'参数'!$B$2,1))*SQRT('参数'!$B$3),"")</f>
        <v/>
      </c>
    </row>
    <row r="1067">
      <c r="A1067">
        <f>'对齐'!A1067</f>
        <v/>
      </c>
      <c r="B1067">
        <f>'对齐'!B1067/'对齐'!B1066-1</f>
        <v/>
      </c>
      <c r="C1067">
        <f>'对齐'!B1067/'对齐'!B$2*100</f>
        <v/>
      </c>
      <c r="D1067">
        <f>'对齐'!B1067/MAX('对齐'!B$2:'对齐'!B1067)-1</f>
        <v/>
      </c>
      <c r="E1067">
        <f>IF(ROW()-2&gt;='参数'!$B$2,STDEV(OFFSET(B1067,1-'参数'!$B$2,0,'参数'!$B$2,1))*SQRT('参数'!$B$3),"")</f>
        <v/>
      </c>
      <c r="F1067">
        <f>'对齐'!C1067/'对齐'!C1066-1</f>
        <v/>
      </c>
      <c r="G1067">
        <f>'对齐'!C1067/'对齐'!C$2*100</f>
        <v/>
      </c>
      <c r="H1067">
        <f>'对齐'!C1067/MAX('对齐'!C$2:'对齐'!C1067)-1</f>
        <v/>
      </c>
      <c r="I1067">
        <f>IF(ROW()-2&gt;='参数'!$B$2,STDEV(OFFSET(F1067,1-'参数'!$B$2,0,'参数'!$B$2,1))*SQRT('参数'!$B$3),"")</f>
        <v/>
      </c>
    </row>
    <row r="1068">
      <c r="A1068">
        <f>'对齐'!A1068</f>
        <v/>
      </c>
      <c r="B1068">
        <f>'对齐'!B1068/'对齐'!B1067-1</f>
        <v/>
      </c>
      <c r="C1068">
        <f>'对齐'!B1068/'对齐'!B$2*100</f>
        <v/>
      </c>
      <c r="D1068">
        <f>'对齐'!B1068/MAX('对齐'!B$2:'对齐'!B1068)-1</f>
        <v/>
      </c>
      <c r="E1068">
        <f>IF(ROW()-2&gt;='参数'!$B$2,STDEV(OFFSET(B1068,1-'参数'!$B$2,0,'参数'!$B$2,1))*SQRT('参数'!$B$3),"")</f>
        <v/>
      </c>
      <c r="F1068">
        <f>'对齐'!C1068/'对齐'!C1067-1</f>
        <v/>
      </c>
      <c r="G1068">
        <f>'对齐'!C1068/'对齐'!C$2*100</f>
        <v/>
      </c>
      <c r="H1068">
        <f>'对齐'!C1068/MAX('对齐'!C$2:'对齐'!C1068)-1</f>
        <v/>
      </c>
      <c r="I1068">
        <f>IF(ROW()-2&gt;='参数'!$B$2,STDEV(OFFSET(F1068,1-'参数'!$B$2,0,'参数'!$B$2,1))*SQRT('参数'!$B$3),"")</f>
        <v/>
      </c>
    </row>
    <row r="1069">
      <c r="A1069">
        <f>'对齐'!A1069</f>
        <v/>
      </c>
      <c r="B1069">
        <f>'对齐'!B1069/'对齐'!B1068-1</f>
        <v/>
      </c>
      <c r="C1069">
        <f>'对齐'!B1069/'对齐'!B$2*100</f>
        <v/>
      </c>
      <c r="D1069">
        <f>'对齐'!B1069/MAX('对齐'!B$2:'对齐'!B1069)-1</f>
        <v/>
      </c>
      <c r="E1069">
        <f>IF(ROW()-2&gt;='参数'!$B$2,STDEV(OFFSET(B1069,1-'参数'!$B$2,0,'参数'!$B$2,1))*SQRT('参数'!$B$3),"")</f>
        <v/>
      </c>
      <c r="F1069">
        <f>'对齐'!C1069/'对齐'!C1068-1</f>
        <v/>
      </c>
      <c r="G1069">
        <f>'对齐'!C1069/'对齐'!C$2*100</f>
        <v/>
      </c>
      <c r="H1069">
        <f>'对齐'!C1069/MAX('对齐'!C$2:'对齐'!C1069)-1</f>
        <v/>
      </c>
      <c r="I1069">
        <f>IF(ROW()-2&gt;='参数'!$B$2,STDEV(OFFSET(F1069,1-'参数'!$B$2,0,'参数'!$B$2,1))*SQRT('参数'!$B$3),"")</f>
        <v/>
      </c>
    </row>
    <row r="1070">
      <c r="A1070">
        <f>'对齐'!A1070</f>
        <v/>
      </c>
      <c r="B1070">
        <f>'对齐'!B1070/'对齐'!B1069-1</f>
        <v/>
      </c>
      <c r="C1070">
        <f>'对齐'!B1070/'对齐'!B$2*100</f>
        <v/>
      </c>
      <c r="D1070">
        <f>'对齐'!B1070/MAX('对齐'!B$2:'对齐'!B1070)-1</f>
        <v/>
      </c>
      <c r="E1070">
        <f>IF(ROW()-2&gt;='参数'!$B$2,STDEV(OFFSET(B1070,1-'参数'!$B$2,0,'参数'!$B$2,1))*SQRT('参数'!$B$3),"")</f>
        <v/>
      </c>
      <c r="F1070">
        <f>'对齐'!C1070/'对齐'!C1069-1</f>
        <v/>
      </c>
      <c r="G1070">
        <f>'对齐'!C1070/'对齐'!C$2*100</f>
        <v/>
      </c>
      <c r="H1070">
        <f>'对齐'!C1070/MAX('对齐'!C$2:'对齐'!C1070)-1</f>
        <v/>
      </c>
      <c r="I1070">
        <f>IF(ROW()-2&gt;='参数'!$B$2,STDEV(OFFSET(F1070,1-'参数'!$B$2,0,'参数'!$B$2,1))*SQRT('参数'!$B$3),"")</f>
        <v/>
      </c>
    </row>
    <row r="1071">
      <c r="A1071">
        <f>'对齐'!A1071</f>
        <v/>
      </c>
      <c r="B1071">
        <f>'对齐'!B1071/'对齐'!B1070-1</f>
        <v/>
      </c>
      <c r="C1071">
        <f>'对齐'!B1071/'对齐'!B$2*100</f>
        <v/>
      </c>
      <c r="D1071">
        <f>'对齐'!B1071/MAX('对齐'!B$2:'对齐'!B1071)-1</f>
        <v/>
      </c>
      <c r="E1071">
        <f>IF(ROW()-2&gt;='参数'!$B$2,STDEV(OFFSET(B1071,1-'参数'!$B$2,0,'参数'!$B$2,1))*SQRT('参数'!$B$3),"")</f>
        <v/>
      </c>
      <c r="F1071">
        <f>'对齐'!C1071/'对齐'!C1070-1</f>
        <v/>
      </c>
      <c r="G1071">
        <f>'对齐'!C1071/'对齐'!C$2*100</f>
        <v/>
      </c>
      <c r="H1071">
        <f>'对齐'!C1071/MAX('对齐'!C$2:'对齐'!C1071)-1</f>
        <v/>
      </c>
      <c r="I1071">
        <f>IF(ROW()-2&gt;='参数'!$B$2,STDEV(OFFSET(F1071,1-'参数'!$B$2,0,'参数'!$B$2,1))*SQRT('参数'!$B$3),"")</f>
        <v/>
      </c>
    </row>
    <row r="1072">
      <c r="A1072">
        <f>'对齐'!A1072</f>
        <v/>
      </c>
      <c r="B1072">
        <f>'对齐'!B1072/'对齐'!B1071-1</f>
        <v/>
      </c>
      <c r="C1072">
        <f>'对齐'!B1072/'对齐'!B$2*100</f>
        <v/>
      </c>
      <c r="D1072">
        <f>'对齐'!B1072/MAX('对齐'!B$2:'对齐'!B1072)-1</f>
        <v/>
      </c>
      <c r="E1072">
        <f>IF(ROW()-2&gt;='参数'!$B$2,STDEV(OFFSET(B1072,1-'参数'!$B$2,0,'参数'!$B$2,1))*SQRT('参数'!$B$3),"")</f>
        <v/>
      </c>
      <c r="F1072">
        <f>'对齐'!C1072/'对齐'!C1071-1</f>
        <v/>
      </c>
      <c r="G1072">
        <f>'对齐'!C1072/'对齐'!C$2*100</f>
        <v/>
      </c>
      <c r="H1072">
        <f>'对齐'!C1072/MAX('对齐'!C$2:'对齐'!C1072)-1</f>
        <v/>
      </c>
      <c r="I1072">
        <f>IF(ROW()-2&gt;='参数'!$B$2,STDEV(OFFSET(F1072,1-'参数'!$B$2,0,'参数'!$B$2,1))*SQRT('参数'!$B$3),"")</f>
        <v/>
      </c>
    </row>
    <row r="1073">
      <c r="A1073">
        <f>'对齐'!A1073</f>
        <v/>
      </c>
      <c r="B1073">
        <f>'对齐'!B1073/'对齐'!B1072-1</f>
        <v/>
      </c>
      <c r="C1073">
        <f>'对齐'!B1073/'对齐'!B$2*100</f>
        <v/>
      </c>
      <c r="D1073">
        <f>'对齐'!B1073/MAX('对齐'!B$2:'对齐'!B1073)-1</f>
        <v/>
      </c>
      <c r="E1073">
        <f>IF(ROW()-2&gt;='参数'!$B$2,STDEV(OFFSET(B1073,1-'参数'!$B$2,0,'参数'!$B$2,1))*SQRT('参数'!$B$3),"")</f>
        <v/>
      </c>
      <c r="F1073">
        <f>'对齐'!C1073/'对齐'!C1072-1</f>
        <v/>
      </c>
      <c r="G1073">
        <f>'对齐'!C1073/'对齐'!C$2*100</f>
        <v/>
      </c>
      <c r="H1073">
        <f>'对齐'!C1073/MAX('对齐'!C$2:'对齐'!C1073)-1</f>
        <v/>
      </c>
      <c r="I1073">
        <f>IF(ROW()-2&gt;='参数'!$B$2,STDEV(OFFSET(F1073,1-'参数'!$B$2,0,'参数'!$B$2,1))*SQRT('参数'!$B$3),"")</f>
        <v/>
      </c>
    </row>
    <row r="1074">
      <c r="A1074">
        <f>'对齐'!A1074</f>
        <v/>
      </c>
      <c r="B1074">
        <f>'对齐'!B1074/'对齐'!B1073-1</f>
        <v/>
      </c>
      <c r="C1074">
        <f>'对齐'!B1074/'对齐'!B$2*100</f>
        <v/>
      </c>
      <c r="D1074">
        <f>'对齐'!B1074/MAX('对齐'!B$2:'对齐'!B1074)-1</f>
        <v/>
      </c>
      <c r="E1074">
        <f>IF(ROW()-2&gt;='参数'!$B$2,STDEV(OFFSET(B1074,1-'参数'!$B$2,0,'参数'!$B$2,1))*SQRT('参数'!$B$3),"")</f>
        <v/>
      </c>
      <c r="F1074">
        <f>'对齐'!C1074/'对齐'!C1073-1</f>
        <v/>
      </c>
      <c r="G1074">
        <f>'对齐'!C1074/'对齐'!C$2*100</f>
        <v/>
      </c>
      <c r="H1074">
        <f>'对齐'!C1074/MAX('对齐'!C$2:'对齐'!C1074)-1</f>
        <v/>
      </c>
      <c r="I1074">
        <f>IF(ROW()-2&gt;='参数'!$B$2,STDEV(OFFSET(F1074,1-'参数'!$B$2,0,'参数'!$B$2,1))*SQRT('参数'!$B$3),"")</f>
        <v/>
      </c>
    </row>
    <row r="1075">
      <c r="A1075">
        <f>'对齐'!A1075</f>
        <v/>
      </c>
      <c r="B1075">
        <f>'对齐'!B1075/'对齐'!B1074-1</f>
        <v/>
      </c>
      <c r="C1075">
        <f>'对齐'!B1075/'对齐'!B$2*100</f>
        <v/>
      </c>
      <c r="D1075">
        <f>'对齐'!B1075/MAX('对齐'!B$2:'对齐'!B1075)-1</f>
        <v/>
      </c>
      <c r="E1075">
        <f>IF(ROW()-2&gt;='参数'!$B$2,STDEV(OFFSET(B1075,1-'参数'!$B$2,0,'参数'!$B$2,1))*SQRT('参数'!$B$3),"")</f>
        <v/>
      </c>
      <c r="F1075">
        <f>'对齐'!C1075/'对齐'!C1074-1</f>
        <v/>
      </c>
      <c r="G1075">
        <f>'对齐'!C1075/'对齐'!C$2*100</f>
        <v/>
      </c>
      <c r="H1075">
        <f>'对齐'!C1075/MAX('对齐'!C$2:'对齐'!C1075)-1</f>
        <v/>
      </c>
      <c r="I1075">
        <f>IF(ROW()-2&gt;='参数'!$B$2,STDEV(OFFSET(F1075,1-'参数'!$B$2,0,'参数'!$B$2,1))*SQRT('参数'!$B$3),"")</f>
        <v/>
      </c>
    </row>
    <row r="1076">
      <c r="A1076">
        <f>'对齐'!A1076</f>
        <v/>
      </c>
      <c r="B1076">
        <f>'对齐'!B1076/'对齐'!B1075-1</f>
        <v/>
      </c>
      <c r="C1076">
        <f>'对齐'!B1076/'对齐'!B$2*100</f>
        <v/>
      </c>
      <c r="D1076">
        <f>'对齐'!B1076/MAX('对齐'!B$2:'对齐'!B1076)-1</f>
        <v/>
      </c>
      <c r="E1076">
        <f>IF(ROW()-2&gt;='参数'!$B$2,STDEV(OFFSET(B1076,1-'参数'!$B$2,0,'参数'!$B$2,1))*SQRT('参数'!$B$3),"")</f>
        <v/>
      </c>
      <c r="F1076">
        <f>'对齐'!C1076/'对齐'!C1075-1</f>
        <v/>
      </c>
      <c r="G1076">
        <f>'对齐'!C1076/'对齐'!C$2*100</f>
        <v/>
      </c>
      <c r="H1076">
        <f>'对齐'!C1076/MAX('对齐'!C$2:'对齐'!C1076)-1</f>
        <v/>
      </c>
      <c r="I1076">
        <f>IF(ROW()-2&gt;='参数'!$B$2,STDEV(OFFSET(F1076,1-'参数'!$B$2,0,'参数'!$B$2,1))*SQRT('参数'!$B$3),"")</f>
        <v/>
      </c>
    </row>
    <row r="1077">
      <c r="A1077">
        <f>'对齐'!A1077</f>
        <v/>
      </c>
      <c r="B1077">
        <f>'对齐'!B1077/'对齐'!B1076-1</f>
        <v/>
      </c>
      <c r="C1077">
        <f>'对齐'!B1077/'对齐'!B$2*100</f>
        <v/>
      </c>
      <c r="D1077">
        <f>'对齐'!B1077/MAX('对齐'!B$2:'对齐'!B1077)-1</f>
        <v/>
      </c>
      <c r="E1077">
        <f>IF(ROW()-2&gt;='参数'!$B$2,STDEV(OFFSET(B1077,1-'参数'!$B$2,0,'参数'!$B$2,1))*SQRT('参数'!$B$3),"")</f>
        <v/>
      </c>
      <c r="F1077">
        <f>'对齐'!C1077/'对齐'!C1076-1</f>
        <v/>
      </c>
      <c r="G1077">
        <f>'对齐'!C1077/'对齐'!C$2*100</f>
        <v/>
      </c>
      <c r="H1077">
        <f>'对齐'!C1077/MAX('对齐'!C$2:'对齐'!C1077)-1</f>
        <v/>
      </c>
      <c r="I1077">
        <f>IF(ROW()-2&gt;='参数'!$B$2,STDEV(OFFSET(F1077,1-'参数'!$B$2,0,'参数'!$B$2,1))*SQRT('参数'!$B$3),"")</f>
        <v/>
      </c>
    </row>
    <row r="1078">
      <c r="A1078">
        <f>'对齐'!A1078</f>
        <v/>
      </c>
      <c r="B1078">
        <f>'对齐'!B1078/'对齐'!B1077-1</f>
        <v/>
      </c>
      <c r="C1078">
        <f>'对齐'!B1078/'对齐'!B$2*100</f>
        <v/>
      </c>
      <c r="D1078">
        <f>'对齐'!B1078/MAX('对齐'!B$2:'对齐'!B1078)-1</f>
        <v/>
      </c>
      <c r="E1078">
        <f>IF(ROW()-2&gt;='参数'!$B$2,STDEV(OFFSET(B1078,1-'参数'!$B$2,0,'参数'!$B$2,1))*SQRT('参数'!$B$3),"")</f>
        <v/>
      </c>
      <c r="F1078">
        <f>'对齐'!C1078/'对齐'!C1077-1</f>
        <v/>
      </c>
      <c r="G1078">
        <f>'对齐'!C1078/'对齐'!C$2*100</f>
        <v/>
      </c>
      <c r="H1078">
        <f>'对齐'!C1078/MAX('对齐'!C$2:'对齐'!C1078)-1</f>
        <v/>
      </c>
      <c r="I1078">
        <f>IF(ROW()-2&gt;='参数'!$B$2,STDEV(OFFSET(F1078,1-'参数'!$B$2,0,'参数'!$B$2,1))*SQRT('参数'!$B$3),"")</f>
        <v/>
      </c>
    </row>
    <row r="1079">
      <c r="A1079">
        <f>'对齐'!A1079</f>
        <v/>
      </c>
      <c r="B1079">
        <f>'对齐'!B1079/'对齐'!B1078-1</f>
        <v/>
      </c>
      <c r="C1079">
        <f>'对齐'!B1079/'对齐'!B$2*100</f>
        <v/>
      </c>
      <c r="D1079">
        <f>'对齐'!B1079/MAX('对齐'!B$2:'对齐'!B1079)-1</f>
        <v/>
      </c>
      <c r="E1079">
        <f>IF(ROW()-2&gt;='参数'!$B$2,STDEV(OFFSET(B1079,1-'参数'!$B$2,0,'参数'!$B$2,1))*SQRT('参数'!$B$3),"")</f>
        <v/>
      </c>
      <c r="F1079">
        <f>'对齐'!C1079/'对齐'!C1078-1</f>
        <v/>
      </c>
      <c r="G1079">
        <f>'对齐'!C1079/'对齐'!C$2*100</f>
        <v/>
      </c>
      <c r="H1079">
        <f>'对齐'!C1079/MAX('对齐'!C$2:'对齐'!C1079)-1</f>
        <v/>
      </c>
      <c r="I1079">
        <f>IF(ROW()-2&gt;='参数'!$B$2,STDEV(OFFSET(F1079,1-'参数'!$B$2,0,'参数'!$B$2,1))*SQRT('参数'!$B$3),"")</f>
        <v/>
      </c>
    </row>
    <row r="1080">
      <c r="A1080">
        <f>'对齐'!A1080</f>
        <v/>
      </c>
      <c r="B1080">
        <f>'对齐'!B1080/'对齐'!B1079-1</f>
        <v/>
      </c>
      <c r="C1080">
        <f>'对齐'!B1080/'对齐'!B$2*100</f>
        <v/>
      </c>
      <c r="D1080">
        <f>'对齐'!B1080/MAX('对齐'!B$2:'对齐'!B1080)-1</f>
        <v/>
      </c>
      <c r="E1080">
        <f>IF(ROW()-2&gt;='参数'!$B$2,STDEV(OFFSET(B1080,1-'参数'!$B$2,0,'参数'!$B$2,1))*SQRT('参数'!$B$3),"")</f>
        <v/>
      </c>
      <c r="F1080">
        <f>'对齐'!C1080/'对齐'!C1079-1</f>
        <v/>
      </c>
      <c r="G1080">
        <f>'对齐'!C1080/'对齐'!C$2*100</f>
        <v/>
      </c>
      <c r="H1080">
        <f>'对齐'!C1080/MAX('对齐'!C$2:'对齐'!C1080)-1</f>
        <v/>
      </c>
      <c r="I1080">
        <f>IF(ROW()-2&gt;='参数'!$B$2,STDEV(OFFSET(F1080,1-'参数'!$B$2,0,'参数'!$B$2,1))*SQRT('参数'!$B$3),"")</f>
        <v/>
      </c>
    </row>
    <row r="1081">
      <c r="A1081">
        <f>'对齐'!A1081</f>
        <v/>
      </c>
      <c r="B1081">
        <f>'对齐'!B1081/'对齐'!B1080-1</f>
        <v/>
      </c>
      <c r="C1081">
        <f>'对齐'!B1081/'对齐'!B$2*100</f>
        <v/>
      </c>
      <c r="D1081">
        <f>'对齐'!B1081/MAX('对齐'!B$2:'对齐'!B1081)-1</f>
        <v/>
      </c>
      <c r="E1081">
        <f>IF(ROW()-2&gt;='参数'!$B$2,STDEV(OFFSET(B1081,1-'参数'!$B$2,0,'参数'!$B$2,1))*SQRT('参数'!$B$3),"")</f>
        <v/>
      </c>
      <c r="F1081">
        <f>'对齐'!C1081/'对齐'!C1080-1</f>
        <v/>
      </c>
      <c r="G1081">
        <f>'对齐'!C1081/'对齐'!C$2*100</f>
        <v/>
      </c>
      <c r="H1081">
        <f>'对齐'!C1081/MAX('对齐'!C$2:'对齐'!C1081)-1</f>
        <v/>
      </c>
      <c r="I1081">
        <f>IF(ROW()-2&gt;='参数'!$B$2,STDEV(OFFSET(F1081,1-'参数'!$B$2,0,'参数'!$B$2,1))*SQRT('参数'!$B$3),"")</f>
        <v/>
      </c>
    </row>
    <row r="1082">
      <c r="A1082">
        <f>'对齐'!A1082</f>
        <v/>
      </c>
      <c r="B1082">
        <f>'对齐'!B1082/'对齐'!B1081-1</f>
        <v/>
      </c>
      <c r="C1082">
        <f>'对齐'!B1082/'对齐'!B$2*100</f>
        <v/>
      </c>
      <c r="D1082">
        <f>'对齐'!B1082/MAX('对齐'!B$2:'对齐'!B1082)-1</f>
        <v/>
      </c>
      <c r="E1082">
        <f>IF(ROW()-2&gt;='参数'!$B$2,STDEV(OFFSET(B1082,1-'参数'!$B$2,0,'参数'!$B$2,1))*SQRT('参数'!$B$3),"")</f>
        <v/>
      </c>
      <c r="F1082">
        <f>'对齐'!C1082/'对齐'!C1081-1</f>
        <v/>
      </c>
      <c r="G1082">
        <f>'对齐'!C1082/'对齐'!C$2*100</f>
        <v/>
      </c>
      <c r="H1082">
        <f>'对齐'!C1082/MAX('对齐'!C$2:'对齐'!C1082)-1</f>
        <v/>
      </c>
      <c r="I1082">
        <f>IF(ROW()-2&gt;='参数'!$B$2,STDEV(OFFSET(F1082,1-'参数'!$B$2,0,'参数'!$B$2,1))*SQRT('参数'!$B$3),"")</f>
        <v/>
      </c>
    </row>
    <row r="1083">
      <c r="A1083">
        <f>'对齐'!A1083</f>
        <v/>
      </c>
      <c r="B1083">
        <f>'对齐'!B1083/'对齐'!B1082-1</f>
        <v/>
      </c>
      <c r="C1083">
        <f>'对齐'!B1083/'对齐'!B$2*100</f>
        <v/>
      </c>
      <c r="D1083">
        <f>'对齐'!B1083/MAX('对齐'!B$2:'对齐'!B1083)-1</f>
        <v/>
      </c>
      <c r="E1083">
        <f>IF(ROW()-2&gt;='参数'!$B$2,STDEV(OFFSET(B1083,1-'参数'!$B$2,0,'参数'!$B$2,1))*SQRT('参数'!$B$3),"")</f>
        <v/>
      </c>
      <c r="F1083">
        <f>'对齐'!C1083/'对齐'!C1082-1</f>
        <v/>
      </c>
      <c r="G1083">
        <f>'对齐'!C1083/'对齐'!C$2*100</f>
        <v/>
      </c>
      <c r="H1083">
        <f>'对齐'!C1083/MAX('对齐'!C$2:'对齐'!C1083)-1</f>
        <v/>
      </c>
      <c r="I1083">
        <f>IF(ROW()-2&gt;='参数'!$B$2,STDEV(OFFSET(F1083,1-'参数'!$B$2,0,'参数'!$B$2,1))*SQRT('参数'!$B$3),"")</f>
        <v/>
      </c>
    </row>
    <row r="1084">
      <c r="A1084">
        <f>'对齐'!A1084</f>
        <v/>
      </c>
      <c r="B1084">
        <f>'对齐'!B1084/'对齐'!B1083-1</f>
        <v/>
      </c>
      <c r="C1084">
        <f>'对齐'!B1084/'对齐'!B$2*100</f>
        <v/>
      </c>
      <c r="D1084">
        <f>'对齐'!B1084/MAX('对齐'!B$2:'对齐'!B1084)-1</f>
        <v/>
      </c>
      <c r="E1084">
        <f>IF(ROW()-2&gt;='参数'!$B$2,STDEV(OFFSET(B1084,1-'参数'!$B$2,0,'参数'!$B$2,1))*SQRT('参数'!$B$3),"")</f>
        <v/>
      </c>
      <c r="F1084">
        <f>'对齐'!C1084/'对齐'!C1083-1</f>
        <v/>
      </c>
      <c r="G1084">
        <f>'对齐'!C1084/'对齐'!C$2*100</f>
        <v/>
      </c>
      <c r="H1084">
        <f>'对齐'!C1084/MAX('对齐'!C$2:'对齐'!C1084)-1</f>
        <v/>
      </c>
      <c r="I1084">
        <f>IF(ROW()-2&gt;='参数'!$B$2,STDEV(OFFSET(F1084,1-'参数'!$B$2,0,'参数'!$B$2,1))*SQRT('参数'!$B$3),"")</f>
        <v/>
      </c>
    </row>
    <row r="1085">
      <c r="A1085">
        <f>'对齐'!A1085</f>
        <v/>
      </c>
      <c r="B1085">
        <f>'对齐'!B1085/'对齐'!B1084-1</f>
        <v/>
      </c>
      <c r="C1085">
        <f>'对齐'!B1085/'对齐'!B$2*100</f>
        <v/>
      </c>
      <c r="D1085">
        <f>'对齐'!B1085/MAX('对齐'!B$2:'对齐'!B1085)-1</f>
        <v/>
      </c>
      <c r="E1085">
        <f>IF(ROW()-2&gt;='参数'!$B$2,STDEV(OFFSET(B1085,1-'参数'!$B$2,0,'参数'!$B$2,1))*SQRT('参数'!$B$3),"")</f>
        <v/>
      </c>
      <c r="F1085">
        <f>'对齐'!C1085/'对齐'!C1084-1</f>
        <v/>
      </c>
      <c r="G1085">
        <f>'对齐'!C1085/'对齐'!C$2*100</f>
        <v/>
      </c>
      <c r="H1085">
        <f>'对齐'!C1085/MAX('对齐'!C$2:'对齐'!C1085)-1</f>
        <v/>
      </c>
      <c r="I1085">
        <f>IF(ROW()-2&gt;='参数'!$B$2,STDEV(OFFSET(F1085,1-'参数'!$B$2,0,'参数'!$B$2,1))*SQRT('参数'!$B$3),"")</f>
        <v/>
      </c>
    </row>
    <row r="1086">
      <c r="A1086">
        <f>'对齐'!A1086</f>
        <v/>
      </c>
      <c r="B1086">
        <f>'对齐'!B1086/'对齐'!B1085-1</f>
        <v/>
      </c>
      <c r="C1086">
        <f>'对齐'!B1086/'对齐'!B$2*100</f>
        <v/>
      </c>
      <c r="D1086">
        <f>'对齐'!B1086/MAX('对齐'!B$2:'对齐'!B1086)-1</f>
        <v/>
      </c>
      <c r="E1086">
        <f>IF(ROW()-2&gt;='参数'!$B$2,STDEV(OFFSET(B1086,1-'参数'!$B$2,0,'参数'!$B$2,1))*SQRT('参数'!$B$3),"")</f>
        <v/>
      </c>
      <c r="F1086">
        <f>'对齐'!C1086/'对齐'!C1085-1</f>
        <v/>
      </c>
      <c r="G1086">
        <f>'对齐'!C1086/'对齐'!C$2*100</f>
        <v/>
      </c>
      <c r="H1086">
        <f>'对齐'!C1086/MAX('对齐'!C$2:'对齐'!C1086)-1</f>
        <v/>
      </c>
      <c r="I1086">
        <f>IF(ROW()-2&gt;='参数'!$B$2,STDEV(OFFSET(F1086,1-'参数'!$B$2,0,'参数'!$B$2,1))*SQRT('参数'!$B$3),"")</f>
        <v/>
      </c>
    </row>
    <row r="1087">
      <c r="A1087">
        <f>'对齐'!A1087</f>
        <v/>
      </c>
      <c r="B1087">
        <f>'对齐'!B1087/'对齐'!B1086-1</f>
        <v/>
      </c>
      <c r="C1087">
        <f>'对齐'!B1087/'对齐'!B$2*100</f>
        <v/>
      </c>
      <c r="D1087">
        <f>'对齐'!B1087/MAX('对齐'!B$2:'对齐'!B1087)-1</f>
        <v/>
      </c>
      <c r="E1087">
        <f>IF(ROW()-2&gt;='参数'!$B$2,STDEV(OFFSET(B1087,1-'参数'!$B$2,0,'参数'!$B$2,1))*SQRT('参数'!$B$3),"")</f>
        <v/>
      </c>
      <c r="F1087">
        <f>'对齐'!C1087/'对齐'!C1086-1</f>
        <v/>
      </c>
      <c r="G1087">
        <f>'对齐'!C1087/'对齐'!C$2*100</f>
        <v/>
      </c>
      <c r="H1087">
        <f>'对齐'!C1087/MAX('对齐'!C$2:'对齐'!C1087)-1</f>
        <v/>
      </c>
      <c r="I1087">
        <f>IF(ROW()-2&gt;='参数'!$B$2,STDEV(OFFSET(F1087,1-'参数'!$B$2,0,'参数'!$B$2,1))*SQRT('参数'!$B$3),"")</f>
        <v/>
      </c>
    </row>
    <row r="1088">
      <c r="A1088">
        <f>'对齐'!A1088</f>
        <v/>
      </c>
      <c r="B1088">
        <f>'对齐'!B1088/'对齐'!B1087-1</f>
        <v/>
      </c>
      <c r="C1088">
        <f>'对齐'!B1088/'对齐'!B$2*100</f>
        <v/>
      </c>
      <c r="D1088">
        <f>'对齐'!B1088/MAX('对齐'!B$2:'对齐'!B1088)-1</f>
        <v/>
      </c>
      <c r="E1088">
        <f>IF(ROW()-2&gt;='参数'!$B$2,STDEV(OFFSET(B1088,1-'参数'!$B$2,0,'参数'!$B$2,1))*SQRT('参数'!$B$3),"")</f>
        <v/>
      </c>
      <c r="F1088">
        <f>'对齐'!C1088/'对齐'!C1087-1</f>
        <v/>
      </c>
      <c r="G1088">
        <f>'对齐'!C1088/'对齐'!C$2*100</f>
        <v/>
      </c>
      <c r="H1088">
        <f>'对齐'!C1088/MAX('对齐'!C$2:'对齐'!C1088)-1</f>
        <v/>
      </c>
      <c r="I1088">
        <f>IF(ROW()-2&gt;='参数'!$B$2,STDEV(OFFSET(F1088,1-'参数'!$B$2,0,'参数'!$B$2,1))*SQRT('参数'!$B$3),"")</f>
        <v/>
      </c>
    </row>
    <row r="1089">
      <c r="A1089">
        <f>'对齐'!A1089</f>
        <v/>
      </c>
      <c r="B1089">
        <f>'对齐'!B1089/'对齐'!B1088-1</f>
        <v/>
      </c>
      <c r="C1089">
        <f>'对齐'!B1089/'对齐'!B$2*100</f>
        <v/>
      </c>
      <c r="D1089">
        <f>'对齐'!B1089/MAX('对齐'!B$2:'对齐'!B1089)-1</f>
        <v/>
      </c>
      <c r="E1089">
        <f>IF(ROW()-2&gt;='参数'!$B$2,STDEV(OFFSET(B1089,1-'参数'!$B$2,0,'参数'!$B$2,1))*SQRT('参数'!$B$3),"")</f>
        <v/>
      </c>
      <c r="F1089">
        <f>'对齐'!C1089/'对齐'!C1088-1</f>
        <v/>
      </c>
      <c r="G1089">
        <f>'对齐'!C1089/'对齐'!C$2*100</f>
        <v/>
      </c>
      <c r="H1089">
        <f>'对齐'!C1089/MAX('对齐'!C$2:'对齐'!C1089)-1</f>
        <v/>
      </c>
      <c r="I1089">
        <f>IF(ROW()-2&gt;='参数'!$B$2,STDEV(OFFSET(F1089,1-'参数'!$B$2,0,'参数'!$B$2,1))*SQRT('参数'!$B$3),"")</f>
        <v/>
      </c>
    </row>
    <row r="1090">
      <c r="A1090">
        <f>'对齐'!A1090</f>
        <v/>
      </c>
      <c r="B1090">
        <f>'对齐'!B1090/'对齐'!B1089-1</f>
        <v/>
      </c>
      <c r="C1090">
        <f>'对齐'!B1090/'对齐'!B$2*100</f>
        <v/>
      </c>
      <c r="D1090">
        <f>'对齐'!B1090/MAX('对齐'!B$2:'对齐'!B1090)-1</f>
        <v/>
      </c>
      <c r="E1090">
        <f>IF(ROW()-2&gt;='参数'!$B$2,STDEV(OFFSET(B1090,1-'参数'!$B$2,0,'参数'!$B$2,1))*SQRT('参数'!$B$3),"")</f>
        <v/>
      </c>
      <c r="F1090">
        <f>'对齐'!C1090/'对齐'!C1089-1</f>
        <v/>
      </c>
      <c r="G1090">
        <f>'对齐'!C1090/'对齐'!C$2*100</f>
        <v/>
      </c>
      <c r="H1090">
        <f>'对齐'!C1090/MAX('对齐'!C$2:'对齐'!C1090)-1</f>
        <v/>
      </c>
      <c r="I1090">
        <f>IF(ROW()-2&gt;='参数'!$B$2,STDEV(OFFSET(F1090,1-'参数'!$B$2,0,'参数'!$B$2,1))*SQRT('参数'!$B$3),"")</f>
        <v/>
      </c>
    </row>
    <row r="1091">
      <c r="A1091">
        <f>'对齐'!A1091</f>
        <v/>
      </c>
      <c r="B1091">
        <f>'对齐'!B1091/'对齐'!B1090-1</f>
        <v/>
      </c>
      <c r="C1091">
        <f>'对齐'!B1091/'对齐'!B$2*100</f>
        <v/>
      </c>
      <c r="D1091">
        <f>'对齐'!B1091/MAX('对齐'!B$2:'对齐'!B1091)-1</f>
        <v/>
      </c>
      <c r="E1091">
        <f>IF(ROW()-2&gt;='参数'!$B$2,STDEV(OFFSET(B1091,1-'参数'!$B$2,0,'参数'!$B$2,1))*SQRT('参数'!$B$3),"")</f>
        <v/>
      </c>
      <c r="F1091">
        <f>'对齐'!C1091/'对齐'!C1090-1</f>
        <v/>
      </c>
      <c r="G1091">
        <f>'对齐'!C1091/'对齐'!C$2*100</f>
        <v/>
      </c>
      <c r="H1091">
        <f>'对齐'!C1091/MAX('对齐'!C$2:'对齐'!C1091)-1</f>
        <v/>
      </c>
      <c r="I1091">
        <f>IF(ROW()-2&gt;='参数'!$B$2,STDEV(OFFSET(F1091,1-'参数'!$B$2,0,'参数'!$B$2,1))*SQRT('参数'!$B$3),"")</f>
        <v/>
      </c>
    </row>
    <row r="1092">
      <c r="A1092">
        <f>'对齐'!A1092</f>
        <v/>
      </c>
      <c r="B1092">
        <f>'对齐'!B1092/'对齐'!B1091-1</f>
        <v/>
      </c>
      <c r="C1092">
        <f>'对齐'!B1092/'对齐'!B$2*100</f>
        <v/>
      </c>
      <c r="D1092">
        <f>'对齐'!B1092/MAX('对齐'!B$2:'对齐'!B1092)-1</f>
        <v/>
      </c>
      <c r="E1092">
        <f>IF(ROW()-2&gt;='参数'!$B$2,STDEV(OFFSET(B1092,1-'参数'!$B$2,0,'参数'!$B$2,1))*SQRT('参数'!$B$3),"")</f>
        <v/>
      </c>
      <c r="F1092">
        <f>'对齐'!C1092/'对齐'!C1091-1</f>
        <v/>
      </c>
      <c r="G1092">
        <f>'对齐'!C1092/'对齐'!C$2*100</f>
        <v/>
      </c>
      <c r="H1092">
        <f>'对齐'!C1092/MAX('对齐'!C$2:'对齐'!C1092)-1</f>
        <v/>
      </c>
      <c r="I1092">
        <f>IF(ROW()-2&gt;='参数'!$B$2,STDEV(OFFSET(F1092,1-'参数'!$B$2,0,'参数'!$B$2,1))*SQRT('参数'!$B$3),"")</f>
        <v/>
      </c>
    </row>
    <row r="1093">
      <c r="A1093">
        <f>'对齐'!A1093</f>
        <v/>
      </c>
      <c r="B1093">
        <f>'对齐'!B1093/'对齐'!B1092-1</f>
        <v/>
      </c>
      <c r="C1093">
        <f>'对齐'!B1093/'对齐'!B$2*100</f>
        <v/>
      </c>
      <c r="D1093">
        <f>'对齐'!B1093/MAX('对齐'!B$2:'对齐'!B1093)-1</f>
        <v/>
      </c>
      <c r="E1093">
        <f>IF(ROW()-2&gt;='参数'!$B$2,STDEV(OFFSET(B1093,1-'参数'!$B$2,0,'参数'!$B$2,1))*SQRT('参数'!$B$3),"")</f>
        <v/>
      </c>
      <c r="F1093">
        <f>'对齐'!C1093/'对齐'!C1092-1</f>
        <v/>
      </c>
      <c r="G1093">
        <f>'对齐'!C1093/'对齐'!C$2*100</f>
        <v/>
      </c>
      <c r="H1093">
        <f>'对齐'!C1093/MAX('对齐'!C$2:'对齐'!C1093)-1</f>
        <v/>
      </c>
      <c r="I1093">
        <f>IF(ROW()-2&gt;='参数'!$B$2,STDEV(OFFSET(F1093,1-'参数'!$B$2,0,'参数'!$B$2,1))*SQRT('参数'!$B$3),"")</f>
        <v/>
      </c>
    </row>
    <row r="1094">
      <c r="A1094">
        <f>'对齐'!A1094</f>
        <v/>
      </c>
      <c r="B1094">
        <f>'对齐'!B1094/'对齐'!B1093-1</f>
        <v/>
      </c>
      <c r="C1094">
        <f>'对齐'!B1094/'对齐'!B$2*100</f>
        <v/>
      </c>
      <c r="D1094">
        <f>'对齐'!B1094/MAX('对齐'!B$2:'对齐'!B1094)-1</f>
        <v/>
      </c>
      <c r="E1094">
        <f>IF(ROW()-2&gt;='参数'!$B$2,STDEV(OFFSET(B1094,1-'参数'!$B$2,0,'参数'!$B$2,1))*SQRT('参数'!$B$3),"")</f>
        <v/>
      </c>
      <c r="F1094">
        <f>'对齐'!C1094/'对齐'!C1093-1</f>
        <v/>
      </c>
      <c r="G1094">
        <f>'对齐'!C1094/'对齐'!C$2*100</f>
        <v/>
      </c>
      <c r="H1094">
        <f>'对齐'!C1094/MAX('对齐'!C$2:'对齐'!C1094)-1</f>
        <v/>
      </c>
      <c r="I1094">
        <f>IF(ROW()-2&gt;='参数'!$B$2,STDEV(OFFSET(F1094,1-'参数'!$B$2,0,'参数'!$B$2,1))*SQRT('参数'!$B$3),"")</f>
        <v/>
      </c>
    </row>
    <row r="1095">
      <c r="A1095">
        <f>'对齐'!A1095</f>
        <v/>
      </c>
      <c r="B1095">
        <f>'对齐'!B1095/'对齐'!B1094-1</f>
        <v/>
      </c>
      <c r="C1095">
        <f>'对齐'!B1095/'对齐'!B$2*100</f>
        <v/>
      </c>
      <c r="D1095">
        <f>'对齐'!B1095/MAX('对齐'!B$2:'对齐'!B1095)-1</f>
        <v/>
      </c>
      <c r="E1095">
        <f>IF(ROW()-2&gt;='参数'!$B$2,STDEV(OFFSET(B1095,1-'参数'!$B$2,0,'参数'!$B$2,1))*SQRT('参数'!$B$3),"")</f>
        <v/>
      </c>
      <c r="F1095">
        <f>'对齐'!C1095/'对齐'!C1094-1</f>
        <v/>
      </c>
      <c r="G1095">
        <f>'对齐'!C1095/'对齐'!C$2*100</f>
        <v/>
      </c>
      <c r="H1095">
        <f>'对齐'!C1095/MAX('对齐'!C$2:'对齐'!C1095)-1</f>
        <v/>
      </c>
      <c r="I1095">
        <f>IF(ROW()-2&gt;='参数'!$B$2,STDEV(OFFSET(F1095,1-'参数'!$B$2,0,'参数'!$B$2,1))*SQRT('参数'!$B$3),"")</f>
        <v/>
      </c>
    </row>
    <row r="1096">
      <c r="A1096">
        <f>'对齐'!A1096</f>
        <v/>
      </c>
      <c r="B1096">
        <f>'对齐'!B1096/'对齐'!B1095-1</f>
        <v/>
      </c>
      <c r="C1096">
        <f>'对齐'!B1096/'对齐'!B$2*100</f>
        <v/>
      </c>
      <c r="D1096">
        <f>'对齐'!B1096/MAX('对齐'!B$2:'对齐'!B1096)-1</f>
        <v/>
      </c>
      <c r="E1096">
        <f>IF(ROW()-2&gt;='参数'!$B$2,STDEV(OFFSET(B1096,1-'参数'!$B$2,0,'参数'!$B$2,1))*SQRT('参数'!$B$3),"")</f>
        <v/>
      </c>
      <c r="F1096">
        <f>'对齐'!C1096/'对齐'!C1095-1</f>
        <v/>
      </c>
      <c r="G1096">
        <f>'对齐'!C1096/'对齐'!C$2*100</f>
        <v/>
      </c>
      <c r="H1096">
        <f>'对齐'!C1096/MAX('对齐'!C$2:'对齐'!C1096)-1</f>
        <v/>
      </c>
      <c r="I1096">
        <f>IF(ROW()-2&gt;='参数'!$B$2,STDEV(OFFSET(F1096,1-'参数'!$B$2,0,'参数'!$B$2,1))*SQRT('参数'!$B$3),"")</f>
        <v/>
      </c>
    </row>
    <row r="1097">
      <c r="A1097">
        <f>'对齐'!A1097</f>
        <v/>
      </c>
      <c r="B1097">
        <f>'对齐'!B1097/'对齐'!B1096-1</f>
        <v/>
      </c>
      <c r="C1097">
        <f>'对齐'!B1097/'对齐'!B$2*100</f>
        <v/>
      </c>
      <c r="D1097">
        <f>'对齐'!B1097/MAX('对齐'!B$2:'对齐'!B1097)-1</f>
        <v/>
      </c>
      <c r="E1097">
        <f>IF(ROW()-2&gt;='参数'!$B$2,STDEV(OFFSET(B1097,1-'参数'!$B$2,0,'参数'!$B$2,1))*SQRT('参数'!$B$3),"")</f>
        <v/>
      </c>
      <c r="F1097">
        <f>'对齐'!C1097/'对齐'!C1096-1</f>
        <v/>
      </c>
      <c r="G1097">
        <f>'对齐'!C1097/'对齐'!C$2*100</f>
        <v/>
      </c>
      <c r="H1097">
        <f>'对齐'!C1097/MAX('对齐'!C$2:'对齐'!C1097)-1</f>
        <v/>
      </c>
      <c r="I1097">
        <f>IF(ROW()-2&gt;='参数'!$B$2,STDEV(OFFSET(F1097,1-'参数'!$B$2,0,'参数'!$B$2,1))*SQRT('参数'!$B$3),"")</f>
        <v/>
      </c>
    </row>
    <row r="1098">
      <c r="A1098">
        <f>'对齐'!A1098</f>
        <v/>
      </c>
      <c r="B1098">
        <f>'对齐'!B1098/'对齐'!B1097-1</f>
        <v/>
      </c>
      <c r="C1098">
        <f>'对齐'!B1098/'对齐'!B$2*100</f>
        <v/>
      </c>
      <c r="D1098">
        <f>'对齐'!B1098/MAX('对齐'!B$2:'对齐'!B1098)-1</f>
        <v/>
      </c>
      <c r="E1098">
        <f>IF(ROW()-2&gt;='参数'!$B$2,STDEV(OFFSET(B1098,1-'参数'!$B$2,0,'参数'!$B$2,1))*SQRT('参数'!$B$3),"")</f>
        <v/>
      </c>
      <c r="F1098">
        <f>'对齐'!C1098/'对齐'!C1097-1</f>
        <v/>
      </c>
      <c r="G1098">
        <f>'对齐'!C1098/'对齐'!C$2*100</f>
        <v/>
      </c>
      <c r="H1098">
        <f>'对齐'!C1098/MAX('对齐'!C$2:'对齐'!C1098)-1</f>
        <v/>
      </c>
      <c r="I1098">
        <f>IF(ROW()-2&gt;='参数'!$B$2,STDEV(OFFSET(F1098,1-'参数'!$B$2,0,'参数'!$B$2,1))*SQRT('参数'!$B$3),"")</f>
        <v/>
      </c>
    </row>
    <row r="1099">
      <c r="A1099">
        <f>'对齐'!A1099</f>
        <v/>
      </c>
      <c r="B1099">
        <f>'对齐'!B1099/'对齐'!B1098-1</f>
        <v/>
      </c>
      <c r="C1099">
        <f>'对齐'!B1099/'对齐'!B$2*100</f>
        <v/>
      </c>
      <c r="D1099">
        <f>'对齐'!B1099/MAX('对齐'!B$2:'对齐'!B1099)-1</f>
        <v/>
      </c>
      <c r="E1099">
        <f>IF(ROW()-2&gt;='参数'!$B$2,STDEV(OFFSET(B1099,1-'参数'!$B$2,0,'参数'!$B$2,1))*SQRT('参数'!$B$3),"")</f>
        <v/>
      </c>
      <c r="F1099">
        <f>'对齐'!C1099/'对齐'!C1098-1</f>
        <v/>
      </c>
      <c r="G1099">
        <f>'对齐'!C1099/'对齐'!C$2*100</f>
        <v/>
      </c>
      <c r="H1099">
        <f>'对齐'!C1099/MAX('对齐'!C$2:'对齐'!C1099)-1</f>
        <v/>
      </c>
      <c r="I1099">
        <f>IF(ROW()-2&gt;='参数'!$B$2,STDEV(OFFSET(F1099,1-'参数'!$B$2,0,'参数'!$B$2,1))*SQRT('参数'!$B$3),"")</f>
        <v/>
      </c>
    </row>
    <row r="1100">
      <c r="A1100">
        <f>'对齐'!A1100</f>
        <v/>
      </c>
      <c r="B1100">
        <f>'对齐'!B1100/'对齐'!B1099-1</f>
        <v/>
      </c>
      <c r="C1100">
        <f>'对齐'!B1100/'对齐'!B$2*100</f>
        <v/>
      </c>
      <c r="D1100">
        <f>'对齐'!B1100/MAX('对齐'!B$2:'对齐'!B1100)-1</f>
        <v/>
      </c>
      <c r="E1100">
        <f>IF(ROW()-2&gt;='参数'!$B$2,STDEV(OFFSET(B1100,1-'参数'!$B$2,0,'参数'!$B$2,1))*SQRT('参数'!$B$3),"")</f>
        <v/>
      </c>
      <c r="F1100">
        <f>'对齐'!C1100/'对齐'!C1099-1</f>
        <v/>
      </c>
      <c r="G1100">
        <f>'对齐'!C1100/'对齐'!C$2*100</f>
        <v/>
      </c>
      <c r="H1100">
        <f>'对齐'!C1100/MAX('对齐'!C$2:'对齐'!C1100)-1</f>
        <v/>
      </c>
      <c r="I1100">
        <f>IF(ROW()-2&gt;='参数'!$B$2,STDEV(OFFSET(F1100,1-'参数'!$B$2,0,'参数'!$B$2,1))*SQRT('参数'!$B$3),"")</f>
        <v/>
      </c>
    </row>
    <row r="1101">
      <c r="A1101">
        <f>'对齐'!A1101</f>
        <v/>
      </c>
      <c r="B1101">
        <f>'对齐'!B1101/'对齐'!B1100-1</f>
        <v/>
      </c>
      <c r="C1101">
        <f>'对齐'!B1101/'对齐'!B$2*100</f>
        <v/>
      </c>
      <c r="D1101">
        <f>'对齐'!B1101/MAX('对齐'!B$2:'对齐'!B1101)-1</f>
        <v/>
      </c>
      <c r="E1101">
        <f>IF(ROW()-2&gt;='参数'!$B$2,STDEV(OFFSET(B1101,1-'参数'!$B$2,0,'参数'!$B$2,1))*SQRT('参数'!$B$3),"")</f>
        <v/>
      </c>
      <c r="F1101">
        <f>'对齐'!C1101/'对齐'!C1100-1</f>
        <v/>
      </c>
      <c r="G1101">
        <f>'对齐'!C1101/'对齐'!C$2*100</f>
        <v/>
      </c>
      <c r="H1101">
        <f>'对齐'!C1101/MAX('对齐'!C$2:'对齐'!C1101)-1</f>
        <v/>
      </c>
      <c r="I1101">
        <f>IF(ROW()-2&gt;='参数'!$B$2,STDEV(OFFSET(F1101,1-'参数'!$B$2,0,'参数'!$B$2,1))*SQRT('参数'!$B$3),"")</f>
        <v/>
      </c>
    </row>
    <row r="1102">
      <c r="A1102">
        <f>'对齐'!A1102</f>
        <v/>
      </c>
      <c r="B1102">
        <f>'对齐'!B1102/'对齐'!B1101-1</f>
        <v/>
      </c>
      <c r="C1102">
        <f>'对齐'!B1102/'对齐'!B$2*100</f>
        <v/>
      </c>
      <c r="D1102">
        <f>'对齐'!B1102/MAX('对齐'!B$2:'对齐'!B1102)-1</f>
        <v/>
      </c>
      <c r="E1102">
        <f>IF(ROW()-2&gt;='参数'!$B$2,STDEV(OFFSET(B1102,1-'参数'!$B$2,0,'参数'!$B$2,1))*SQRT('参数'!$B$3),"")</f>
        <v/>
      </c>
      <c r="F1102">
        <f>'对齐'!C1102/'对齐'!C1101-1</f>
        <v/>
      </c>
      <c r="G1102">
        <f>'对齐'!C1102/'对齐'!C$2*100</f>
        <v/>
      </c>
      <c r="H1102">
        <f>'对齐'!C1102/MAX('对齐'!C$2:'对齐'!C1102)-1</f>
        <v/>
      </c>
      <c r="I1102">
        <f>IF(ROW()-2&gt;='参数'!$B$2,STDEV(OFFSET(F1102,1-'参数'!$B$2,0,'参数'!$B$2,1))*SQRT('参数'!$B$3),"")</f>
        <v/>
      </c>
    </row>
    <row r="1103">
      <c r="A1103">
        <f>'对齐'!A1103</f>
        <v/>
      </c>
      <c r="B1103">
        <f>'对齐'!B1103/'对齐'!B1102-1</f>
        <v/>
      </c>
      <c r="C1103">
        <f>'对齐'!B1103/'对齐'!B$2*100</f>
        <v/>
      </c>
      <c r="D1103">
        <f>'对齐'!B1103/MAX('对齐'!B$2:'对齐'!B1103)-1</f>
        <v/>
      </c>
      <c r="E1103">
        <f>IF(ROW()-2&gt;='参数'!$B$2,STDEV(OFFSET(B1103,1-'参数'!$B$2,0,'参数'!$B$2,1))*SQRT('参数'!$B$3),"")</f>
        <v/>
      </c>
      <c r="F1103">
        <f>'对齐'!C1103/'对齐'!C1102-1</f>
        <v/>
      </c>
      <c r="G1103">
        <f>'对齐'!C1103/'对齐'!C$2*100</f>
        <v/>
      </c>
      <c r="H1103">
        <f>'对齐'!C1103/MAX('对齐'!C$2:'对齐'!C1103)-1</f>
        <v/>
      </c>
      <c r="I1103">
        <f>IF(ROW()-2&gt;='参数'!$B$2,STDEV(OFFSET(F1103,1-'参数'!$B$2,0,'参数'!$B$2,1))*SQRT('参数'!$B$3),"")</f>
        <v/>
      </c>
    </row>
    <row r="1104">
      <c r="A1104">
        <f>'对齐'!A1104</f>
        <v/>
      </c>
      <c r="B1104">
        <f>'对齐'!B1104/'对齐'!B1103-1</f>
        <v/>
      </c>
      <c r="C1104">
        <f>'对齐'!B1104/'对齐'!B$2*100</f>
        <v/>
      </c>
      <c r="D1104">
        <f>'对齐'!B1104/MAX('对齐'!B$2:'对齐'!B1104)-1</f>
        <v/>
      </c>
      <c r="E1104">
        <f>IF(ROW()-2&gt;='参数'!$B$2,STDEV(OFFSET(B1104,1-'参数'!$B$2,0,'参数'!$B$2,1))*SQRT('参数'!$B$3),"")</f>
        <v/>
      </c>
      <c r="F1104">
        <f>'对齐'!C1104/'对齐'!C1103-1</f>
        <v/>
      </c>
      <c r="G1104">
        <f>'对齐'!C1104/'对齐'!C$2*100</f>
        <v/>
      </c>
      <c r="H1104">
        <f>'对齐'!C1104/MAX('对齐'!C$2:'对齐'!C1104)-1</f>
        <v/>
      </c>
      <c r="I1104">
        <f>IF(ROW()-2&gt;='参数'!$B$2,STDEV(OFFSET(F1104,1-'参数'!$B$2,0,'参数'!$B$2,1))*SQRT('参数'!$B$3),"")</f>
        <v/>
      </c>
    </row>
    <row r="1105">
      <c r="A1105">
        <f>'对齐'!A1105</f>
        <v/>
      </c>
      <c r="B1105">
        <f>'对齐'!B1105/'对齐'!B1104-1</f>
        <v/>
      </c>
      <c r="C1105">
        <f>'对齐'!B1105/'对齐'!B$2*100</f>
        <v/>
      </c>
      <c r="D1105">
        <f>'对齐'!B1105/MAX('对齐'!B$2:'对齐'!B1105)-1</f>
        <v/>
      </c>
      <c r="E1105">
        <f>IF(ROW()-2&gt;='参数'!$B$2,STDEV(OFFSET(B1105,1-'参数'!$B$2,0,'参数'!$B$2,1))*SQRT('参数'!$B$3),"")</f>
        <v/>
      </c>
      <c r="F1105">
        <f>'对齐'!C1105/'对齐'!C1104-1</f>
        <v/>
      </c>
      <c r="G1105">
        <f>'对齐'!C1105/'对齐'!C$2*100</f>
        <v/>
      </c>
      <c r="H1105">
        <f>'对齐'!C1105/MAX('对齐'!C$2:'对齐'!C1105)-1</f>
        <v/>
      </c>
      <c r="I1105">
        <f>IF(ROW()-2&gt;='参数'!$B$2,STDEV(OFFSET(F1105,1-'参数'!$B$2,0,'参数'!$B$2,1))*SQRT('参数'!$B$3),"")</f>
        <v/>
      </c>
    </row>
    <row r="1106">
      <c r="A1106">
        <f>'对齐'!A1106</f>
        <v/>
      </c>
      <c r="B1106">
        <f>'对齐'!B1106/'对齐'!B1105-1</f>
        <v/>
      </c>
      <c r="C1106">
        <f>'对齐'!B1106/'对齐'!B$2*100</f>
        <v/>
      </c>
      <c r="D1106">
        <f>'对齐'!B1106/MAX('对齐'!B$2:'对齐'!B1106)-1</f>
        <v/>
      </c>
      <c r="E1106">
        <f>IF(ROW()-2&gt;='参数'!$B$2,STDEV(OFFSET(B1106,1-'参数'!$B$2,0,'参数'!$B$2,1))*SQRT('参数'!$B$3),"")</f>
        <v/>
      </c>
      <c r="F1106">
        <f>'对齐'!C1106/'对齐'!C1105-1</f>
        <v/>
      </c>
      <c r="G1106">
        <f>'对齐'!C1106/'对齐'!C$2*100</f>
        <v/>
      </c>
      <c r="H1106">
        <f>'对齐'!C1106/MAX('对齐'!C$2:'对齐'!C1106)-1</f>
        <v/>
      </c>
      <c r="I1106">
        <f>IF(ROW()-2&gt;='参数'!$B$2,STDEV(OFFSET(F1106,1-'参数'!$B$2,0,'参数'!$B$2,1))*SQRT('参数'!$B$3),"")</f>
        <v/>
      </c>
    </row>
    <row r="1107">
      <c r="A1107">
        <f>'对齐'!A1107</f>
        <v/>
      </c>
      <c r="B1107">
        <f>'对齐'!B1107/'对齐'!B1106-1</f>
        <v/>
      </c>
      <c r="C1107">
        <f>'对齐'!B1107/'对齐'!B$2*100</f>
        <v/>
      </c>
      <c r="D1107">
        <f>'对齐'!B1107/MAX('对齐'!B$2:'对齐'!B1107)-1</f>
        <v/>
      </c>
      <c r="E1107">
        <f>IF(ROW()-2&gt;='参数'!$B$2,STDEV(OFFSET(B1107,1-'参数'!$B$2,0,'参数'!$B$2,1))*SQRT('参数'!$B$3),"")</f>
        <v/>
      </c>
      <c r="F1107">
        <f>'对齐'!C1107/'对齐'!C1106-1</f>
        <v/>
      </c>
      <c r="G1107">
        <f>'对齐'!C1107/'对齐'!C$2*100</f>
        <v/>
      </c>
      <c r="H1107">
        <f>'对齐'!C1107/MAX('对齐'!C$2:'对齐'!C1107)-1</f>
        <v/>
      </c>
      <c r="I1107">
        <f>IF(ROW()-2&gt;='参数'!$B$2,STDEV(OFFSET(F1107,1-'参数'!$B$2,0,'参数'!$B$2,1))*SQRT('参数'!$B$3),"")</f>
        <v/>
      </c>
    </row>
    <row r="1108">
      <c r="A1108">
        <f>'对齐'!A1108</f>
        <v/>
      </c>
      <c r="B1108">
        <f>'对齐'!B1108/'对齐'!B1107-1</f>
        <v/>
      </c>
      <c r="C1108">
        <f>'对齐'!B1108/'对齐'!B$2*100</f>
        <v/>
      </c>
      <c r="D1108">
        <f>'对齐'!B1108/MAX('对齐'!B$2:'对齐'!B1108)-1</f>
        <v/>
      </c>
      <c r="E1108">
        <f>IF(ROW()-2&gt;='参数'!$B$2,STDEV(OFFSET(B1108,1-'参数'!$B$2,0,'参数'!$B$2,1))*SQRT('参数'!$B$3),"")</f>
        <v/>
      </c>
      <c r="F1108">
        <f>'对齐'!C1108/'对齐'!C1107-1</f>
        <v/>
      </c>
      <c r="G1108">
        <f>'对齐'!C1108/'对齐'!C$2*100</f>
        <v/>
      </c>
      <c r="H1108">
        <f>'对齐'!C1108/MAX('对齐'!C$2:'对齐'!C1108)-1</f>
        <v/>
      </c>
      <c r="I1108">
        <f>IF(ROW()-2&gt;='参数'!$B$2,STDEV(OFFSET(F1108,1-'参数'!$B$2,0,'参数'!$B$2,1))*SQRT('参数'!$B$3),"")</f>
        <v/>
      </c>
    </row>
    <row r="1109">
      <c r="A1109">
        <f>'对齐'!A1109</f>
        <v/>
      </c>
      <c r="B1109">
        <f>'对齐'!B1109/'对齐'!B1108-1</f>
        <v/>
      </c>
      <c r="C1109">
        <f>'对齐'!B1109/'对齐'!B$2*100</f>
        <v/>
      </c>
      <c r="D1109">
        <f>'对齐'!B1109/MAX('对齐'!B$2:'对齐'!B1109)-1</f>
        <v/>
      </c>
      <c r="E1109">
        <f>IF(ROW()-2&gt;='参数'!$B$2,STDEV(OFFSET(B1109,1-'参数'!$B$2,0,'参数'!$B$2,1))*SQRT('参数'!$B$3),"")</f>
        <v/>
      </c>
      <c r="F1109">
        <f>'对齐'!C1109/'对齐'!C1108-1</f>
        <v/>
      </c>
      <c r="G1109">
        <f>'对齐'!C1109/'对齐'!C$2*100</f>
        <v/>
      </c>
      <c r="H1109">
        <f>'对齐'!C1109/MAX('对齐'!C$2:'对齐'!C1109)-1</f>
        <v/>
      </c>
      <c r="I1109">
        <f>IF(ROW()-2&gt;='参数'!$B$2,STDEV(OFFSET(F1109,1-'参数'!$B$2,0,'参数'!$B$2,1))*SQRT('参数'!$B$3),"")</f>
        <v/>
      </c>
    </row>
    <row r="1110">
      <c r="A1110">
        <f>'对齐'!A1110</f>
        <v/>
      </c>
      <c r="B1110">
        <f>'对齐'!B1110/'对齐'!B1109-1</f>
        <v/>
      </c>
      <c r="C1110">
        <f>'对齐'!B1110/'对齐'!B$2*100</f>
        <v/>
      </c>
      <c r="D1110">
        <f>'对齐'!B1110/MAX('对齐'!B$2:'对齐'!B1110)-1</f>
        <v/>
      </c>
      <c r="E1110">
        <f>IF(ROW()-2&gt;='参数'!$B$2,STDEV(OFFSET(B1110,1-'参数'!$B$2,0,'参数'!$B$2,1))*SQRT('参数'!$B$3),"")</f>
        <v/>
      </c>
      <c r="F1110">
        <f>'对齐'!C1110/'对齐'!C1109-1</f>
        <v/>
      </c>
      <c r="G1110">
        <f>'对齐'!C1110/'对齐'!C$2*100</f>
        <v/>
      </c>
      <c r="H1110">
        <f>'对齐'!C1110/MAX('对齐'!C$2:'对齐'!C1110)-1</f>
        <v/>
      </c>
      <c r="I1110">
        <f>IF(ROW()-2&gt;='参数'!$B$2,STDEV(OFFSET(F1110,1-'参数'!$B$2,0,'参数'!$B$2,1))*SQRT('参数'!$B$3),"")</f>
        <v/>
      </c>
    </row>
    <row r="1111">
      <c r="A1111">
        <f>'对齐'!A1111</f>
        <v/>
      </c>
      <c r="B1111">
        <f>'对齐'!B1111/'对齐'!B1110-1</f>
        <v/>
      </c>
      <c r="C1111">
        <f>'对齐'!B1111/'对齐'!B$2*100</f>
        <v/>
      </c>
      <c r="D1111">
        <f>'对齐'!B1111/MAX('对齐'!B$2:'对齐'!B1111)-1</f>
        <v/>
      </c>
      <c r="E1111">
        <f>IF(ROW()-2&gt;='参数'!$B$2,STDEV(OFFSET(B1111,1-'参数'!$B$2,0,'参数'!$B$2,1))*SQRT('参数'!$B$3),"")</f>
        <v/>
      </c>
      <c r="F1111">
        <f>'对齐'!C1111/'对齐'!C1110-1</f>
        <v/>
      </c>
      <c r="G1111">
        <f>'对齐'!C1111/'对齐'!C$2*100</f>
        <v/>
      </c>
      <c r="H1111">
        <f>'对齐'!C1111/MAX('对齐'!C$2:'对齐'!C1111)-1</f>
        <v/>
      </c>
      <c r="I1111">
        <f>IF(ROW()-2&gt;='参数'!$B$2,STDEV(OFFSET(F1111,1-'参数'!$B$2,0,'参数'!$B$2,1))*SQRT('参数'!$B$3),"")</f>
        <v/>
      </c>
    </row>
    <row r="1112">
      <c r="A1112">
        <f>'对齐'!A1112</f>
        <v/>
      </c>
      <c r="B1112">
        <f>'对齐'!B1112/'对齐'!B1111-1</f>
        <v/>
      </c>
      <c r="C1112">
        <f>'对齐'!B1112/'对齐'!B$2*100</f>
        <v/>
      </c>
      <c r="D1112">
        <f>'对齐'!B1112/MAX('对齐'!B$2:'对齐'!B1112)-1</f>
        <v/>
      </c>
      <c r="E1112">
        <f>IF(ROW()-2&gt;='参数'!$B$2,STDEV(OFFSET(B1112,1-'参数'!$B$2,0,'参数'!$B$2,1))*SQRT('参数'!$B$3),"")</f>
        <v/>
      </c>
      <c r="F1112">
        <f>'对齐'!C1112/'对齐'!C1111-1</f>
        <v/>
      </c>
      <c r="G1112">
        <f>'对齐'!C1112/'对齐'!C$2*100</f>
        <v/>
      </c>
      <c r="H1112">
        <f>'对齐'!C1112/MAX('对齐'!C$2:'对齐'!C1112)-1</f>
        <v/>
      </c>
      <c r="I1112">
        <f>IF(ROW()-2&gt;='参数'!$B$2,STDEV(OFFSET(F1112,1-'参数'!$B$2,0,'参数'!$B$2,1))*SQRT('参数'!$B$3),"")</f>
        <v/>
      </c>
    </row>
    <row r="1113">
      <c r="A1113">
        <f>'对齐'!A1113</f>
        <v/>
      </c>
      <c r="B1113">
        <f>'对齐'!B1113/'对齐'!B1112-1</f>
        <v/>
      </c>
      <c r="C1113">
        <f>'对齐'!B1113/'对齐'!B$2*100</f>
        <v/>
      </c>
      <c r="D1113">
        <f>'对齐'!B1113/MAX('对齐'!B$2:'对齐'!B1113)-1</f>
        <v/>
      </c>
      <c r="E1113">
        <f>IF(ROW()-2&gt;='参数'!$B$2,STDEV(OFFSET(B1113,1-'参数'!$B$2,0,'参数'!$B$2,1))*SQRT('参数'!$B$3),"")</f>
        <v/>
      </c>
      <c r="F1113">
        <f>'对齐'!C1113/'对齐'!C1112-1</f>
        <v/>
      </c>
      <c r="G1113">
        <f>'对齐'!C1113/'对齐'!C$2*100</f>
        <v/>
      </c>
      <c r="H1113">
        <f>'对齐'!C1113/MAX('对齐'!C$2:'对齐'!C1113)-1</f>
        <v/>
      </c>
      <c r="I1113">
        <f>IF(ROW()-2&gt;='参数'!$B$2,STDEV(OFFSET(F1113,1-'参数'!$B$2,0,'参数'!$B$2,1))*SQRT('参数'!$B$3),"")</f>
        <v/>
      </c>
    </row>
    <row r="1114">
      <c r="A1114">
        <f>'对齐'!A1114</f>
        <v/>
      </c>
      <c r="B1114">
        <f>'对齐'!B1114/'对齐'!B1113-1</f>
        <v/>
      </c>
      <c r="C1114">
        <f>'对齐'!B1114/'对齐'!B$2*100</f>
        <v/>
      </c>
      <c r="D1114">
        <f>'对齐'!B1114/MAX('对齐'!B$2:'对齐'!B1114)-1</f>
        <v/>
      </c>
      <c r="E1114">
        <f>IF(ROW()-2&gt;='参数'!$B$2,STDEV(OFFSET(B1114,1-'参数'!$B$2,0,'参数'!$B$2,1))*SQRT('参数'!$B$3),"")</f>
        <v/>
      </c>
      <c r="F1114">
        <f>'对齐'!C1114/'对齐'!C1113-1</f>
        <v/>
      </c>
      <c r="G1114">
        <f>'对齐'!C1114/'对齐'!C$2*100</f>
        <v/>
      </c>
      <c r="H1114">
        <f>'对齐'!C1114/MAX('对齐'!C$2:'对齐'!C1114)-1</f>
        <v/>
      </c>
      <c r="I1114">
        <f>IF(ROW()-2&gt;='参数'!$B$2,STDEV(OFFSET(F1114,1-'参数'!$B$2,0,'参数'!$B$2,1))*SQRT('参数'!$B$3),"")</f>
        <v/>
      </c>
    </row>
    <row r="1115">
      <c r="A1115">
        <f>'对齐'!A1115</f>
        <v/>
      </c>
      <c r="B1115">
        <f>'对齐'!B1115/'对齐'!B1114-1</f>
        <v/>
      </c>
      <c r="C1115">
        <f>'对齐'!B1115/'对齐'!B$2*100</f>
        <v/>
      </c>
      <c r="D1115">
        <f>'对齐'!B1115/MAX('对齐'!B$2:'对齐'!B1115)-1</f>
        <v/>
      </c>
      <c r="E1115">
        <f>IF(ROW()-2&gt;='参数'!$B$2,STDEV(OFFSET(B1115,1-'参数'!$B$2,0,'参数'!$B$2,1))*SQRT('参数'!$B$3),"")</f>
        <v/>
      </c>
      <c r="F1115">
        <f>'对齐'!C1115/'对齐'!C1114-1</f>
        <v/>
      </c>
      <c r="G1115">
        <f>'对齐'!C1115/'对齐'!C$2*100</f>
        <v/>
      </c>
      <c r="H1115">
        <f>'对齐'!C1115/MAX('对齐'!C$2:'对齐'!C1115)-1</f>
        <v/>
      </c>
      <c r="I1115">
        <f>IF(ROW()-2&gt;='参数'!$B$2,STDEV(OFFSET(F1115,1-'参数'!$B$2,0,'参数'!$B$2,1))*SQRT('参数'!$B$3),"")</f>
        <v/>
      </c>
    </row>
    <row r="1116">
      <c r="A1116">
        <f>'对齐'!A1116</f>
        <v/>
      </c>
      <c r="B1116">
        <f>'对齐'!B1116/'对齐'!B1115-1</f>
        <v/>
      </c>
      <c r="C1116">
        <f>'对齐'!B1116/'对齐'!B$2*100</f>
        <v/>
      </c>
      <c r="D1116">
        <f>'对齐'!B1116/MAX('对齐'!B$2:'对齐'!B1116)-1</f>
        <v/>
      </c>
      <c r="E1116">
        <f>IF(ROW()-2&gt;='参数'!$B$2,STDEV(OFFSET(B1116,1-'参数'!$B$2,0,'参数'!$B$2,1))*SQRT('参数'!$B$3),"")</f>
        <v/>
      </c>
      <c r="F1116">
        <f>'对齐'!C1116/'对齐'!C1115-1</f>
        <v/>
      </c>
      <c r="G1116">
        <f>'对齐'!C1116/'对齐'!C$2*100</f>
        <v/>
      </c>
      <c r="H1116">
        <f>'对齐'!C1116/MAX('对齐'!C$2:'对齐'!C1116)-1</f>
        <v/>
      </c>
      <c r="I1116">
        <f>IF(ROW()-2&gt;='参数'!$B$2,STDEV(OFFSET(F1116,1-'参数'!$B$2,0,'参数'!$B$2,1))*SQRT('参数'!$B$3),"")</f>
        <v/>
      </c>
    </row>
    <row r="1117">
      <c r="A1117">
        <f>'对齐'!A1117</f>
        <v/>
      </c>
      <c r="B1117">
        <f>'对齐'!B1117/'对齐'!B1116-1</f>
        <v/>
      </c>
      <c r="C1117">
        <f>'对齐'!B1117/'对齐'!B$2*100</f>
        <v/>
      </c>
      <c r="D1117">
        <f>'对齐'!B1117/MAX('对齐'!B$2:'对齐'!B1117)-1</f>
        <v/>
      </c>
      <c r="E1117">
        <f>IF(ROW()-2&gt;='参数'!$B$2,STDEV(OFFSET(B1117,1-'参数'!$B$2,0,'参数'!$B$2,1))*SQRT('参数'!$B$3),"")</f>
        <v/>
      </c>
      <c r="F1117">
        <f>'对齐'!C1117/'对齐'!C1116-1</f>
        <v/>
      </c>
      <c r="G1117">
        <f>'对齐'!C1117/'对齐'!C$2*100</f>
        <v/>
      </c>
      <c r="H1117">
        <f>'对齐'!C1117/MAX('对齐'!C$2:'对齐'!C1117)-1</f>
        <v/>
      </c>
      <c r="I1117">
        <f>IF(ROW()-2&gt;='参数'!$B$2,STDEV(OFFSET(F1117,1-'参数'!$B$2,0,'参数'!$B$2,1))*SQRT('参数'!$B$3),"")</f>
        <v/>
      </c>
    </row>
    <row r="1118">
      <c r="A1118">
        <f>'对齐'!A1118</f>
        <v/>
      </c>
      <c r="B1118">
        <f>'对齐'!B1118/'对齐'!B1117-1</f>
        <v/>
      </c>
      <c r="C1118">
        <f>'对齐'!B1118/'对齐'!B$2*100</f>
        <v/>
      </c>
      <c r="D1118">
        <f>'对齐'!B1118/MAX('对齐'!B$2:'对齐'!B1118)-1</f>
        <v/>
      </c>
      <c r="E1118">
        <f>IF(ROW()-2&gt;='参数'!$B$2,STDEV(OFFSET(B1118,1-'参数'!$B$2,0,'参数'!$B$2,1))*SQRT('参数'!$B$3),"")</f>
        <v/>
      </c>
      <c r="F1118">
        <f>'对齐'!C1118/'对齐'!C1117-1</f>
        <v/>
      </c>
      <c r="G1118">
        <f>'对齐'!C1118/'对齐'!C$2*100</f>
        <v/>
      </c>
      <c r="H1118">
        <f>'对齐'!C1118/MAX('对齐'!C$2:'对齐'!C1118)-1</f>
        <v/>
      </c>
      <c r="I1118">
        <f>IF(ROW()-2&gt;='参数'!$B$2,STDEV(OFFSET(F1118,1-'参数'!$B$2,0,'参数'!$B$2,1))*SQRT('参数'!$B$3),"")</f>
        <v/>
      </c>
    </row>
    <row r="1119">
      <c r="A1119">
        <f>'对齐'!A1119</f>
        <v/>
      </c>
      <c r="B1119">
        <f>'对齐'!B1119/'对齐'!B1118-1</f>
        <v/>
      </c>
      <c r="C1119">
        <f>'对齐'!B1119/'对齐'!B$2*100</f>
        <v/>
      </c>
      <c r="D1119">
        <f>'对齐'!B1119/MAX('对齐'!B$2:'对齐'!B1119)-1</f>
        <v/>
      </c>
      <c r="E1119">
        <f>IF(ROW()-2&gt;='参数'!$B$2,STDEV(OFFSET(B1119,1-'参数'!$B$2,0,'参数'!$B$2,1))*SQRT('参数'!$B$3),"")</f>
        <v/>
      </c>
      <c r="F1119">
        <f>'对齐'!C1119/'对齐'!C1118-1</f>
        <v/>
      </c>
      <c r="G1119">
        <f>'对齐'!C1119/'对齐'!C$2*100</f>
        <v/>
      </c>
      <c r="H1119">
        <f>'对齐'!C1119/MAX('对齐'!C$2:'对齐'!C1119)-1</f>
        <v/>
      </c>
      <c r="I1119">
        <f>IF(ROW()-2&gt;='参数'!$B$2,STDEV(OFFSET(F1119,1-'参数'!$B$2,0,'参数'!$B$2,1))*SQRT('参数'!$B$3),"")</f>
        <v/>
      </c>
    </row>
    <row r="1120">
      <c r="A1120">
        <f>'对齐'!A1120</f>
        <v/>
      </c>
      <c r="B1120">
        <f>'对齐'!B1120/'对齐'!B1119-1</f>
        <v/>
      </c>
      <c r="C1120">
        <f>'对齐'!B1120/'对齐'!B$2*100</f>
        <v/>
      </c>
      <c r="D1120">
        <f>'对齐'!B1120/MAX('对齐'!B$2:'对齐'!B1120)-1</f>
        <v/>
      </c>
      <c r="E1120">
        <f>IF(ROW()-2&gt;='参数'!$B$2,STDEV(OFFSET(B1120,1-'参数'!$B$2,0,'参数'!$B$2,1))*SQRT('参数'!$B$3),"")</f>
        <v/>
      </c>
      <c r="F1120">
        <f>'对齐'!C1120/'对齐'!C1119-1</f>
        <v/>
      </c>
      <c r="G1120">
        <f>'对齐'!C1120/'对齐'!C$2*100</f>
        <v/>
      </c>
      <c r="H1120">
        <f>'对齐'!C1120/MAX('对齐'!C$2:'对齐'!C1120)-1</f>
        <v/>
      </c>
      <c r="I1120">
        <f>IF(ROW()-2&gt;='参数'!$B$2,STDEV(OFFSET(F1120,1-'参数'!$B$2,0,'参数'!$B$2,1))*SQRT('参数'!$B$3),"")</f>
        <v/>
      </c>
    </row>
    <row r="1121">
      <c r="A1121">
        <f>'对齐'!A1121</f>
        <v/>
      </c>
      <c r="B1121">
        <f>'对齐'!B1121/'对齐'!B1120-1</f>
        <v/>
      </c>
      <c r="C1121">
        <f>'对齐'!B1121/'对齐'!B$2*100</f>
        <v/>
      </c>
      <c r="D1121">
        <f>'对齐'!B1121/MAX('对齐'!B$2:'对齐'!B1121)-1</f>
        <v/>
      </c>
      <c r="E1121">
        <f>IF(ROW()-2&gt;='参数'!$B$2,STDEV(OFFSET(B1121,1-'参数'!$B$2,0,'参数'!$B$2,1))*SQRT('参数'!$B$3),"")</f>
        <v/>
      </c>
      <c r="F1121">
        <f>'对齐'!C1121/'对齐'!C1120-1</f>
        <v/>
      </c>
      <c r="G1121">
        <f>'对齐'!C1121/'对齐'!C$2*100</f>
        <v/>
      </c>
      <c r="H1121">
        <f>'对齐'!C1121/MAX('对齐'!C$2:'对齐'!C1121)-1</f>
        <v/>
      </c>
      <c r="I1121">
        <f>IF(ROW()-2&gt;='参数'!$B$2,STDEV(OFFSET(F1121,1-'参数'!$B$2,0,'参数'!$B$2,1))*SQRT('参数'!$B$3),"")</f>
        <v/>
      </c>
    </row>
    <row r="1122">
      <c r="A1122">
        <f>'对齐'!A1122</f>
        <v/>
      </c>
      <c r="B1122">
        <f>'对齐'!B1122/'对齐'!B1121-1</f>
        <v/>
      </c>
      <c r="C1122">
        <f>'对齐'!B1122/'对齐'!B$2*100</f>
        <v/>
      </c>
      <c r="D1122">
        <f>'对齐'!B1122/MAX('对齐'!B$2:'对齐'!B1122)-1</f>
        <v/>
      </c>
      <c r="E1122">
        <f>IF(ROW()-2&gt;='参数'!$B$2,STDEV(OFFSET(B1122,1-'参数'!$B$2,0,'参数'!$B$2,1))*SQRT('参数'!$B$3),"")</f>
        <v/>
      </c>
      <c r="F1122">
        <f>'对齐'!C1122/'对齐'!C1121-1</f>
        <v/>
      </c>
      <c r="G1122">
        <f>'对齐'!C1122/'对齐'!C$2*100</f>
        <v/>
      </c>
      <c r="H1122">
        <f>'对齐'!C1122/MAX('对齐'!C$2:'对齐'!C1122)-1</f>
        <v/>
      </c>
      <c r="I1122">
        <f>IF(ROW()-2&gt;='参数'!$B$2,STDEV(OFFSET(F1122,1-'参数'!$B$2,0,'参数'!$B$2,1))*SQRT('参数'!$B$3),"")</f>
        <v/>
      </c>
    </row>
    <row r="1123">
      <c r="A1123">
        <f>'对齐'!A1123</f>
        <v/>
      </c>
      <c r="B1123">
        <f>'对齐'!B1123/'对齐'!B1122-1</f>
        <v/>
      </c>
      <c r="C1123">
        <f>'对齐'!B1123/'对齐'!B$2*100</f>
        <v/>
      </c>
      <c r="D1123">
        <f>'对齐'!B1123/MAX('对齐'!B$2:'对齐'!B1123)-1</f>
        <v/>
      </c>
      <c r="E1123">
        <f>IF(ROW()-2&gt;='参数'!$B$2,STDEV(OFFSET(B1123,1-'参数'!$B$2,0,'参数'!$B$2,1))*SQRT('参数'!$B$3),"")</f>
        <v/>
      </c>
      <c r="F1123">
        <f>'对齐'!C1123/'对齐'!C1122-1</f>
        <v/>
      </c>
      <c r="G1123">
        <f>'对齐'!C1123/'对齐'!C$2*100</f>
        <v/>
      </c>
      <c r="H1123">
        <f>'对齐'!C1123/MAX('对齐'!C$2:'对齐'!C1123)-1</f>
        <v/>
      </c>
      <c r="I1123">
        <f>IF(ROW()-2&gt;='参数'!$B$2,STDEV(OFFSET(F1123,1-'参数'!$B$2,0,'参数'!$B$2,1))*SQRT('参数'!$B$3),"")</f>
        <v/>
      </c>
    </row>
    <row r="1124">
      <c r="A1124">
        <f>'对齐'!A1124</f>
        <v/>
      </c>
      <c r="B1124">
        <f>'对齐'!B1124/'对齐'!B1123-1</f>
        <v/>
      </c>
      <c r="C1124">
        <f>'对齐'!B1124/'对齐'!B$2*100</f>
        <v/>
      </c>
      <c r="D1124">
        <f>'对齐'!B1124/MAX('对齐'!B$2:'对齐'!B1124)-1</f>
        <v/>
      </c>
      <c r="E1124">
        <f>IF(ROW()-2&gt;='参数'!$B$2,STDEV(OFFSET(B1124,1-'参数'!$B$2,0,'参数'!$B$2,1))*SQRT('参数'!$B$3),"")</f>
        <v/>
      </c>
      <c r="F1124">
        <f>'对齐'!C1124/'对齐'!C1123-1</f>
        <v/>
      </c>
      <c r="G1124">
        <f>'对齐'!C1124/'对齐'!C$2*100</f>
        <v/>
      </c>
      <c r="H1124">
        <f>'对齐'!C1124/MAX('对齐'!C$2:'对齐'!C1124)-1</f>
        <v/>
      </c>
      <c r="I1124">
        <f>IF(ROW()-2&gt;='参数'!$B$2,STDEV(OFFSET(F1124,1-'参数'!$B$2,0,'参数'!$B$2,1))*SQRT('参数'!$B$3),"")</f>
        <v/>
      </c>
    </row>
    <row r="1125">
      <c r="A1125">
        <f>'对齐'!A1125</f>
        <v/>
      </c>
      <c r="B1125">
        <f>'对齐'!B1125/'对齐'!B1124-1</f>
        <v/>
      </c>
      <c r="C1125">
        <f>'对齐'!B1125/'对齐'!B$2*100</f>
        <v/>
      </c>
      <c r="D1125">
        <f>'对齐'!B1125/MAX('对齐'!B$2:'对齐'!B1125)-1</f>
        <v/>
      </c>
      <c r="E1125">
        <f>IF(ROW()-2&gt;='参数'!$B$2,STDEV(OFFSET(B1125,1-'参数'!$B$2,0,'参数'!$B$2,1))*SQRT('参数'!$B$3),"")</f>
        <v/>
      </c>
      <c r="F1125">
        <f>'对齐'!C1125/'对齐'!C1124-1</f>
        <v/>
      </c>
      <c r="G1125">
        <f>'对齐'!C1125/'对齐'!C$2*100</f>
        <v/>
      </c>
      <c r="H1125">
        <f>'对齐'!C1125/MAX('对齐'!C$2:'对齐'!C1125)-1</f>
        <v/>
      </c>
      <c r="I1125">
        <f>IF(ROW()-2&gt;='参数'!$B$2,STDEV(OFFSET(F1125,1-'参数'!$B$2,0,'参数'!$B$2,1))*SQRT('参数'!$B$3),"")</f>
        <v/>
      </c>
    </row>
    <row r="1126">
      <c r="A1126">
        <f>'对齐'!A1126</f>
        <v/>
      </c>
      <c r="B1126">
        <f>'对齐'!B1126/'对齐'!B1125-1</f>
        <v/>
      </c>
      <c r="C1126">
        <f>'对齐'!B1126/'对齐'!B$2*100</f>
        <v/>
      </c>
      <c r="D1126">
        <f>'对齐'!B1126/MAX('对齐'!B$2:'对齐'!B1126)-1</f>
        <v/>
      </c>
      <c r="E1126">
        <f>IF(ROW()-2&gt;='参数'!$B$2,STDEV(OFFSET(B1126,1-'参数'!$B$2,0,'参数'!$B$2,1))*SQRT('参数'!$B$3),"")</f>
        <v/>
      </c>
      <c r="F1126">
        <f>'对齐'!C1126/'对齐'!C1125-1</f>
        <v/>
      </c>
      <c r="G1126">
        <f>'对齐'!C1126/'对齐'!C$2*100</f>
        <v/>
      </c>
      <c r="H1126">
        <f>'对齐'!C1126/MAX('对齐'!C$2:'对齐'!C1126)-1</f>
        <v/>
      </c>
      <c r="I1126">
        <f>IF(ROW()-2&gt;='参数'!$B$2,STDEV(OFFSET(F1126,1-'参数'!$B$2,0,'参数'!$B$2,1))*SQRT('参数'!$B$3),"")</f>
        <v/>
      </c>
    </row>
    <row r="1127">
      <c r="A1127">
        <f>'对齐'!A1127</f>
        <v/>
      </c>
      <c r="B1127">
        <f>'对齐'!B1127/'对齐'!B1126-1</f>
        <v/>
      </c>
      <c r="C1127">
        <f>'对齐'!B1127/'对齐'!B$2*100</f>
        <v/>
      </c>
      <c r="D1127">
        <f>'对齐'!B1127/MAX('对齐'!B$2:'对齐'!B1127)-1</f>
        <v/>
      </c>
      <c r="E1127">
        <f>IF(ROW()-2&gt;='参数'!$B$2,STDEV(OFFSET(B1127,1-'参数'!$B$2,0,'参数'!$B$2,1))*SQRT('参数'!$B$3),"")</f>
        <v/>
      </c>
      <c r="F1127">
        <f>'对齐'!C1127/'对齐'!C1126-1</f>
        <v/>
      </c>
      <c r="G1127">
        <f>'对齐'!C1127/'对齐'!C$2*100</f>
        <v/>
      </c>
      <c r="H1127">
        <f>'对齐'!C1127/MAX('对齐'!C$2:'对齐'!C1127)-1</f>
        <v/>
      </c>
      <c r="I1127">
        <f>IF(ROW()-2&gt;='参数'!$B$2,STDEV(OFFSET(F1127,1-'参数'!$B$2,0,'参数'!$B$2,1))*SQRT('参数'!$B$3),"")</f>
        <v/>
      </c>
    </row>
    <row r="1128">
      <c r="A1128">
        <f>'对齐'!A1128</f>
        <v/>
      </c>
      <c r="B1128">
        <f>'对齐'!B1128/'对齐'!B1127-1</f>
        <v/>
      </c>
      <c r="C1128">
        <f>'对齐'!B1128/'对齐'!B$2*100</f>
        <v/>
      </c>
      <c r="D1128">
        <f>'对齐'!B1128/MAX('对齐'!B$2:'对齐'!B1128)-1</f>
        <v/>
      </c>
      <c r="E1128">
        <f>IF(ROW()-2&gt;='参数'!$B$2,STDEV(OFFSET(B1128,1-'参数'!$B$2,0,'参数'!$B$2,1))*SQRT('参数'!$B$3),"")</f>
        <v/>
      </c>
      <c r="F1128">
        <f>'对齐'!C1128/'对齐'!C1127-1</f>
        <v/>
      </c>
      <c r="G1128">
        <f>'对齐'!C1128/'对齐'!C$2*100</f>
        <v/>
      </c>
      <c r="H1128">
        <f>'对齐'!C1128/MAX('对齐'!C$2:'对齐'!C1128)-1</f>
        <v/>
      </c>
      <c r="I1128">
        <f>IF(ROW()-2&gt;='参数'!$B$2,STDEV(OFFSET(F1128,1-'参数'!$B$2,0,'参数'!$B$2,1))*SQRT('参数'!$B$3),"")</f>
        <v/>
      </c>
    </row>
    <row r="1129">
      <c r="A1129">
        <f>'对齐'!A1129</f>
        <v/>
      </c>
      <c r="B1129">
        <f>'对齐'!B1129/'对齐'!B1128-1</f>
        <v/>
      </c>
      <c r="C1129">
        <f>'对齐'!B1129/'对齐'!B$2*100</f>
        <v/>
      </c>
      <c r="D1129">
        <f>'对齐'!B1129/MAX('对齐'!B$2:'对齐'!B1129)-1</f>
        <v/>
      </c>
      <c r="E1129">
        <f>IF(ROW()-2&gt;='参数'!$B$2,STDEV(OFFSET(B1129,1-'参数'!$B$2,0,'参数'!$B$2,1))*SQRT('参数'!$B$3),"")</f>
        <v/>
      </c>
      <c r="F1129">
        <f>'对齐'!C1129/'对齐'!C1128-1</f>
        <v/>
      </c>
      <c r="G1129">
        <f>'对齐'!C1129/'对齐'!C$2*100</f>
        <v/>
      </c>
      <c r="H1129">
        <f>'对齐'!C1129/MAX('对齐'!C$2:'对齐'!C1129)-1</f>
        <v/>
      </c>
      <c r="I1129">
        <f>IF(ROW()-2&gt;='参数'!$B$2,STDEV(OFFSET(F1129,1-'参数'!$B$2,0,'参数'!$B$2,1))*SQRT('参数'!$B$3),"")</f>
        <v/>
      </c>
    </row>
    <row r="1130">
      <c r="A1130">
        <f>'对齐'!A1130</f>
        <v/>
      </c>
      <c r="B1130">
        <f>'对齐'!B1130/'对齐'!B1129-1</f>
        <v/>
      </c>
      <c r="C1130">
        <f>'对齐'!B1130/'对齐'!B$2*100</f>
        <v/>
      </c>
      <c r="D1130">
        <f>'对齐'!B1130/MAX('对齐'!B$2:'对齐'!B1130)-1</f>
        <v/>
      </c>
      <c r="E1130">
        <f>IF(ROW()-2&gt;='参数'!$B$2,STDEV(OFFSET(B1130,1-'参数'!$B$2,0,'参数'!$B$2,1))*SQRT('参数'!$B$3),"")</f>
        <v/>
      </c>
      <c r="F1130">
        <f>'对齐'!C1130/'对齐'!C1129-1</f>
        <v/>
      </c>
      <c r="G1130">
        <f>'对齐'!C1130/'对齐'!C$2*100</f>
        <v/>
      </c>
      <c r="H1130">
        <f>'对齐'!C1130/MAX('对齐'!C$2:'对齐'!C1130)-1</f>
        <v/>
      </c>
      <c r="I1130">
        <f>IF(ROW()-2&gt;='参数'!$B$2,STDEV(OFFSET(F1130,1-'参数'!$B$2,0,'参数'!$B$2,1))*SQRT('参数'!$B$3),"")</f>
        <v/>
      </c>
    </row>
    <row r="1131">
      <c r="A1131">
        <f>'对齐'!A1131</f>
        <v/>
      </c>
      <c r="B1131">
        <f>'对齐'!B1131/'对齐'!B1130-1</f>
        <v/>
      </c>
      <c r="C1131">
        <f>'对齐'!B1131/'对齐'!B$2*100</f>
        <v/>
      </c>
      <c r="D1131">
        <f>'对齐'!B1131/MAX('对齐'!B$2:'对齐'!B1131)-1</f>
        <v/>
      </c>
      <c r="E1131">
        <f>IF(ROW()-2&gt;='参数'!$B$2,STDEV(OFFSET(B1131,1-'参数'!$B$2,0,'参数'!$B$2,1))*SQRT('参数'!$B$3),"")</f>
        <v/>
      </c>
      <c r="F1131">
        <f>'对齐'!C1131/'对齐'!C1130-1</f>
        <v/>
      </c>
      <c r="G1131">
        <f>'对齐'!C1131/'对齐'!C$2*100</f>
        <v/>
      </c>
      <c r="H1131">
        <f>'对齐'!C1131/MAX('对齐'!C$2:'对齐'!C1131)-1</f>
        <v/>
      </c>
      <c r="I1131">
        <f>IF(ROW()-2&gt;='参数'!$B$2,STDEV(OFFSET(F1131,1-'参数'!$B$2,0,'参数'!$B$2,1))*SQRT('参数'!$B$3),"")</f>
        <v/>
      </c>
    </row>
    <row r="1132">
      <c r="A1132">
        <f>'对齐'!A1132</f>
        <v/>
      </c>
      <c r="B1132">
        <f>'对齐'!B1132/'对齐'!B1131-1</f>
        <v/>
      </c>
      <c r="C1132">
        <f>'对齐'!B1132/'对齐'!B$2*100</f>
        <v/>
      </c>
      <c r="D1132">
        <f>'对齐'!B1132/MAX('对齐'!B$2:'对齐'!B1132)-1</f>
        <v/>
      </c>
      <c r="E1132">
        <f>IF(ROW()-2&gt;='参数'!$B$2,STDEV(OFFSET(B1132,1-'参数'!$B$2,0,'参数'!$B$2,1))*SQRT('参数'!$B$3),"")</f>
        <v/>
      </c>
      <c r="F1132">
        <f>'对齐'!C1132/'对齐'!C1131-1</f>
        <v/>
      </c>
      <c r="G1132">
        <f>'对齐'!C1132/'对齐'!C$2*100</f>
        <v/>
      </c>
      <c r="H1132">
        <f>'对齐'!C1132/MAX('对齐'!C$2:'对齐'!C1132)-1</f>
        <v/>
      </c>
      <c r="I1132">
        <f>IF(ROW()-2&gt;='参数'!$B$2,STDEV(OFFSET(F1132,1-'参数'!$B$2,0,'参数'!$B$2,1))*SQRT('参数'!$B$3),"")</f>
        <v/>
      </c>
    </row>
    <row r="1133">
      <c r="A1133">
        <f>'对齐'!A1133</f>
        <v/>
      </c>
      <c r="B1133">
        <f>'对齐'!B1133/'对齐'!B1132-1</f>
        <v/>
      </c>
      <c r="C1133">
        <f>'对齐'!B1133/'对齐'!B$2*100</f>
        <v/>
      </c>
      <c r="D1133">
        <f>'对齐'!B1133/MAX('对齐'!B$2:'对齐'!B1133)-1</f>
        <v/>
      </c>
      <c r="E1133">
        <f>IF(ROW()-2&gt;='参数'!$B$2,STDEV(OFFSET(B1133,1-'参数'!$B$2,0,'参数'!$B$2,1))*SQRT('参数'!$B$3),"")</f>
        <v/>
      </c>
      <c r="F1133">
        <f>'对齐'!C1133/'对齐'!C1132-1</f>
        <v/>
      </c>
      <c r="G1133">
        <f>'对齐'!C1133/'对齐'!C$2*100</f>
        <v/>
      </c>
      <c r="H1133">
        <f>'对齐'!C1133/MAX('对齐'!C$2:'对齐'!C1133)-1</f>
        <v/>
      </c>
      <c r="I1133">
        <f>IF(ROW()-2&gt;='参数'!$B$2,STDEV(OFFSET(F1133,1-'参数'!$B$2,0,'参数'!$B$2,1))*SQRT('参数'!$B$3),"")</f>
        <v/>
      </c>
    </row>
    <row r="1134">
      <c r="A1134">
        <f>'对齐'!A1134</f>
        <v/>
      </c>
      <c r="B1134">
        <f>'对齐'!B1134/'对齐'!B1133-1</f>
        <v/>
      </c>
      <c r="C1134">
        <f>'对齐'!B1134/'对齐'!B$2*100</f>
        <v/>
      </c>
      <c r="D1134">
        <f>'对齐'!B1134/MAX('对齐'!B$2:'对齐'!B1134)-1</f>
        <v/>
      </c>
      <c r="E1134">
        <f>IF(ROW()-2&gt;='参数'!$B$2,STDEV(OFFSET(B1134,1-'参数'!$B$2,0,'参数'!$B$2,1))*SQRT('参数'!$B$3),"")</f>
        <v/>
      </c>
      <c r="F1134">
        <f>'对齐'!C1134/'对齐'!C1133-1</f>
        <v/>
      </c>
      <c r="G1134">
        <f>'对齐'!C1134/'对齐'!C$2*100</f>
        <v/>
      </c>
      <c r="H1134">
        <f>'对齐'!C1134/MAX('对齐'!C$2:'对齐'!C1134)-1</f>
        <v/>
      </c>
      <c r="I1134">
        <f>IF(ROW()-2&gt;='参数'!$B$2,STDEV(OFFSET(F1134,1-'参数'!$B$2,0,'参数'!$B$2,1))*SQRT('参数'!$B$3),"")</f>
        <v/>
      </c>
    </row>
    <row r="1135">
      <c r="A1135">
        <f>'对齐'!A1135</f>
        <v/>
      </c>
      <c r="B1135">
        <f>'对齐'!B1135/'对齐'!B1134-1</f>
        <v/>
      </c>
      <c r="C1135">
        <f>'对齐'!B1135/'对齐'!B$2*100</f>
        <v/>
      </c>
      <c r="D1135">
        <f>'对齐'!B1135/MAX('对齐'!B$2:'对齐'!B1135)-1</f>
        <v/>
      </c>
      <c r="E1135">
        <f>IF(ROW()-2&gt;='参数'!$B$2,STDEV(OFFSET(B1135,1-'参数'!$B$2,0,'参数'!$B$2,1))*SQRT('参数'!$B$3),"")</f>
        <v/>
      </c>
      <c r="F1135">
        <f>'对齐'!C1135/'对齐'!C1134-1</f>
        <v/>
      </c>
      <c r="G1135">
        <f>'对齐'!C1135/'对齐'!C$2*100</f>
        <v/>
      </c>
      <c r="H1135">
        <f>'对齐'!C1135/MAX('对齐'!C$2:'对齐'!C1135)-1</f>
        <v/>
      </c>
      <c r="I1135">
        <f>IF(ROW()-2&gt;='参数'!$B$2,STDEV(OFFSET(F1135,1-'参数'!$B$2,0,'参数'!$B$2,1))*SQRT('参数'!$B$3),"")</f>
        <v/>
      </c>
    </row>
    <row r="1136">
      <c r="A1136">
        <f>'对齐'!A1136</f>
        <v/>
      </c>
      <c r="B1136">
        <f>'对齐'!B1136/'对齐'!B1135-1</f>
        <v/>
      </c>
      <c r="C1136">
        <f>'对齐'!B1136/'对齐'!B$2*100</f>
        <v/>
      </c>
      <c r="D1136">
        <f>'对齐'!B1136/MAX('对齐'!B$2:'对齐'!B1136)-1</f>
        <v/>
      </c>
      <c r="E1136">
        <f>IF(ROW()-2&gt;='参数'!$B$2,STDEV(OFFSET(B1136,1-'参数'!$B$2,0,'参数'!$B$2,1))*SQRT('参数'!$B$3),"")</f>
        <v/>
      </c>
      <c r="F1136">
        <f>'对齐'!C1136/'对齐'!C1135-1</f>
        <v/>
      </c>
      <c r="G1136">
        <f>'对齐'!C1136/'对齐'!C$2*100</f>
        <v/>
      </c>
      <c r="H1136">
        <f>'对齐'!C1136/MAX('对齐'!C$2:'对齐'!C1136)-1</f>
        <v/>
      </c>
      <c r="I1136">
        <f>IF(ROW()-2&gt;='参数'!$B$2,STDEV(OFFSET(F1136,1-'参数'!$B$2,0,'参数'!$B$2,1))*SQRT('参数'!$B$3),"")</f>
        <v/>
      </c>
    </row>
    <row r="1137">
      <c r="A1137">
        <f>'对齐'!A1137</f>
        <v/>
      </c>
      <c r="B1137">
        <f>'对齐'!B1137/'对齐'!B1136-1</f>
        <v/>
      </c>
      <c r="C1137">
        <f>'对齐'!B1137/'对齐'!B$2*100</f>
        <v/>
      </c>
      <c r="D1137">
        <f>'对齐'!B1137/MAX('对齐'!B$2:'对齐'!B1137)-1</f>
        <v/>
      </c>
      <c r="E1137">
        <f>IF(ROW()-2&gt;='参数'!$B$2,STDEV(OFFSET(B1137,1-'参数'!$B$2,0,'参数'!$B$2,1))*SQRT('参数'!$B$3),"")</f>
        <v/>
      </c>
      <c r="F1137">
        <f>'对齐'!C1137/'对齐'!C1136-1</f>
        <v/>
      </c>
      <c r="G1137">
        <f>'对齐'!C1137/'对齐'!C$2*100</f>
        <v/>
      </c>
      <c r="H1137">
        <f>'对齐'!C1137/MAX('对齐'!C$2:'对齐'!C1137)-1</f>
        <v/>
      </c>
      <c r="I1137">
        <f>IF(ROW()-2&gt;='参数'!$B$2,STDEV(OFFSET(F1137,1-'参数'!$B$2,0,'参数'!$B$2,1))*SQRT('参数'!$B$3),"")</f>
        <v/>
      </c>
    </row>
    <row r="1138">
      <c r="A1138">
        <f>'对齐'!A1138</f>
        <v/>
      </c>
      <c r="B1138">
        <f>'对齐'!B1138/'对齐'!B1137-1</f>
        <v/>
      </c>
      <c r="C1138">
        <f>'对齐'!B1138/'对齐'!B$2*100</f>
        <v/>
      </c>
      <c r="D1138">
        <f>'对齐'!B1138/MAX('对齐'!B$2:'对齐'!B1138)-1</f>
        <v/>
      </c>
      <c r="E1138">
        <f>IF(ROW()-2&gt;='参数'!$B$2,STDEV(OFFSET(B1138,1-'参数'!$B$2,0,'参数'!$B$2,1))*SQRT('参数'!$B$3),"")</f>
        <v/>
      </c>
      <c r="F1138">
        <f>'对齐'!C1138/'对齐'!C1137-1</f>
        <v/>
      </c>
      <c r="G1138">
        <f>'对齐'!C1138/'对齐'!C$2*100</f>
        <v/>
      </c>
      <c r="H1138">
        <f>'对齐'!C1138/MAX('对齐'!C$2:'对齐'!C1138)-1</f>
        <v/>
      </c>
      <c r="I1138">
        <f>IF(ROW()-2&gt;='参数'!$B$2,STDEV(OFFSET(F1138,1-'参数'!$B$2,0,'参数'!$B$2,1))*SQRT('参数'!$B$3),"")</f>
        <v/>
      </c>
    </row>
    <row r="1139">
      <c r="A1139">
        <f>'对齐'!A1139</f>
        <v/>
      </c>
      <c r="B1139">
        <f>'对齐'!B1139/'对齐'!B1138-1</f>
        <v/>
      </c>
      <c r="C1139">
        <f>'对齐'!B1139/'对齐'!B$2*100</f>
        <v/>
      </c>
      <c r="D1139">
        <f>'对齐'!B1139/MAX('对齐'!B$2:'对齐'!B1139)-1</f>
        <v/>
      </c>
      <c r="E1139">
        <f>IF(ROW()-2&gt;='参数'!$B$2,STDEV(OFFSET(B1139,1-'参数'!$B$2,0,'参数'!$B$2,1))*SQRT('参数'!$B$3),"")</f>
        <v/>
      </c>
      <c r="F1139">
        <f>'对齐'!C1139/'对齐'!C1138-1</f>
        <v/>
      </c>
      <c r="G1139">
        <f>'对齐'!C1139/'对齐'!C$2*100</f>
        <v/>
      </c>
      <c r="H1139">
        <f>'对齐'!C1139/MAX('对齐'!C$2:'对齐'!C1139)-1</f>
        <v/>
      </c>
      <c r="I1139">
        <f>IF(ROW()-2&gt;='参数'!$B$2,STDEV(OFFSET(F1139,1-'参数'!$B$2,0,'参数'!$B$2,1))*SQRT('参数'!$B$3),"")</f>
        <v/>
      </c>
    </row>
    <row r="1140">
      <c r="A1140">
        <f>'对齐'!A1140</f>
        <v/>
      </c>
      <c r="B1140">
        <f>'对齐'!B1140/'对齐'!B1139-1</f>
        <v/>
      </c>
      <c r="C1140">
        <f>'对齐'!B1140/'对齐'!B$2*100</f>
        <v/>
      </c>
      <c r="D1140">
        <f>'对齐'!B1140/MAX('对齐'!B$2:'对齐'!B1140)-1</f>
        <v/>
      </c>
      <c r="E1140">
        <f>IF(ROW()-2&gt;='参数'!$B$2,STDEV(OFFSET(B1140,1-'参数'!$B$2,0,'参数'!$B$2,1))*SQRT('参数'!$B$3),"")</f>
        <v/>
      </c>
      <c r="F1140">
        <f>'对齐'!C1140/'对齐'!C1139-1</f>
        <v/>
      </c>
      <c r="G1140">
        <f>'对齐'!C1140/'对齐'!C$2*100</f>
        <v/>
      </c>
      <c r="H1140">
        <f>'对齐'!C1140/MAX('对齐'!C$2:'对齐'!C1140)-1</f>
        <v/>
      </c>
      <c r="I1140">
        <f>IF(ROW()-2&gt;='参数'!$B$2,STDEV(OFFSET(F1140,1-'参数'!$B$2,0,'参数'!$B$2,1))*SQRT('参数'!$B$3),"")</f>
        <v/>
      </c>
    </row>
    <row r="1141">
      <c r="A1141">
        <f>'对齐'!A1141</f>
        <v/>
      </c>
      <c r="B1141">
        <f>'对齐'!B1141/'对齐'!B1140-1</f>
        <v/>
      </c>
      <c r="C1141">
        <f>'对齐'!B1141/'对齐'!B$2*100</f>
        <v/>
      </c>
      <c r="D1141">
        <f>'对齐'!B1141/MAX('对齐'!B$2:'对齐'!B1141)-1</f>
        <v/>
      </c>
      <c r="E1141">
        <f>IF(ROW()-2&gt;='参数'!$B$2,STDEV(OFFSET(B1141,1-'参数'!$B$2,0,'参数'!$B$2,1))*SQRT('参数'!$B$3),"")</f>
        <v/>
      </c>
      <c r="F1141">
        <f>'对齐'!C1141/'对齐'!C1140-1</f>
        <v/>
      </c>
      <c r="G1141">
        <f>'对齐'!C1141/'对齐'!C$2*100</f>
        <v/>
      </c>
      <c r="H1141">
        <f>'对齐'!C1141/MAX('对齐'!C$2:'对齐'!C1141)-1</f>
        <v/>
      </c>
      <c r="I1141">
        <f>IF(ROW()-2&gt;='参数'!$B$2,STDEV(OFFSET(F1141,1-'参数'!$B$2,0,'参数'!$B$2,1))*SQRT('参数'!$B$3),"")</f>
        <v/>
      </c>
    </row>
    <row r="1142">
      <c r="A1142">
        <f>'对齐'!A1142</f>
        <v/>
      </c>
      <c r="B1142">
        <f>'对齐'!B1142/'对齐'!B1141-1</f>
        <v/>
      </c>
      <c r="C1142">
        <f>'对齐'!B1142/'对齐'!B$2*100</f>
        <v/>
      </c>
      <c r="D1142">
        <f>'对齐'!B1142/MAX('对齐'!B$2:'对齐'!B1142)-1</f>
        <v/>
      </c>
      <c r="E1142">
        <f>IF(ROW()-2&gt;='参数'!$B$2,STDEV(OFFSET(B1142,1-'参数'!$B$2,0,'参数'!$B$2,1))*SQRT('参数'!$B$3),"")</f>
        <v/>
      </c>
      <c r="F1142">
        <f>'对齐'!C1142/'对齐'!C1141-1</f>
        <v/>
      </c>
      <c r="G1142">
        <f>'对齐'!C1142/'对齐'!C$2*100</f>
        <v/>
      </c>
      <c r="H1142">
        <f>'对齐'!C1142/MAX('对齐'!C$2:'对齐'!C1142)-1</f>
        <v/>
      </c>
      <c r="I1142">
        <f>IF(ROW()-2&gt;='参数'!$B$2,STDEV(OFFSET(F1142,1-'参数'!$B$2,0,'参数'!$B$2,1))*SQRT('参数'!$B$3),"")</f>
        <v/>
      </c>
    </row>
    <row r="1143">
      <c r="A1143">
        <f>'对齐'!A1143</f>
        <v/>
      </c>
      <c r="B1143">
        <f>'对齐'!B1143/'对齐'!B1142-1</f>
        <v/>
      </c>
      <c r="C1143">
        <f>'对齐'!B1143/'对齐'!B$2*100</f>
        <v/>
      </c>
      <c r="D1143">
        <f>'对齐'!B1143/MAX('对齐'!B$2:'对齐'!B1143)-1</f>
        <v/>
      </c>
      <c r="E1143">
        <f>IF(ROW()-2&gt;='参数'!$B$2,STDEV(OFFSET(B1143,1-'参数'!$B$2,0,'参数'!$B$2,1))*SQRT('参数'!$B$3),"")</f>
        <v/>
      </c>
      <c r="F1143">
        <f>'对齐'!C1143/'对齐'!C1142-1</f>
        <v/>
      </c>
      <c r="G1143">
        <f>'对齐'!C1143/'对齐'!C$2*100</f>
        <v/>
      </c>
      <c r="H1143">
        <f>'对齐'!C1143/MAX('对齐'!C$2:'对齐'!C1143)-1</f>
        <v/>
      </c>
      <c r="I1143">
        <f>IF(ROW()-2&gt;='参数'!$B$2,STDEV(OFFSET(F1143,1-'参数'!$B$2,0,'参数'!$B$2,1))*SQRT('参数'!$B$3),"")</f>
        <v/>
      </c>
    </row>
    <row r="1144">
      <c r="A1144">
        <f>'对齐'!A1144</f>
        <v/>
      </c>
      <c r="B1144">
        <f>'对齐'!B1144/'对齐'!B1143-1</f>
        <v/>
      </c>
      <c r="C1144">
        <f>'对齐'!B1144/'对齐'!B$2*100</f>
        <v/>
      </c>
      <c r="D1144">
        <f>'对齐'!B1144/MAX('对齐'!B$2:'对齐'!B1144)-1</f>
        <v/>
      </c>
      <c r="E1144">
        <f>IF(ROW()-2&gt;='参数'!$B$2,STDEV(OFFSET(B1144,1-'参数'!$B$2,0,'参数'!$B$2,1))*SQRT('参数'!$B$3),"")</f>
        <v/>
      </c>
      <c r="F1144">
        <f>'对齐'!C1144/'对齐'!C1143-1</f>
        <v/>
      </c>
      <c r="G1144">
        <f>'对齐'!C1144/'对齐'!C$2*100</f>
        <v/>
      </c>
      <c r="H1144">
        <f>'对齐'!C1144/MAX('对齐'!C$2:'对齐'!C1144)-1</f>
        <v/>
      </c>
      <c r="I1144">
        <f>IF(ROW()-2&gt;='参数'!$B$2,STDEV(OFFSET(F1144,1-'参数'!$B$2,0,'参数'!$B$2,1))*SQRT('参数'!$B$3),"")</f>
        <v/>
      </c>
    </row>
    <row r="1145">
      <c r="A1145">
        <f>'对齐'!A1145</f>
        <v/>
      </c>
      <c r="B1145">
        <f>'对齐'!B1145/'对齐'!B1144-1</f>
        <v/>
      </c>
      <c r="C1145">
        <f>'对齐'!B1145/'对齐'!B$2*100</f>
        <v/>
      </c>
      <c r="D1145">
        <f>'对齐'!B1145/MAX('对齐'!B$2:'对齐'!B1145)-1</f>
        <v/>
      </c>
      <c r="E1145">
        <f>IF(ROW()-2&gt;='参数'!$B$2,STDEV(OFFSET(B1145,1-'参数'!$B$2,0,'参数'!$B$2,1))*SQRT('参数'!$B$3),"")</f>
        <v/>
      </c>
      <c r="F1145">
        <f>'对齐'!C1145/'对齐'!C1144-1</f>
        <v/>
      </c>
      <c r="G1145">
        <f>'对齐'!C1145/'对齐'!C$2*100</f>
        <v/>
      </c>
      <c r="H1145">
        <f>'对齐'!C1145/MAX('对齐'!C$2:'对齐'!C1145)-1</f>
        <v/>
      </c>
      <c r="I1145">
        <f>IF(ROW()-2&gt;='参数'!$B$2,STDEV(OFFSET(F1145,1-'参数'!$B$2,0,'参数'!$B$2,1))*SQRT('参数'!$B$3),"")</f>
        <v/>
      </c>
    </row>
    <row r="1146">
      <c r="A1146">
        <f>'对齐'!A1146</f>
        <v/>
      </c>
      <c r="B1146">
        <f>'对齐'!B1146/'对齐'!B1145-1</f>
        <v/>
      </c>
      <c r="C1146">
        <f>'对齐'!B1146/'对齐'!B$2*100</f>
        <v/>
      </c>
      <c r="D1146">
        <f>'对齐'!B1146/MAX('对齐'!B$2:'对齐'!B1146)-1</f>
        <v/>
      </c>
      <c r="E1146">
        <f>IF(ROW()-2&gt;='参数'!$B$2,STDEV(OFFSET(B1146,1-'参数'!$B$2,0,'参数'!$B$2,1))*SQRT('参数'!$B$3),"")</f>
        <v/>
      </c>
      <c r="F1146">
        <f>'对齐'!C1146/'对齐'!C1145-1</f>
        <v/>
      </c>
      <c r="G1146">
        <f>'对齐'!C1146/'对齐'!C$2*100</f>
        <v/>
      </c>
      <c r="H1146">
        <f>'对齐'!C1146/MAX('对齐'!C$2:'对齐'!C1146)-1</f>
        <v/>
      </c>
      <c r="I1146">
        <f>IF(ROW()-2&gt;='参数'!$B$2,STDEV(OFFSET(F1146,1-'参数'!$B$2,0,'参数'!$B$2,1))*SQRT('参数'!$B$3),"")</f>
        <v/>
      </c>
    </row>
    <row r="1147">
      <c r="A1147">
        <f>'对齐'!A1147</f>
        <v/>
      </c>
      <c r="B1147">
        <f>'对齐'!B1147/'对齐'!B1146-1</f>
        <v/>
      </c>
      <c r="C1147">
        <f>'对齐'!B1147/'对齐'!B$2*100</f>
        <v/>
      </c>
      <c r="D1147">
        <f>'对齐'!B1147/MAX('对齐'!B$2:'对齐'!B1147)-1</f>
        <v/>
      </c>
      <c r="E1147">
        <f>IF(ROW()-2&gt;='参数'!$B$2,STDEV(OFFSET(B1147,1-'参数'!$B$2,0,'参数'!$B$2,1))*SQRT('参数'!$B$3),"")</f>
        <v/>
      </c>
      <c r="F1147">
        <f>'对齐'!C1147/'对齐'!C1146-1</f>
        <v/>
      </c>
      <c r="G1147">
        <f>'对齐'!C1147/'对齐'!C$2*100</f>
        <v/>
      </c>
      <c r="H1147">
        <f>'对齐'!C1147/MAX('对齐'!C$2:'对齐'!C1147)-1</f>
        <v/>
      </c>
      <c r="I1147">
        <f>IF(ROW()-2&gt;='参数'!$B$2,STDEV(OFFSET(F1147,1-'参数'!$B$2,0,'参数'!$B$2,1))*SQRT('参数'!$B$3),"")</f>
        <v/>
      </c>
    </row>
    <row r="1148">
      <c r="A1148">
        <f>'对齐'!A1148</f>
        <v/>
      </c>
      <c r="B1148">
        <f>'对齐'!B1148/'对齐'!B1147-1</f>
        <v/>
      </c>
      <c r="C1148">
        <f>'对齐'!B1148/'对齐'!B$2*100</f>
        <v/>
      </c>
      <c r="D1148">
        <f>'对齐'!B1148/MAX('对齐'!B$2:'对齐'!B1148)-1</f>
        <v/>
      </c>
      <c r="E1148">
        <f>IF(ROW()-2&gt;='参数'!$B$2,STDEV(OFFSET(B1148,1-'参数'!$B$2,0,'参数'!$B$2,1))*SQRT('参数'!$B$3),"")</f>
        <v/>
      </c>
      <c r="F1148">
        <f>'对齐'!C1148/'对齐'!C1147-1</f>
        <v/>
      </c>
      <c r="G1148">
        <f>'对齐'!C1148/'对齐'!C$2*100</f>
        <v/>
      </c>
      <c r="H1148">
        <f>'对齐'!C1148/MAX('对齐'!C$2:'对齐'!C1148)-1</f>
        <v/>
      </c>
      <c r="I1148">
        <f>IF(ROW()-2&gt;='参数'!$B$2,STDEV(OFFSET(F1148,1-'参数'!$B$2,0,'参数'!$B$2,1))*SQRT('参数'!$B$3),"")</f>
        <v/>
      </c>
    </row>
    <row r="1149">
      <c r="A1149">
        <f>'对齐'!A1149</f>
        <v/>
      </c>
      <c r="B1149">
        <f>'对齐'!B1149/'对齐'!B1148-1</f>
        <v/>
      </c>
      <c r="C1149">
        <f>'对齐'!B1149/'对齐'!B$2*100</f>
        <v/>
      </c>
      <c r="D1149">
        <f>'对齐'!B1149/MAX('对齐'!B$2:'对齐'!B1149)-1</f>
        <v/>
      </c>
      <c r="E1149">
        <f>IF(ROW()-2&gt;='参数'!$B$2,STDEV(OFFSET(B1149,1-'参数'!$B$2,0,'参数'!$B$2,1))*SQRT('参数'!$B$3),"")</f>
        <v/>
      </c>
      <c r="F1149">
        <f>'对齐'!C1149/'对齐'!C1148-1</f>
        <v/>
      </c>
      <c r="G1149">
        <f>'对齐'!C1149/'对齐'!C$2*100</f>
        <v/>
      </c>
      <c r="H1149">
        <f>'对齐'!C1149/MAX('对齐'!C$2:'对齐'!C1149)-1</f>
        <v/>
      </c>
      <c r="I1149">
        <f>IF(ROW()-2&gt;='参数'!$B$2,STDEV(OFFSET(F1149,1-'参数'!$B$2,0,'参数'!$B$2,1))*SQRT('参数'!$B$3),"")</f>
        <v/>
      </c>
    </row>
    <row r="1150">
      <c r="A1150">
        <f>'对齐'!A1150</f>
        <v/>
      </c>
      <c r="B1150">
        <f>'对齐'!B1150/'对齐'!B1149-1</f>
        <v/>
      </c>
      <c r="C1150">
        <f>'对齐'!B1150/'对齐'!B$2*100</f>
        <v/>
      </c>
      <c r="D1150">
        <f>'对齐'!B1150/MAX('对齐'!B$2:'对齐'!B1150)-1</f>
        <v/>
      </c>
      <c r="E1150">
        <f>IF(ROW()-2&gt;='参数'!$B$2,STDEV(OFFSET(B1150,1-'参数'!$B$2,0,'参数'!$B$2,1))*SQRT('参数'!$B$3),"")</f>
        <v/>
      </c>
      <c r="F1150">
        <f>'对齐'!C1150/'对齐'!C1149-1</f>
        <v/>
      </c>
      <c r="G1150">
        <f>'对齐'!C1150/'对齐'!C$2*100</f>
        <v/>
      </c>
      <c r="H1150">
        <f>'对齐'!C1150/MAX('对齐'!C$2:'对齐'!C1150)-1</f>
        <v/>
      </c>
      <c r="I1150">
        <f>IF(ROW()-2&gt;='参数'!$B$2,STDEV(OFFSET(F1150,1-'参数'!$B$2,0,'参数'!$B$2,1))*SQRT('参数'!$B$3),"")</f>
        <v/>
      </c>
    </row>
    <row r="1151">
      <c r="A1151">
        <f>'对齐'!A1151</f>
        <v/>
      </c>
      <c r="B1151">
        <f>'对齐'!B1151/'对齐'!B1150-1</f>
        <v/>
      </c>
      <c r="C1151">
        <f>'对齐'!B1151/'对齐'!B$2*100</f>
        <v/>
      </c>
      <c r="D1151">
        <f>'对齐'!B1151/MAX('对齐'!B$2:'对齐'!B1151)-1</f>
        <v/>
      </c>
      <c r="E1151">
        <f>IF(ROW()-2&gt;='参数'!$B$2,STDEV(OFFSET(B1151,1-'参数'!$B$2,0,'参数'!$B$2,1))*SQRT('参数'!$B$3),"")</f>
        <v/>
      </c>
      <c r="F1151">
        <f>'对齐'!C1151/'对齐'!C1150-1</f>
        <v/>
      </c>
      <c r="G1151">
        <f>'对齐'!C1151/'对齐'!C$2*100</f>
        <v/>
      </c>
      <c r="H1151">
        <f>'对齐'!C1151/MAX('对齐'!C$2:'对齐'!C1151)-1</f>
        <v/>
      </c>
      <c r="I1151">
        <f>IF(ROW()-2&gt;='参数'!$B$2,STDEV(OFFSET(F1151,1-'参数'!$B$2,0,'参数'!$B$2,1))*SQRT('参数'!$B$3),"")</f>
        <v/>
      </c>
    </row>
    <row r="1152">
      <c r="A1152">
        <f>'对齐'!A1152</f>
        <v/>
      </c>
      <c r="B1152">
        <f>'对齐'!B1152/'对齐'!B1151-1</f>
        <v/>
      </c>
      <c r="C1152">
        <f>'对齐'!B1152/'对齐'!B$2*100</f>
        <v/>
      </c>
      <c r="D1152">
        <f>'对齐'!B1152/MAX('对齐'!B$2:'对齐'!B1152)-1</f>
        <v/>
      </c>
      <c r="E1152">
        <f>IF(ROW()-2&gt;='参数'!$B$2,STDEV(OFFSET(B1152,1-'参数'!$B$2,0,'参数'!$B$2,1))*SQRT('参数'!$B$3),"")</f>
        <v/>
      </c>
      <c r="F1152">
        <f>'对齐'!C1152/'对齐'!C1151-1</f>
        <v/>
      </c>
      <c r="G1152">
        <f>'对齐'!C1152/'对齐'!C$2*100</f>
        <v/>
      </c>
      <c r="H1152">
        <f>'对齐'!C1152/MAX('对齐'!C$2:'对齐'!C1152)-1</f>
        <v/>
      </c>
      <c r="I1152">
        <f>IF(ROW()-2&gt;='参数'!$B$2,STDEV(OFFSET(F1152,1-'参数'!$B$2,0,'参数'!$B$2,1))*SQRT('参数'!$B$3),"")</f>
        <v/>
      </c>
    </row>
    <row r="1153">
      <c r="A1153">
        <f>'对齐'!A1153</f>
        <v/>
      </c>
      <c r="B1153">
        <f>'对齐'!B1153/'对齐'!B1152-1</f>
        <v/>
      </c>
      <c r="C1153">
        <f>'对齐'!B1153/'对齐'!B$2*100</f>
        <v/>
      </c>
      <c r="D1153">
        <f>'对齐'!B1153/MAX('对齐'!B$2:'对齐'!B1153)-1</f>
        <v/>
      </c>
      <c r="E1153">
        <f>IF(ROW()-2&gt;='参数'!$B$2,STDEV(OFFSET(B1153,1-'参数'!$B$2,0,'参数'!$B$2,1))*SQRT('参数'!$B$3),"")</f>
        <v/>
      </c>
      <c r="F1153">
        <f>'对齐'!C1153/'对齐'!C1152-1</f>
        <v/>
      </c>
      <c r="G1153">
        <f>'对齐'!C1153/'对齐'!C$2*100</f>
        <v/>
      </c>
      <c r="H1153">
        <f>'对齐'!C1153/MAX('对齐'!C$2:'对齐'!C1153)-1</f>
        <v/>
      </c>
      <c r="I1153">
        <f>IF(ROW()-2&gt;='参数'!$B$2,STDEV(OFFSET(F1153,1-'参数'!$B$2,0,'参数'!$B$2,1))*SQRT('参数'!$B$3),"")</f>
        <v/>
      </c>
    </row>
    <row r="1154">
      <c r="A1154">
        <f>'对齐'!A1154</f>
        <v/>
      </c>
      <c r="B1154">
        <f>'对齐'!B1154/'对齐'!B1153-1</f>
        <v/>
      </c>
      <c r="C1154">
        <f>'对齐'!B1154/'对齐'!B$2*100</f>
        <v/>
      </c>
      <c r="D1154">
        <f>'对齐'!B1154/MAX('对齐'!B$2:'对齐'!B1154)-1</f>
        <v/>
      </c>
      <c r="E1154">
        <f>IF(ROW()-2&gt;='参数'!$B$2,STDEV(OFFSET(B1154,1-'参数'!$B$2,0,'参数'!$B$2,1))*SQRT('参数'!$B$3),"")</f>
        <v/>
      </c>
      <c r="F1154">
        <f>'对齐'!C1154/'对齐'!C1153-1</f>
        <v/>
      </c>
      <c r="G1154">
        <f>'对齐'!C1154/'对齐'!C$2*100</f>
        <v/>
      </c>
      <c r="H1154">
        <f>'对齐'!C1154/MAX('对齐'!C$2:'对齐'!C1154)-1</f>
        <v/>
      </c>
      <c r="I1154">
        <f>IF(ROW()-2&gt;='参数'!$B$2,STDEV(OFFSET(F1154,1-'参数'!$B$2,0,'参数'!$B$2,1))*SQRT('参数'!$B$3),"")</f>
        <v/>
      </c>
    </row>
    <row r="1155">
      <c r="A1155">
        <f>'对齐'!A1155</f>
        <v/>
      </c>
      <c r="B1155">
        <f>'对齐'!B1155/'对齐'!B1154-1</f>
        <v/>
      </c>
      <c r="C1155">
        <f>'对齐'!B1155/'对齐'!B$2*100</f>
        <v/>
      </c>
      <c r="D1155">
        <f>'对齐'!B1155/MAX('对齐'!B$2:'对齐'!B1155)-1</f>
        <v/>
      </c>
      <c r="E1155">
        <f>IF(ROW()-2&gt;='参数'!$B$2,STDEV(OFFSET(B1155,1-'参数'!$B$2,0,'参数'!$B$2,1))*SQRT('参数'!$B$3),"")</f>
        <v/>
      </c>
      <c r="F1155">
        <f>'对齐'!C1155/'对齐'!C1154-1</f>
        <v/>
      </c>
      <c r="G1155">
        <f>'对齐'!C1155/'对齐'!C$2*100</f>
        <v/>
      </c>
      <c r="H1155">
        <f>'对齐'!C1155/MAX('对齐'!C$2:'对齐'!C1155)-1</f>
        <v/>
      </c>
      <c r="I1155">
        <f>IF(ROW()-2&gt;='参数'!$B$2,STDEV(OFFSET(F1155,1-'参数'!$B$2,0,'参数'!$B$2,1))*SQRT('参数'!$B$3),"")</f>
        <v/>
      </c>
    </row>
    <row r="1156">
      <c r="A1156">
        <f>'对齐'!A1156</f>
        <v/>
      </c>
      <c r="B1156">
        <f>'对齐'!B1156/'对齐'!B1155-1</f>
        <v/>
      </c>
      <c r="C1156">
        <f>'对齐'!B1156/'对齐'!B$2*100</f>
        <v/>
      </c>
      <c r="D1156">
        <f>'对齐'!B1156/MAX('对齐'!B$2:'对齐'!B1156)-1</f>
        <v/>
      </c>
      <c r="E1156">
        <f>IF(ROW()-2&gt;='参数'!$B$2,STDEV(OFFSET(B1156,1-'参数'!$B$2,0,'参数'!$B$2,1))*SQRT('参数'!$B$3),"")</f>
        <v/>
      </c>
      <c r="F1156">
        <f>'对齐'!C1156/'对齐'!C1155-1</f>
        <v/>
      </c>
      <c r="G1156">
        <f>'对齐'!C1156/'对齐'!C$2*100</f>
        <v/>
      </c>
      <c r="H1156">
        <f>'对齐'!C1156/MAX('对齐'!C$2:'对齐'!C1156)-1</f>
        <v/>
      </c>
      <c r="I1156">
        <f>IF(ROW()-2&gt;='参数'!$B$2,STDEV(OFFSET(F1156,1-'参数'!$B$2,0,'参数'!$B$2,1))*SQRT('参数'!$B$3),"")</f>
        <v/>
      </c>
    </row>
    <row r="1157">
      <c r="A1157">
        <f>'对齐'!A1157</f>
        <v/>
      </c>
      <c r="B1157">
        <f>'对齐'!B1157/'对齐'!B1156-1</f>
        <v/>
      </c>
      <c r="C1157">
        <f>'对齐'!B1157/'对齐'!B$2*100</f>
        <v/>
      </c>
      <c r="D1157">
        <f>'对齐'!B1157/MAX('对齐'!B$2:'对齐'!B1157)-1</f>
        <v/>
      </c>
      <c r="E1157">
        <f>IF(ROW()-2&gt;='参数'!$B$2,STDEV(OFFSET(B1157,1-'参数'!$B$2,0,'参数'!$B$2,1))*SQRT('参数'!$B$3),"")</f>
        <v/>
      </c>
      <c r="F1157">
        <f>'对齐'!C1157/'对齐'!C1156-1</f>
        <v/>
      </c>
      <c r="G1157">
        <f>'对齐'!C1157/'对齐'!C$2*100</f>
        <v/>
      </c>
      <c r="H1157">
        <f>'对齐'!C1157/MAX('对齐'!C$2:'对齐'!C1157)-1</f>
        <v/>
      </c>
      <c r="I1157">
        <f>IF(ROW()-2&gt;='参数'!$B$2,STDEV(OFFSET(F1157,1-'参数'!$B$2,0,'参数'!$B$2,1))*SQRT('参数'!$B$3),"")</f>
        <v/>
      </c>
    </row>
    <row r="1158">
      <c r="A1158">
        <f>'对齐'!A1158</f>
        <v/>
      </c>
      <c r="B1158">
        <f>'对齐'!B1158/'对齐'!B1157-1</f>
        <v/>
      </c>
      <c r="C1158">
        <f>'对齐'!B1158/'对齐'!B$2*100</f>
        <v/>
      </c>
      <c r="D1158">
        <f>'对齐'!B1158/MAX('对齐'!B$2:'对齐'!B1158)-1</f>
        <v/>
      </c>
      <c r="E1158">
        <f>IF(ROW()-2&gt;='参数'!$B$2,STDEV(OFFSET(B1158,1-'参数'!$B$2,0,'参数'!$B$2,1))*SQRT('参数'!$B$3),"")</f>
        <v/>
      </c>
      <c r="F1158">
        <f>'对齐'!C1158/'对齐'!C1157-1</f>
        <v/>
      </c>
      <c r="G1158">
        <f>'对齐'!C1158/'对齐'!C$2*100</f>
        <v/>
      </c>
      <c r="H1158">
        <f>'对齐'!C1158/MAX('对齐'!C$2:'对齐'!C1158)-1</f>
        <v/>
      </c>
      <c r="I1158">
        <f>IF(ROW()-2&gt;='参数'!$B$2,STDEV(OFFSET(F1158,1-'参数'!$B$2,0,'参数'!$B$2,1))*SQRT('参数'!$B$3),"")</f>
        <v/>
      </c>
    </row>
    <row r="1159">
      <c r="A1159">
        <f>'对齐'!A1159</f>
        <v/>
      </c>
      <c r="B1159">
        <f>'对齐'!B1159/'对齐'!B1158-1</f>
        <v/>
      </c>
      <c r="C1159">
        <f>'对齐'!B1159/'对齐'!B$2*100</f>
        <v/>
      </c>
      <c r="D1159">
        <f>'对齐'!B1159/MAX('对齐'!B$2:'对齐'!B1159)-1</f>
        <v/>
      </c>
      <c r="E1159">
        <f>IF(ROW()-2&gt;='参数'!$B$2,STDEV(OFFSET(B1159,1-'参数'!$B$2,0,'参数'!$B$2,1))*SQRT('参数'!$B$3),"")</f>
        <v/>
      </c>
      <c r="F1159">
        <f>'对齐'!C1159/'对齐'!C1158-1</f>
        <v/>
      </c>
      <c r="G1159">
        <f>'对齐'!C1159/'对齐'!C$2*100</f>
        <v/>
      </c>
      <c r="H1159">
        <f>'对齐'!C1159/MAX('对齐'!C$2:'对齐'!C1159)-1</f>
        <v/>
      </c>
      <c r="I1159">
        <f>IF(ROW()-2&gt;='参数'!$B$2,STDEV(OFFSET(F1159,1-'参数'!$B$2,0,'参数'!$B$2,1))*SQRT('参数'!$B$3),"")</f>
        <v/>
      </c>
    </row>
    <row r="1160">
      <c r="A1160">
        <f>'对齐'!A1160</f>
        <v/>
      </c>
      <c r="B1160">
        <f>'对齐'!B1160/'对齐'!B1159-1</f>
        <v/>
      </c>
      <c r="C1160">
        <f>'对齐'!B1160/'对齐'!B$2*100</f>
        <v/>
      </c>
      <c r="D1160">
        <f>'对齐'!B1160/MAX('对齐'!B$2:'对齐'!B1160)-1</f>
        <v/>
      </c>
      <c r="E1160">
        <f>IF(ROW()-2&gt;='参数'!$B$2,STDEV(OFFSET(B1160,1-'参数'!$B$2,0,'参数'!$B$2,1))*SQRT('参数'!$B$3),"")</f>
        <v/>
      </c>
      <c r="F1160">
        <f>'对齐'!C1160/'对齐'!C1159-1</f>
        <v/>
      </c>
      <c r="G1160">
        <f>'对齐'!C1160/'对齐'!C$2*100</f>
        <v/>
      </c>
      <c r="H1160">
        <f>'对齐'!C1160/MAX('对齐'!C$2:'对齐'!C1160)-1</f>
        <v/>
      </c>
      <c r="I1160">
        <f>IF(ROW()-2&gt;='参数'!$B$2,STDEV(OFFSET(F1160,1-'参数'!$B$2,0,'参数'!$B$2,1))*SQRT('参数'!$B$3),"")</f>
        <v/>
      </c>
    </row>
    <row r="1161">
      <c r="A1161">
        <f>'对齐'!A1161</f>
        <v/>
      </c>
      <c r="B1161">
        <f>'对齐'!B1161/'对齐'!B1160-1</f>
        <v/>
      </c>
      <c r="C1161">
        <f>'对齐'!B1161/'对齐'!B$2*100</f>
        <v/>
      </c>
      <c r="D1161">
        <f>'对齐'!B1161/MAX('对齐'!B$2:'对齐'!B1161)-1</f>
        <v/>
      </c>
      <c r="E1161">
        <f>IF(ROW()-2&gt;='参数'!$B$2,STDEV(OFFSET(B1161,1-'参数'!$B$2,0,'参数'!$B$2,1))*SQRT('参数'!$B$3),"")</f>
        <v/>
      </c>
      <c r="F1161">
        <f>'对齐'!C1161/'对齐'!C1160-1</f>
        <v/>
      </c>
      <c r="G1161">
        <f>'对齐'!C1161/'对齐'!C$2*100</f>
        <v/>
      </c>
      <c r="H1161">
        <f>'对齐'!C1161/MAX('对齐'!C$2:'对齐'!C1161)-1</f>
        <v/>
      </c>
      <c r="I1161">
        <f>IF(ROW()-2&gt;='参数'!$B$2,STDEV(OFFSET(F1161,1-'参数'!$B$2,0,'参数'!$B$2,1))*SQRT('参数'!$B$3),"")</f>
        <v/>
      </c>
    </row>
    <row r="1162">
      <c r="A1162">
        <f>'对齐'!A1162</f>
        <v/>
      </c>
      <c r="B1162">
        <f>'对齐'!B1162/'对齐'!B1161-1</f>
        <v/>
      </c>
      <c r="C1162">
        <f>'对齐'!B1162/'对齐'!B$2*100</f>
        <v/>
      </c>
      <c r="D1162">
        <f>'对齐'!B1162/MAX('对齐'!B$2:'对齐'!B1162)-1</f>
        <v/>
      </c>
      <c r="E1162">
        <f>IF(ROW()-2&gt;='参数'!$B$2,STDEV(OFFSET(B1162,1-'参数'!$B$2,0,'参数'!$B$2,1))*SQRT('参数'!$B$3),"")</f>
        <v/>
      </c>
      <c r="F1162">
        <f>'对齐'!C1162/'对齐'!C1161-1</f>
        <v/>
      </c>
      <c r="G1162">
        <f>'对齐'!C1162/'对齐'!C$2*100</f>
        <v/>
      </c>
      <c r="H1162">
        <f>'对齐'!C1162/MAX('对齐'!C$2:'对齐'!C1162)-1</f>
        <v/>
      </c>
      <c r="I1162">
        <f>IF(ROW()-2&gt;='参数'!$B$2,STDEV(OFFSET(F1162,1-'参数'!$B$2,0,'参数'!$B$2,1))*SQRT('参数'!$B$3),"")</f>
        <v/>
      </c>
    </row>
    <row r="1163">
      <c r="A1163">
        <f>'对齐'!A1163</f>
        <v/>
      </c>
      <c r="B1163">
        <f>'对齐'!B1163/'对齐'!B1162-1</f>
        <v/>
      </c>
      <c r="C1163">
        <f>'对齐'!B1163/'对齐'!B$2*100</f>
        <v/>
      </c>
      <c r="D1163">
        <f>'对齐'!B1163/MAX('对齐'!B$2:'对齐'!B1163)-1</f>
        <v/>
      </c>
      <c r="E1163">
        <f>IF(ROW()-2&gt;='参数'!$B$2,STDEV(OFFSET(B1163,1-'参数'!$B$2,0,'参数'!$B$2,1))*SQRT('参数'!$B$3),"")</f>
        <v/>
      </c>
      <c r="F1163">
        <f>'对齐'!C1163/'对齐'!C1162-1</f>
        <v/>
      </c>
      <c r="G1163">
        <f>'对齐'!C1163/'对齐'!C$2*100</f>
        <v/>
      </c>
      <c r="H1163">
        <f>'对齐'!C1163/MAX('对齐'!C$2:'对齐'!C1163)-1</f>
        <v/>
      </c>
      <c r="I1163">
        <f>IF(ROW()-2&gt;='参数'!$B$2,STDEV(OFFSET(F1163,1-'参数'!$B$2,0,'参数'!$B$2,1))*SQRT('参数'!$B$3),"")</f>
        <v/>
      </c>
    </row>
    <row r="1164">
      <c r="A1164">
        <f>'对齐'!A1164</f>
        <v/>
      </c>
      <c r="B1164">
        <f>'对齐'!B1164/'对齐'!B1163-1</f>
        <v/>
      </c>
      <c r="C1164">
        <f>'对齐'!B1164/'对齐'!B$2*100</f>
        <v/>
      </c>
      <c r="D1164">
        <f>'对齐'!B1164/MAX('对齐'!B$2:'对齐'!B1164)-1</f>
        <v/>
      </c>
      <c r="E1164">
        <f>IF(ROW()-2&gt;='参数'!$B$2,STDEV(OFFSET(B1164,1-'参数'!$B$2,0,'参数'!$B$2,1))*SQRT('参数'!$B$3),"")</f>
        <v/>
      </c>
      <c r="F1164">
        <f>'对齐'!C1164/'对齐'!C1163-1</f>
        <v/>
      </c>
      <c r="G1164">
        <f>'对齐'!C1164/'对齐'!C$2*100</f>
        <v/>
      </c>
      <c r="H1164">
        <f>'对齐'!C1164/MAX('对齐'!C$2:'对齐'!C1164)-1</f>
        <v/>
      </c>
      <c r="I1164">
        <f>IF(ROW()-2&gt;='参数'!$B$2,STDEV(OFFSET(F1164,1-'参数'!$B$2,0,'参数'!$B$2,1))*SQRT('参数'!$B$3),"")</f>
        <v/>
      </c>
    </row>
    <row r="1165">
      <c r="A1165">
        <f>'对齐'!A1165</f>
        <v/>
      </c>
      <c r="B1165">
        <f>'对齐'!B1165/'对齐'!B1164-1</f>
        <v/>
      </c>
      <c r="C1165">
        <f>'对齐'!B1165/'对齐'!B$2*100</f>
        <v/>
      </c>
      <c r="D1165">
        <f>'对齐'!B1165/MAX('对齐'!B$2:'对齐'!B1165)-1</f>
        <v/>
      </c>
      <c r="E1165">
        <f>IF(ROW()-2&gt;='参数'!$B$2,STDEV(OFFSET(B1165,1-'参数'!$B$2,0,'参数'!$B$2,1))*SQRT('参数'!$B$3),"")</f>
        <v/>
      </c>
      <c r="F1165">
        <f>'对齐'!C1165/'对齐'!C1164-1</f>
        <v/>
      </c>
      <c r="G1165">
        <f>'对齐'!C1165/'对齐'!C$2*100</f>
        <v/>
      </c>
      <c r="H1165">
        <f>'对齐'!C1165/MAX('对齐'!C$2:'对齐'!C1165)-1</f>
        <v/>
      </c>
      <c r="I1165">
        <f>IF(ROW()-2&gt;='参数'!$B$2,STDEV(OFFSET(F1165,1-'参数'!$B$2,0,'参数'!$B$2,1))*SQRT('参数'!$B$3),"")</f>
        <v/>
      </c>
    </row>
    <row r="1166">
      <c r="A1166">
        <f>'对齐'!A1166</f>
        <v/>
      </c>
      <c r="B1166">
        <f>'对齐'!B1166/'对齐'!B1165-1</f>
        <v/>
      </c>
      <c r="C1166">
        <f>'对齐'!B1166/'对齐'!B$2*100</f>
        <v/>
      </c>
      <c r="D1166">
        <f>'对齐'!B1166/MAX('对齐'!B$2:'对齐'!B1166)-1</f>
        <v/>
      </c>
      <c r="E1166">
        <f>IF(ROW()-2&gt;='参数'!$B$2,STDEV(OFFSET(B1166,1-'参数'!$B$2,0,'参数'!$B$2,1))*SQRT('参数'!$B$3),"")</f>
        <v/>
      </c>
      <c r="F1166">
        <f>'对齐'!C1166/'对齐'!C1165-1</f>
        <v/>
      </c>
      <c r="G1166">
        <f>'对齐'!C1166/'对齐'!C$2*100</f>
        <v/>
      </c>
      <c r="H1166">
        <f>'对齐'!C1166/MAX('对齐'!C$2:'对齐'!C1166)-1</f>
        <v/>
      </c>
      <c r="I1166">
        <f>IF(ROW()-2&gt;='参数'!$B$2,STDEV(OFFSET(F1166,1-'参数'!$B$2,0,'参数'!$B$2,1))*SQRT('参数'!$B$3),"")</f>
        <v/>
      </c>
    </row>
    <row r="1167">
      <c r="A1167">
        <f>'对齐'!A1167</f>
        <v/>
      </c>
      <c r="B1167">
        <f>'对齐'!B1167/'对齐'!B1166-1</f>
        <v/>
      </c>
      <c r="C1167">
        <f>'对齐'!B1167/'对齐'!B$2*100</f>
        <v/>
      </c>
      <c r="D1167">
        <f>'对齐'!B1167/MAX('对齐'!B$2:'对齐'!B1167)-1</f>
        <v/>
      </c>
      <c r="E1167">
        <f>IF(ROW()-2&gt;='参数'!$B$2,STDEV(OFFSET(B1167,1-'参数'!$B$2,0,'参数'!$B$2,1))*SQRT('参数'!$B$3),"")</f>
        <v/>
      </c>
      <c r="F1167">
        <f>'对齐'!C1167/'对齐'!C1166-1</f>
        <v/>
      </c>
      <c r="G1167">
        <f>'对齐'!C1167/'对齐'!C$2*100</f>
        <v/>
      </c>
      <c r="H1167">
        <f>'对齐'!C1167/MAX('对齐'!C$2:'对齐'!C1167)-1</f>
        <v/>
      </c>
      <c r="I1167">
        <f>IF(ROW()-2&gt;='参数'!$B$2,STDEV(OFFSET(F1167,1-'参数'!$B$2,0,'参数'!$B$2,1))*SQRT('参数'!$B$3),"")</f>
        <v/>
      </c>
    </row>
    <row r="1168">
      <c r="A1168">
        <f>'对齐'!A1168</f>
        <v/>
      </c>
      <c r="B1168">
        <f>'对齐'!B1168/'对齐'!B1167-1</f>
        <v/>
      </c>
      <c r="C1168">
        <f>'对齐'!B1168/'对齐'!B$2*100</f>
        <v/>
      </c>
      <c r="D1168">
        <f>'对齐'!B1168/MAX('对齐'!B$2:'对齐'!B1168)-1</f>
        <v/>
      </c>
      <c r="E1168">
        <f>IF(ROW()-2&gt;='参数'!$B$2,STDEV(OFFSET(B1168,1-'参数'!$B$2,0,'参数'!$B$2,1))*SQRT('参数'!$B$3),"")</f>
        <v/>
      </c>
      <c r="F1168">
        <f>'对齐'!C1168/'对齐'!C1167-1</f>
        <v/>
      </c>
      <c r="G1168">
        <f>'对齐'!C1168/'对齐'!C$2*100</f>
        <v/>
      </c>
      <c r="H1168">
        <f>'对齐'!C1168/MAX('对齐'!C$2:'对齐'!C1168)-1</f>
        <v/>
      </c>
      <c r="I1168">
        <f>IF(ROW()-2&gt;='参数'!$B$2,STDEV(OFFSET(F1168,1-'参数'!$B$2,0,'参数'!$B$2,1))*SQRT('参数'!$B$3),"")</f>
        <v/>
      </c>
    </row>
    <row r="1169">
      <c r="A1169">
        <f>'对齐'!A1169</f>
        <v/>
      </c>
      <c r="B1169">
        <f>'对齐'!B1169/'对齐'!B1168-1</f>
        <v/>
      </c>
      <c r="C1169">
        <f>'对齐'!B1169/'对齐'!B$2*100</f>
        <v/>
      </c>
      <c r="D1169">
        <f>'对齐'!B1169/MAX('对齐'!B$2:'对齐'!B1169)-1</f>
        <v/>
      </c>
      <c r="E1169">
        <f>IF(ROW()-2&gt;='参数'!$B$2,STDEV(OFFSET(B1169,1-'参数'!$B$2,0,'参数'!$B$2,1))*SQRT('参数'!$B$3),"")</f>
        <v/>
      </c>
      <c r="F1169">
        <f>'对齐'!C1169/'对齐'!C1168-1</f>
        <v/>
      </c>
      <c r="G1169">
        <f>'对齐'!C1169/'对齐'!C$2*100</f>
        <v/>
      </c>
      <c r="H1169">
        <f>'对齐'!C1169/MAX('对齐'!C$2:'对齐'!C1169)-1</f>
        <v/>
      </c>
      <c r="I1169">
        <f>IF(ROW()-2&gt;='参数'!$B$2,STDEV(OFFSET(F1169,1-'参数'!$B$2,0,'参数'!$B$2,1))*SQRT('参数'!$B$3),"")</f>
        <v/>
      </c>
    </row>
    <row r="1170">
      <c r="A1170">
        <f>'对齐'!A1170</f>
        <v/>
      </c>
      <c r="B1170">
        <f>'对齐'!B1170/'对齐'!B1169-1</f>
        <v/>
      </c>
      <c r="C1170">
        <f>'对齐'!B1170/'对齐'!B$2*100</f>
        <v/>
      </c>
      <c r="D1170">
        <f>'对齐'!B1170/MAX('对齐'!B$2:'对齐'!B1170)-1</f>
        <v/>
      </c>
      <c r="E1170">
        <f>IF(ROW()-2&gt;='参数'!$B$2,STDEV(OFFSET(B1170,1-'参数'!$B$2,0,'参数'!$B$2,1))*SQRT('参数'!$B$3),"")</f>
        <v/>
      </c>
      <c r="F1170">
        <f>'对齐'!C1170/'对齐'!C1169-1</f>
        <v/>
      </c>
      <c r="G1170">
        <f>'对齐'!C1170/'对齐'!C$2*100</f>
        <v/>
      </c>
      <c r="H1170">
        <f>'对齐'!C1170/MAX('对齐'!C$2:'对齐'!C1170)-1</f>
        <v/>
      </c>
      <c r="I1170">
        <f>IF(ROW()-2&gt;='参数'!$B$2,STDEV(OFFSET(F1170,1-'参数'!$B$2,0,'参数'!$B$2,1))*SQRT('参数'!$B$3),"")</f>
        <v/>
      </c>
    </row>
    <row r="1171">
      <c r="A1171">
        <f>'对齐'!A1171</f>
        <v/>
      </c>
      <c r="B1171">
        <f>'对齐'!B1171/'对齐'!B1170-1</f>
        <v/>
      </c>
      <c r="C1171">
        <f>'对齐'!B1171/'对齐'!B$2*100</f>
        <v/>
      </c>
      <c r="D1171">
        <f>'对齐'!B1171/MAX('对齐'!B$2:'对齐'!B1171)-1</f>
        <v/>
      </c>
      <c r="E1171">
        <f>IF(ROW()-2&gt;='参数'!$B$2,STDEV(OFFSET(B1171,1-'参数'!$B$2,0,'参数'!$B$2,1))*SQRT('参数'!$B$3),"")</f>
        <v/>
      </c>
      <c r="F1171">
        <f>'对齐'!C1171/'对齐'!C1170-1</f>
        <v/>
      </c>
      <c r="G1171">
        <f>'对齐'!C1171/'对齐'!C$2*100</f>
        <v/>
      </c>
      <c r="H1171">
        <f>'对齐'!C1171/MAX('对齐'!C$2:'对齐'!C1171)-1</f>
        <v/>
      </c>
      <c r="I1171">
        <f>IF(ROW()-2&gt;='参数'!$B$2,STDEV(OFFSET(F1171,1-'参数'!$B$2,0,'参数'!$B$2,1))*SQRT('参数'!$B$3),"")</f>
        <v/>
      </c>
    </row>
    <row r="1172">
      <c r="A1172">
        <f>'对齐'!A1172</f>
        <v/>
      </c>
      <c r="B1172">
        <f>'对齐'!B1172/'对齐'!B1171-1</f>
        <v/>
      </c>
      <c r="C1172">
        <f>'对齐'!B1172/'对齐'!B$2*100</f>
        <v/>
      </c>
      <c r="D1172">
        <f>'对齐'!B1172/MAX('对齐'!B$2:'对齐'!B1172)-1</f>
        <v/>
      </c>
      <c r="E1172">
        <f>IF(ROW()-2&gt;='参数'!$B$2,STDEV(OFFSET(B1172,1-'参数'!$B$2,0,'参数'!$B$2,1))*SQRT('参数'!$B$3),"")</f>
        <v/>
      </c>
      <c r="F1172">
        <f>'对齐'!C1172/'对齐'!C1171-1</f>
        <v/>
      </c>
      <c r="G1172">
        <f>'对齐'!C1172/'对齐'!C$2*100</f>
        <v/>
      </c>
      <c r="H1172">
        <f>'对齐'!C1172/MAX('对齐'!C$2:'对齐'!C1172)-1</f>
        <v/>
      </c>
      <c r="I1172">
        <f>IF(ROW()-2&gt;='参数'!$B$2,STDEV(OFFSET(F1172,1-'参数'!$B$2,0,'参数'!$B$2,1))*SQRT('参数'!$B$3),"")</f>
        <v/>
      </c>
    </row>
    <row r="1173">
      <c r="A1173">
        <f>'对齐'!A1173</f>
        <v/>
      </c>
      <c r="B1173">
        <f>'对齐'!B1173/'对齐'!B1172-1</f>
        <v/>
      </c>
      <c r="C1173">
        <f>'对齐'!B1173/'对齐'!B$2*100</f>
        <v/>
      </c>
      <c r="D1173">
        <f>'对齐'!B1173/MAX('对齐'!B$2:'对齐'!B1173)-1</f>
        <v/>
      </c>
      <c r="E1173">
        <f>IF(ROW()-2&gt;='参数'!$B$2,STDEV(OFFSET(B1173,1-'参数'!$B$2,0,'参数'!$B$2,1))*SQRT('参数'!$B$3),"")</f>
        <v/>
      </c>
      <c r="F1173">
        <f>'对齐'!C1173/'对齐'!C1172-1</f>
        <v/>
      </c>
      <c r="G1173">
        <f>'对齐'!C1173/'对齐'!C$2*100</f>
        <v/>
      </c>
      <c r="H1173">
        <f>'对齐'!C1173/MAX('对齐'!C$2:'对齐'!C1173)-1</f>
        <v/>
      </c>
      <c r="I1173">
        <f>IF(ROW()-2&gt;='参数'!$B$2,STDEV(OFFSET(F1173,1-'参数'!$B$2,0,'参数'!$B$2,1))*SQRT('参数'!$B$3),"")</f>
        <v/>
      </c>
    </row>
    <row r="1174">
      <c r="A1174">
        <f>'对齐'!A1174</f>
        <v/>
      </c>
      <c r="B1174">
        <f>'对齐'!B1174/'对齐'!B1173-1</f>
        <v/>
      </c>
      <c r="C1174">
        <f>'对齐'!B1174/'对齐'!B$2*100</f>
        <v/>
      </c>
      <c r="D1174">
        <f>'对齐'!B1174/MAX('对齐'!B$2:'对齐'!B1174)-1</f>
        <v/>
      </c>
      <c r="E1174">
        <f>IF(ROW()-2&gt;='参数'!$B$2,STDEV(OFFSET(B1174,1-'参数'!$B$2,0,'参数'!$B$2,1))*SQRT('参数'!$B$3),"")</f>
        <v/>
      </c>
      <c r="F1174">
        <f>'对齐'!C1174/'对齐'!C1173-1</f>
        <v/>
      </c>
      <c r="G1174">
        <f>'对齐'!C1174/'对齐'!C$2*100</f>
        <v/>
      </c>
      <c r="H1174">
        <f>'对齐'!C1174/MAX('对齐'!C$2:'对齐'!C1174)-1</f>
        <v/>
      </c>
      <c r="I1174">
        <f>IF(ROW()-2&gt;='参数'!$B$2,STDEV(OFFSET(F1174,1-'参数'!$B$2,0,'参数'!$B$2,1))*SQRT('参数'!$B$3),"")</f>
        <v/>
      </c>
    </row>
    <row r="1175">
      <c r="A1175">
        <f>'对齐'!A1175</f>
        <v/>
      </c>
      <c r="B1175">
        <f>'对齐'!B1175/'对齐'!B1174-1</f>
        <v/>
      </c>
      <c r="C1175">
        <f>'对齐'!B1175/'对齐'!B$2*100</f>
        <v/>
      </c>
      <c r="D1175">
        <f>'对齐'!B1175/MAX('对齐'!B$2:'对齐'!B1175)-1</f>
        <v/>
      </c>
      <c r="E1175">
        <f>IF(ROW()-2&gt;='参数'!$B$2,STDEV(OFFSET(B1175,1-'参数'!$B$2,0,'参数'!$B$2,1))*SQRT('参数'!$B$3),"")</f>
        <v/>
      </c>
      <c r="F1175">
        <f>'对齐'!C1175/'对齐'!C1174-1</f>
        <v/>
      </c>
      <c r="G1175">
        <f>'对齐'!C1175/'对齐'!C$2*100</f>
        <v/>
      </c>
      <c r="H1175">
        <f>'对齐'!C1175/MAX('对齐'!C$2:'对齐'!C1175)-1</f>
        <v/>
      </c>
      <c r="I1175">
        <f>IF(ROW()-2&gt;='参数'!$B$2,STDEV(OFFSET(F1175,1-'参数'!$B$2,0,'参数'!$B$2,1))*SQRT('参数'!$B$3),"")</f>
        <v/>
      </c>
    </row>
    <row r="1176">
      <c r="A1176">
        <f>'对齐'!A1176</f>
        <v/>
      </c>
      <c r="B1176">
        <f>'对齐'!B1176/'对齐'!B1175-1</f>
        <v/>
      </c>
      <c r="C1176">
        <f>'对齐'!B1176/'对齐'!B$2*100</f>
        <v/>
      </c>
      <c r="D1176">
        <f>'对齐'!B1176/MAX('对齐'!B$2:'对齐'!B1176)-1</f>
        <v/>
      </c>
      <c r="E1176">
        <f>IF(ROW()-2&gt;='参数'!$B$2,STDEV(OFFSET(B1176,1-'参数'!$B$2,0,'参数'!$B$2,1))*SQRT('参数'!$B$3),"")</f>
        <v/>
      </c>
      <c r="F1176">
        <f>'对齐'!C1176/'对齐'!C1175-1</f>
        <v/>
      </c>
      <c r="G1176">
        <f>'对齐'!C1176/'对齐'!C$2*100</f>
        <v/>
      </c>
      <c r="H1176">
        <f>'对齐'!C1176/MAX('对齐'!C$2:'对齐'!C1176)-1</f>
        <v/>
      </c>
      <c r="I1176">
        <f>IF(ROW()-2&gt;='参数'!$B$2,STDEV(OFFSET(F1176,1-'参数'!$B$2,0,'参数'!$B$2,1))*SQRT('参数'!$B$3),"")</f>
        <v/>
      </c>
    </row>
    <row r="1177">
      <c r="A1177">
        <f>'对齐'!A1177</f>
        <v/>
      </c>
      <c r="B1177">
        <f>'对齐'!B1177/'对齐'!B1176-1</f>
        <v/>
      </c>
      <c r="C1177">
        <f>'对齐'!B1177/'对齐'!B$2*100</f>
        <v/>
      </c>
      <c r="D1177">
        <f>'对齐'!B1177/MAX('对齐'!B$2:'对齐'!B1177)-1</f>
        <v/>
      </c>
      <c r="E1177">
        <f>IF(ROW()-2&gt;='参数'!$B$2,STDEV(OFFSET(B1177,1-'参数'!$B$2,0,'参数'!$B$2,1))*SQRT('参数'!$B$3),"")</f>
        <v/>
      </c>
      <c r="F1177">
        <f>'对齐'!C1177/'对齐'!C1176-1</f>
        <v/>
      </c>
      <c r="G1177">
        <f>'对齐'!C1177/'对齐'!C$2*100</f>
        <v/>
      </c>
      <c r="H1177">
        <f>'对齐'!C1177/MAX('对齐'!C$2:'对齐'!C1177)-1</f>
        <v/>
      </c>
      <c r="I1177">
        <f>IF(ROW()-2&gt;='参数'!$B$2,STDEV(OFFSET(F1177,1-'参数'!$B$2,0,'参数'!$B$2,1))*SQRT('参数'!$B$3),"")</f>
        <v/>
      </c>
    </row>
    <row r="1178">
      <c r="A1178">
        <f>'对齐'!A1178</f>
        <v/>
      </c>
      <c r="B1178">
        <f>'对齐'!B1178/'对齐'!B1177-1</f>
        <v/>
      </c>
      <c r="C1178">
        <f>'对齐'!B1178/'对齐'!B$2*100</f>
        <v/>
      </c>
      <c r="D1178">
        <f>'对齐'!B1178/MAX('对齐'!B$2:'对齐'!B1178)-1</f>
        <v/>
      </c>
      <c r="E1178">
        <f>IF(ROW()-2&gt;='参数'!$B$2,STDEV(OFFSET(B1178,1-'参数'!$B$2,0,'参数'!$B$2,1))*SQRT('参数'!$B$3),"")</f>
        <v/>
      </c>
      <c r="F1178">
        <f>'对齐'!C1178/'对齐'!C1177-1</f>
        <v/>
      </c>
      <c r="G1178">
        <f>'对齐'!C1178/'对齐'!C$2*100</f>
        <v/>
      </c>
      <c r="H1178">
        <f>'对齐'!C1178/MAX('对齐'!C$2:'对齐'!C1178)-1</f>
        <v/>
      </c>
      <c r="I1178">
        <f>IF(ROW()-2&gt;='参数'!$B$2,STDEV(OFFSET(F1178,1-'参数'!$B$2,0,'参数'!$B$2,1))*SQRT('参数'!$B$3),"")</f>
        <v/>
      </c>
    </row>
    <row r="1179">
      <c r="A1179">
        <f>'对齐'!A1179</f>
        <v/>
      </c>
      <c r="B1179">
        <f>'对齐'!B1179/'对齐'!B1178-1</f>
        <v/>
      </c>
      <c r="C1179">
        <f>'对齐'!B1179/'对齐'!B$2*100</f>
        <v/>
      </c>
      <c r="D1179">
        <f>'对齐'!B1179/MAX('对齐'!B$2:'对齐'!B1179)-1</f>
        <v/>
      </c>
      <c r="E1179">
        <f>IF(ROW()-2&gt;='参数'!$B$2,STDEV(OFFSET(B1179,1-'参数'!$B$2,0,'参数'!$B$2,1))*SQRT('参数'!$B$3),"")</f>
        <v/>
      </c>
      <c r="F1179">
        <f>'对齐'!C1179/'对齐'!C1178-1</f>
        <v/>
      </c>
      <c r="G1179">
        <f>'对齐'!C1179/'对齐'!C$2*100</f>
        <v/>
      </c>
      <c r="H1179">
        <f>'对齐'!C1179/MAX('对齐'!C$2:'对齐'!C1179)-1</f>
        <v/>
      </c>
      <c r="I1179">
        <f>IF(ROW()-2&gt;='参数'!$B$2,STDEV(OFFSET(F1179,1-'参数'!$B$2,0,'参数'!$B$2,1))*SQRT('参数'!$B$3),"")</f>
        <v/>
      </c>
    </row>
    <row r="1180">
      <c r="A1180">
        <f>'对齐'!A1180</f>
        <v/>
      </c>
      <c r="B1180">
        <f>'对齐'!B1180/'对齐'!B1179-1</f>
        <v/>
      </c>
      <c r="C1180">
        <f>'对齐'!B1180/'对齐'!B$2*100</f>
        <v/>
      </c>
      <c r="D1180">
        <f>'对齐'!B1180/MAX('对齐'!B$2:'对齐'!B1180)-1</f>
        <v/>
      </c>
      <c r="E1180">
        <f>IF(ROW()-2&gt;='参数'!$B$2,STDEV(OFFSET(B1180,1-'参数'!$B$2,0,'参数'!$B$2,1))*SQRT('参数'!$B$3),"")</f>
        <v/>
      </c>
      <c r="F1180">
        <f>'对齐'!C1180/'对齐'!C1179-1</f>
        <v/>
      </c>
      <c r="G1180">
        <f>'对齐'!C1180/'对齐'!C$2*100</f>
        <v/>
      </c>
      <c r="H1180">
        <f>'对齐'!C1180/MAX('对齐'!C$2:'对齐'!C1180)-1</f>
        <v/>
      </c>
      <c r="I1180">
        <f>IF(ROW()-2&gt;='参数'!$B$2,STDEV(OFFSET(F1180,1-'参数'!$B$2,0,'参数'!$B$2,1))*SQRT('参数'!$B$3),"")</f>
        <v/>
      </c>
    </row>
    <row r="1181">
      <c r="A1181">
        <f>'对齐'!A1181</f>
        <v/>
      </c>
      <c r="B1181">
        <f>'对齐'!B1181/'对齐'!B1180-1</f>
        <v/>
      </c>
      <c r="C1181">
        <f>'对齐'!B1181/'对齐'!B$2*100</f>
        <v/>
      </c>
      <c r="D1181">
        <f>'对齐'!B1181/MAX('对齐'!B$2:'对齐'!B1181)-1</f>
        <v/>
      </c>
      <c r="E1181">
        <f>IF(ROW()-2&gt;='参数'!$B$2,STDEV(OFFSET(B1181,1-'参数'!$B$2,0,'参数'!$B$2,1))*SQRT('参数'!$B$3),"")</f>
        <v/>
      </c>
      <c r="F1181">
        <f>'对齐'!C1181/'对齐'!C1180-1</f>
        <v/>
      </c>
      <c r="G1181">
        <f>'对齐'!C1181/'对齐'!C$2*100</f>
        <v/>
      </c>
      <c r="H1181">
        <f>'对齐'!C1181/MAX('对齐'!C$2:'对齐'!C1181)-1</f>
        <v/>
      </c>
      <c r="I1181">
        <f>IF(ROW()-2&gt;='参数'!$B$2,STDEV(OFFSET(F1181,1-'参数'!$B$2,0,'参数'!$B$2,1))*SQRT('参数'!$B$3),"")</f>
        <v/>
      </c>
    </row>
    <row r="1182">
      <c r="A1182">
        <f>'对齐'!A1182</f>
        <v/>
      </c>
      <c r="B1182">
        <f>'对齐'!B1182/'对齐'!B1181-1</f>
        <v/>
      </c>
      <c r="C1182">
        <f>'对齐'!B1182/'对齐'!B$2*100</f>
        <v/>
      </c>
      <c r="D1182">
        <f>'对齐'!B1182/MAX('对齐'!B$2:'对齐'!B1182)-1</f>
        <v/>
      </c>
      <c r="E1182">
        <f>IF(ROW()-2&gt;='参数'!$B$2,STDEV(OFFSET(B1182,1-'参数'!$B$2,0,'参数'!$B$2,1))*SQRT('参数'!$B$3),"")</f>
        <v/>
      </c>
      <c r="F1182">
        <f>'对齐'!C1182/'对齐'!C1181-1</f>
        <v/>
      </c>
      <c r="G1182">
        <f>'对齐'!C1182/'对齐'!C$2*100</f>
        <v/>
      </c>
      <c r="H1182">
        <f>'对齐'!C1182/MAX('对齐'!C$2:'对齐'!C1182)-1</f>
        <v/>
      </c>
      <c r="I1182">
        <f>IF(ROW()-2&gt;='参数'!$B$2,STDEV(OFFSET(F1182,1-'参数'!$B$2,0,'参数'!$B$2,1))*SQRT('参数'!$B$3),"")</f>
        <v/>
      </c>
    </row>
    <row r="1183">
      <c r="A1183">
        <f>'对齐'!A1183</f>
        <v/>
      </c>
      <c r="B1183">
        <f>'对齐'!B1183/'对齐'!B1182-1</f>
        <v/>
      </c>
      <c r="C1183">
        <f>'对齐'!B1183/'对齐'!B$2*100</f>
        <v/>
      </c>
      <c r="D1183">
        <f>'对齐'!B1183/MAX('对齐'!B$2:'对齐'!B1183)-1</f>
        <v/>
      </c>
      <c r="E1183">
        <f>IF(ROW()-2&gt;='参数'!$B$2,STDEV(OFFSET(B1183,1-'参数'!$B$2,0,'参数'!$B$2,1))*SQRT('参数'!$B$3),"")</f>
        <v/>
      </c>
      <c r="F1183">
        <f>'对齐'!C1183/'对齐'!C1182-1</f>
        <v/>
      </c>
      <c r="G1183">
        <f>'对齐'!C1183/'对齐'!C$2*100</f>
        <v/>
      </c>
      <c r="H1183">
        <f>'对齐'!C1183/MAX('对齐'!C$2:'对齐'!C1183)-1</f>
        <v/>
      </c>
      <c r="I1183">
        <f>IF(ROW()-2&gt;='参数'!$B$2,STDEV(OFFSET(F1183,1-'参数'!$B$2,0,'参数'!$B$2,1))*SQRT('参数'!$B$3),"")</f>
        <v/>
      </c>
    </row>
    <row r="1184">
      <c r="A1184">
        <f>'对齐'!A1184</f>
        <v/>
      </c>
      <c r="B1184">
        <f>'对齐'!B1184/'对齐'!B1183-1</f>
        <v/>
      </c>
      <c r="C1184">
        <f>'对齐'!B1184/'对齐'!B$2*100</f>
        <v/>
      </c>
      <c r="D1184">
        <f>'对齐'!B1184/MAX('对齐'!B$2:'对齐'!B1184)-1</f>
        <v/>
      </c>
      <c r="E1184">
        <f>IF(ROW()-2&gt;='参数'!$B$2,STDEV(OFFSET(B1184,1-'参数'!$B$2,0,'参数'!$B$2,1))*SQRT('参数'!$B$3),"")</f>
        <v/>
      </c>
      <c r="F1184">
        <f>'对齐'!C1184/'对齐'!C1183-1</f>
        <v/>
      </c>
      <c r="G1184">
        <f>'对齐'!C1184/'对齐'!C$2*100</f>
        <v/>
      </c>
      <c r="H1184">
        <f>'对齐'!C1184/MAX('对齐'!C$2:'对齐'!C1184)-1</f>
        <v/>
      </c>
      <c r="I1184">
        <f>IF(ROW()-2&gt;='参数'!$B$2,STDEV(OFFSET(F1184,1-'参数'!$B$2,0,'参数'!$B$2,1))*SQRT('参数'!$B$3),"")</f>
        <v/>
      </c>
    </row>
    <row r="1185">
      <c r="A1185">
        <f>'对齐'!A1185</f>
        <v/>
      </c>
      <c r="B1185">
        <f>'对齐'!B1185/'对齐'!B1184-1</f>
        <v/>
      </c>
      <c r="C1185">
        <f>'对齐'!B1185/'对齐'!B$2*100</f>
        <v/>
      </c>
      <c r="D1185">
        <f>'对齐'!B1185/MAX('对齐'!B$2:'对齐'!B1185)-1</f>
        <v/>
      </c>
      <c r="E1185">
        <f>IF(ROW()-2&gt;='参数'!$B$2,STDEV(OFFSET(B1185,1-'参数'!$B$2,0,'参数'!$B$2,1))*SQRT('参数'!$B$3),"")</f>
        <v/>
      </c>
      <c r="F1185">
        <f>'对齐'!C1185/'对齐'!C1184-1</f>
        <v/>
      </c>
      <c r="G1185">
        <f>'对齐'!C1185/'对齐'!C$2*100</f>
        <v/>
      </c>
      <c r="H1185">
        <f>'对齐'!C1185/MAX('对齐'!C$2:'对齐'!C1185)-1</f>
        <v/>
      </c>
      <c r="I1185">
        <f>IF(ROW()-2&gt;='参数'!$B$2,STDEV(OFFSET(F1185,1-'参数'!$B$2,0,'参数'!$B$2,1))*SQRT('参数'!$B$3),"")</f>
        <v/>
      </c>
    </row>
    <row r="1186">
      <c r="A1186">
        <f>'对齐'!A1186</f>
        <v/>
      </c>
      <c r="B1186">
        <f>'对齐'!B1186/'对齐'!B1185-1</f>
        <v/>
      </c>
      <c r="C1186">
        <f>'对齐'!B1186/'对齐'!B$2*100</f>
        <v/>
      </c>
      <c r="D1186">
        <f>'对齐'!B1186/MAX('对齐'!B$2:'对齐'!B1186)-1</f>
        <v/>
      </c>
      <c r="E1186">
        <f>IF(ROW()-2&gt;='参数'!$B$2,STDEV(OFFSET(B1186,1-'参数'!$B$2,0,'参数'!$B$2,1))*SQRT('参数'!$B$3),"")</f>
        <v/>
      </c>
      <c r="F1186">
        <f>'对齐'!C1186/'对齐'!C1185-1</f>
        <v/>
      </c>
      <c r="G1186">
        <f>'对齐'!C1186/'对齐'!C$2*100</f>
        <v/>
      </c>
      <c r="H1186">
        <f>'对齐'!C1186/MAX('对齐'!C$2:'对齐'!C1186)-1</f>
        <v/>
      </c>
      <c r="I1186">
        <f>IF(ROW()-2&gt;='参数'!$B$2,STDEV(OFFSET(F1186,1-'参数'!$B$2,0,'参数'!$B$2,1))*SQRT('参数'!$B$3),"")</f>
        <v/>
      </c>
    </row>
    <row r="1187">
      <c r="A1187">
        <f>'对齐'!A1187</f>
        <v/>
      </c>
      <c r="B1187">
        <f>'对齐'!B1187/'对齐'!B1186-1</f>
        <v/>
      </c>
      <c r="C1187">
        <f>'对齐'!B1187/'对齐'!B$2*100</f>
        <v/>
      </c>
      <c r="D1187">
        <f>'对齐'!B1187/MAX('对齐'!B$2:'对齐'!B1187)-1</f>
        <v/>
      </c>
      <c r="E1187">
        <f>IF(ROW()-2&gt;='参数'!$B$2,STDEV(OFFSET(B1187,1-'参数'!$B$2,0,'参数'!$B$2,1))*SQRT('参数'!$B$3),"")</f>
        <v/>
      </c>
      <c r="F1187">
        <f>'对齐'!C1187/'对齐'!C1186-1</f>
        <v/>
      </c>
      <c r="G1187">
        <f>'对齐'!C1187/'对齐'!C$2*100</f>
        <v/>
      </c>
      <c r="H1187">
        <f>'对齐'!C1187/MAX('对齐'!C$2:'对齐'!C1187)-1</f>
        <v/>
      </c>
      <c r="I1187">
        <f>IF(ROW()-2&gt;='参数'!$B$2,STDEV(OFFSET(F1187,1-'参数'!$B$2,0,'参数'!$B$2,1))*SQRT('参数'!$B$3),"")</f>
        <v/>
      </c>
    </row>
    <row r="1188">
      <c r="A1188">
        <f>'对齐'!A1188</f>
        <v/>
      </c>
      <c r="B1188">
        <f>'对齐'!B1188/'对齐'!B1187-1</f>
        <v/>
      </c>
      <c r="C1188">
        <f>'对齐'!B1188/'对齐'!B$2*100</f>
        <v/>
      </c>
      <c r="D1188">
        <f>'对齐'!B1188/MAX('对齐'!B$2:'对齐'!B1188)-1</f>
        <v/>
      </c>
      <c r="E1188">
        <f>IF(ROW()-2&gt;='参数'!$B$2,STDEV(OFFSET(B1188,1-'参数'!$B$2,0,'参数'!$B$2,1))*SQRT('参数'!$B$3),"")</f>
        <v/>
      </c>
      <c r="F1188">
        <f>'对齐'!C1188/'对齐'!C1187-1</f>
        <v/>
      </c>
      <c r="G1188">
        <f>'对齐'!C1188/'对齐'!C$2*100</f>
        <v/>
      </c>
      <c r="H1188">
        <f>'对齐'!C1188/MAX('对齐'!C$2:'对齐'!C1188)-1</f>
        <v/>
      </c>
      <c r="I1188">
        <f>IF(ROW()-2&gt;='参数'!$B$2,STDEV(OFFSET(F1188,1-'参数'!$B$2,0,'参数'!$B$2,1))*SQRT('参数'!$B$3),"")</f>
        <v/>
      </c>
    </row>
    <row r="1189">
      <c r="A1189">
        <f>'对齐'!A1189</f>
        <v/>
      </c>
      <c r="B1189">
        <f>'对齐'!B1189/'对齐'!B1188-1</f>
        <v/>
      </c>
      <c r="C1189">
        <f>'对齐'!B1189/'对齐'!B$2*100</f>
        <v/>
      </c>
      <c r="D1189">
        <f>'对齐'!B1189/MAX('对齐'!B$2:'对齐'!B1189)-1</f>
        <v/>
      </c>
      <c r="E1189">
        <f>IF(ROW()-2&gt;='参数'!$B$2,STDEV(OFFSET(B1189,1-'参数'!$B$2,0,'参数'!$B$2,1))*SQRT('参数'!$B$3),"")</f>
        <v/>
      </c>
      <c r="F1189">
        <f>'对齐'!C1189/'对齐'!C1188-1</f>
        <v/>
      </c>
      <c r="G1189">
        <f>'对齐'!C1189/'对齐'!C$2*100</f>
        <v/>
      </c>
      <c r="H1189">
        <f>'对齐'!C1189/MAX('对齐'!C$2:'对齐'!C1189)-1</f>
        <v/>
      </c>
      <c r="I1189">
        <f>IF(ROW()-2&gt;='参数'!$B$2,STDEV(OFFSET(F1189,1-'参数'!$B$2,0,'参数'!$B$2,1))*SQRT('参数'!$B$3),"")</f>
        <v/>
      </c>
    </row>
    <row r="1190">
      <c r="A1190">
        <f>'对齐'!A1190</f>
        <v/>
      </c>
      <c r="B1190">
        <f>'对齐'!B1190/'对齐'!B1189-1</f>
        <v/>
      </c>
      <c r="C1190">
        <f>'对齐'!B1190/'对齐'!B$2*100</f>
        <v/>
      </c>
      <c r="D1190">
        <f>'对齐'!B1190/MAX('对齐'!B$2:'对齐'!B1190)-1</f>
        <v/>
      </c>
      <c r="E1190">
        <f>IF(ROW()-2&gt;='参数'!$B$2,STDEV(OFFSET(B1190,1-'参数'!$B$2,0,'参数'!$B$2,1))*SQRT('参数'!$B$3),"")</f>
        <v/>
      </c>
      <c r="F1190">
        <f>'对齐'!C1190/'对齐'!C1189-1</f>
        <v/>
      </c>
      <c r="G1190">
        <f>'对齐'!C1190/'对齐'!C$2*100</f>
        <v/>
      </c>
      <c r="H1190">
        <f>'对齐'!C1190/MAX('对齐'!C$2:'对齐'!C1190)-1</f>
        <v/>
      </c>
      <c r="I1190">
        <f>IF(ROW()-2&gt;='参数'!$B$2,STDEV(OFFSET(F1190,1-'参数'!$B$2,0,'参数'!$B$2,1))*SQRT('参数'!$B$3),"")</f>
        <v/>
      </c>
    </row>
    <row r="1191">
      <c r="A1191">
        <f>'对齐'!A1191</f>
        <v/>
      </c>
      <c r="B1191">
        <f>'对齐'!B1191/'对齐'!B1190-1</f>
        <v/>
      </c>
      <c r="C1191">
        <f>'对齐'!B1191/'对齐'!B$2*100</f>
        <v/>
      </c>
      <c r="D1191">
        <f>'对齐'!B1191/MAX('对齐'!B$2:'对齐'!B1191)-1</f>
        <v/>
      </c>
      <c r="E1191">
        <f>IF(ROW()-2&gt;='参数'!$B$2,STDEV(OFFSET(B1191,1-'参数'!$B$2,0,'参数'!$B$2,1))*SQRT('参数'!$B$3),"")</f>
        <v/>
      </c>
      <c r="F1191">
        <f>'对齐'!C1191/'对齐'!C1190-1</f>
        <v/>
      </c>
      <c r="G1191">
        <f>'对齐'!C1191/'对齐'!C$2*100</f>
        <v/>
      </c>
      <c r="H1191">
        <f>'对齐'!C1191/MAX('对齐'!C$2:'对齐'!C1191)-1</f>
        <v/>
      </c>
      <c r="I1191">
        <f>IF(ROW()-2&gt;='参数'!$B$2,STDEV(OFFSET(F1191,1-'参数'!$B$2,0,'参数'!$B$2,1))*SQRT('参数'!$B$3),"")</f>
        <v/>
      </c>
    </row>
    <row r="1192">
      <c r="A1192">
        <f>'对齐'!A1192</f>
        <v/>
      </c>
      <c r="B1192">
        <f>'对齐'!B1192/'对齐'!B1191-1</f>
        <v/>
      </c>
      <c r="C1192">
        <f>'对齐'!B1192/'对齐'!B$2*100</f>
        <v/>
      </c>
      <c r="D1192">
        <f>'对齐'!B1192/MAX('对齐'!B$2:'对齐'!B1192)-1</f>
        <v/>
      </c>
      <c r="E1192">
        <f>IF(ROW()-2&gt;='参数'!$B$2,STDEV(OFFSET(B1192,1-'参数'!$B$2,0,'参数'!$B$2,1))*SQRT('参数'!$B$3),"")</f>
        <v/>
      </c>
      <c r="F1192">
        <f>'对齐'!C1192/'对齐'!C1191-1</f>
        <v/>
      </c>
      <c r="G1192">
        <f>'对齐'!C1192/'对齐'!C$2*100</f>
        <v/>
      </c>
      <c r="H1192">
        <f>'对齐'!C1192/MAX('对齐'!C$2:'对齐'!C1192)-1</f>
        <v/>
      </c>
      <c r="I1192">
        <f>IF(ROW()-2&gt;='参数'!$B$2,STDEV(OFFSET(F1192,1-'参数'!$B$2,0,'参数'!$B$2,1))*SQRT('参数'!$B$3),"")</f>
        <v/>
      </c>
    </row>
    <row r="1193">
      <c r="A1193">
        <f>'对齐'!A1193</f>
        <v/>
      </c>
      <c r="B1193">
        <f>'对齐'!B1193/'对齐'!B1192-1</f>
        <v/>
      </c>
      <c r="C1193">
        <f>'对齐'!B1193/'对齐'!B$2*100</f>
        <v/>
      </c>
      <c r="D1193">
        <f>'对齐'!B1193/MAX('对齐'!B$2:'对齐'!B1193)-1</f>
        <v/>
      </c>
      <c r="E1193">
        <f>IF(ROW()-2&gt;='参数'!$B$2,STDEV(OFFSET(B1193,1-'参数'!$B$2,0,'参数'!$B$2,1))*SQRT('参数'!$B$3),"")</f>
        <v/>
      </c>
      <c r="F1193">
        <f>'对齐'!C1193/'对齐'!C1192-1</f>
        <v/>
      </c>
      <c r="G1193">
        <f>'对齐'!C1193/'对齐'!C$2*100</f>
        <v/>
      </c>
      <c r="H1193">
        <f>'对齐'!C1193/MAX('对齐'!C$2:'对齐'!C1193)-1</f>
        <v/>
      </c>
      <c r="I1193">
        <f>IF(ROW()-2&gt;='参数'!$B$2,STDEV(OFFSET(F1193,1-'参数'!$B$2,0,'参数'!$B$2,1))*SQRT('参数'!$B$3),"")</f>
        <v/>
      </c>
    </row>
    <row r="1194">
      <c r="A1194">
        <f>'对齐'!A1194</f>
        <v/>
      </c>
      <c r="B1194">
        <f>'对齐'!B1194/'对齐'!B1193-1</f>
        <v/>
      </c>
      <c r="C1194">
        <f>'对齐'!B1194/'对齐'!B$2*100</f>
        <v/>
      </c>
      <c r="D1194">
        <f>'对齐'!B1194/MAX('对齐'!B$2:'对齐'!B1194)-1</f>
        <v/>
      </c>
      <c r="E1194">
        <f>IF(ROW()-2&gt;='参数'!$B$2,STDEV(OFFSET(B1194,1-'参数'!$B$2,0,'参数'!$B$2,1))*SQRT('参数'!$B$3),"")</f>
        <v/>
      </c>
      <c r="F1194">
        <f>'对齐'!C1194/'对齐'!C1193-1</f>
        <v/>
      </c>
      <c r="G1194">
        <f>'对齐'!C1194/'对齐'!C$2*100</f>
        <v/>
      </c>
      <c r="H1194">
        <f>'对齐'!C1194/MAX('对齐'!C$2:'对齐'!C1194)-1</f>
        <v/>
      </c>
      <c r="I1194">
        <f>IF(ROW()-2&gt;='参数'!$B$2,STDEV(OFFSET(F1194,1-'参数'!$B$2,0,'参数'!$B$2,1))*SQRT('参数'!$B$3),"")</f>
        <v/>
      </c>
    </row>
    <row r="1195">
      <c r="A1195">
        <f>'对齐'!A1195</f>
        <v/>
      </c>
      <c r="B1195">
        <f>'对齐'!B1195/'对齐'!B1194-1</f>
        <v/>
      </c>
      <c r="C1195">
        <f>'对齐'!B1195/'对齐'!B$2*100</f>
        <v/>
      </c>
      <c r="D1195">
        <f>'对齐'!B1195/MAX('对齐'!B$2:'对齐'!B1195)-1</f>
        <v/>
      </c>
      <c r="E1195">
        <f>IF(ROW()-2&gt;='参数'!$B$2,STDEV(OFFSET(B1195,1-'参数'!$B$2,0,'参数'!$B$2,1))*SQRT('参数'!$B$3),"")</f>
        <v/>
      </c>
      <c r="F1195">
        <f>'对齐'!C1195/'对齐'!C1194-1</f>
        <v/>
      </c>
      <c r="G1195">
        <f>'对齐'!C1195/'对齐'!C$2*100</f>
        <v/>
      </c>
      <c r="H1195">
        <f>'对齐'!C1195/MAX('对齐'!C$2:'对齐'!C1195)-1</f>
        <v/>
      </c>
      <c r="I1195">
        <f>IF(ROW()-2&gt;='参数'!$B$2,STDEV(OFFSET(F1195,1-'参数'!$B$2,0,'参数'!$B$2,1))*SQRT('参数'!$B$3),"")</f>
        <v/>
      </c>
    </row>
    <row r="1196">
      <c r="A1196">
        <f>'对齐'!A1196</f>
        <v/>
      </c>
      <c r="B1196">
        <f>'对齐'!B1196/'对齐'!B1195-1</f>
        <v/>
      </c>
      <c r="C1196">
        <f>'对齐'!B1196/'对齐'!B$2*100</f>
        <v/>
      </c>
      <c r="D1196">
        <f>'对齐'!B1196/MAX('对齐'!B$2:'对齐'!B1196)-1</f>
        <v/>
      </c>
      <c r="E1196">
        <f>IF(ROW()-2&gt;='参数'!$B$2,STDEV(OFFSET(B1196,1-'参数'!$B$2,0,'参数'!$B$2,1))*SQRT('参数'!$B$3),"")</f>
        <v/>
      </c>
      <c r="F1196">
        <f>'对齐'!C1196/'对齐'!C1195-1</f>
        <v/>
      </c>
      <c r="G1196">
        <f>'对齐'!C1196/'对齐'!C$2*100</f>
        <v/>
      </c>
      <c r="H1196">
        <f>'对齐'!C1196/MAX('对齐'!C$2:'对齐'!C1196)-1</f>
        <v/>
      </c>
      <c r="I1196">
        <f>IF(ROW()-2&gt;='参数'!$B$2,STDEV(OFFSET(F1196,1-'参数'!$B$2,0,'参数'!$B$2,1))*SQRT('参数'!$B$3),"")</f>
        <v/>
      </c>
    </row>
    <row r="1197">
      <c r="A1197">
        <f>'对齐'!A1197</f>
        <v/>
      </c>
      <c r="B1197">
        <f>'对齐'!B1197/'对齐'!B1196-1</f>
        <v/>
      </c>
      <c r="C1197">
        <f>'对齐'!B1197/'对齐'!B$2*100</f>
        <v/>
      </c>
      <c r="D1197">
        <f>'对齐'!B1197/MAX('对齐'!B$2:'对齐'!B1197)-1</f>
        <v/>
      </c>
      <c r="E1197">
        <f>IF(ROW()-2&gt;='参数'!$B$2,STDEV(OFFSET(B1197,1-'参数'!$B$2,0,'参数'!$B$2,1))*SQRT('参数'!$B$3),"")</f>
        <v/>
      </c>
      <c r="F1197">
        <f>'对齐'!C1197/'对齐'!C1196-1</f>
        <v/>
      </c>
      <c r="G1197">
        <f>'对齐'!C1197/'对齐'!C$2*100</f>
        <v/>
      </c>
      <c r="H1197">
        <f>'对齐'!C1197/MAX('对齐'!C$2:'对齐'!C1197)-1</f>
        <v/>
      </c>
      <c r="I1197">
        <f>IF(ROW()-2&gt;='参数'!$B$2,STDEV(OFFSET(F1197,1-'参数'!$B$2,0,'参数'!$B$2,1))*SQRT('参数'!$B$3),"")</f>
        <v/>
      </c>
    </row>
    <row r="1198">
      <c r="A1198">
        <f>'对齐'!A1198</f>
        <v/>
      </c>
      <c r="B1198">
        <f>'对齐'!B1198/'对齐'!B1197-1</f>
        <v/>
      </c>
      <c r="C1198">
        <f>'对齐'!B1198/'对齐'!B$2*100</f>
        <v/>
      </c>
      <c r="D1198">
        <f>'对齐'!B1198/MAX('对齐'!B$2:'对齐'!B1198)-1</f>
        <v/>
      </c>
      <c r="E1198">
        <f>IF(ROW()-2&gt;='参数'!$B$2,STDEV(OFFSET(B1198,1-'参数'!$B$2,0,'参数'!$B$2,1))*SQRT('参数'!$B$3),"")</f>
        <v/>
      </c>
      <c r="F1198">
        <f>'对齐'!C1198/'对齐'!C1197-1</f>
        <v/>
      </c>
      <c r="G1198">
        <f>'对齐'!C1198/'对齐'!C$2*100</f>
        <v/>
      </c>
      <c r="H1198">
        <f>'对齐'!C1198/MAX('对齐'!C$2:'对齐'!C1198)-1</f>
        <v/>
      </c>
      <c r="I1198">
        <f>IF(ROW()-2&gt;='参数'!$B$2,STDEV(OFFSET(F1198,1-'参数'!$B$2,0,'参数'!$B$2,1))*SQRT('参数'!$B$3),"")</f>
        <v/>
      </c>
    </row>
    <row r="1199">
      <c r="A1199">
        <f>'对齐'!A1199</f>
        <v/>
      </c>
      <c r="B1199">
        <f>'对齐'!B1199/'对齐'!B1198-1</f>
        <v/>
      </c>
      <c r="C1199">
        <f>'对齐'!B1199/'对齐'!B$2*100</f>
        <v/>
      </c>
      <c r="D1199">
        <f>'对齐'!B1199/MAX('对齐'!B$2:'对齐'!B1199)-1</f>
        <v/>
      </c>
      <c r="E1199">
        <f>IF(ROW()-2&gt;='参数'!$B$2,STDEV(OFFSET(B1199,1-'参数'!$B$2,0,'参数'!$B$2,1))*SQRT('参数'!$B$3),"")</f>
        <v/>
      </c>
      <c r="F1199">
        <f>'对齐'!C1199/'对齐'!C1198-1</f>
        <v/>
      </c>
      <c r="G1199">
        <f>'对齐'!C1199/'对齐'!C$2*100</f>
        <v/>
      </c>
      <c r="H1199">
        <f>'对齐'!C1199/MAX('对齐'!C$2:'对齐'!C1199)-1</f>
        <v/>
      </c>
      <c r="I1199">
        <f>IF(ROW()-2&gt;='参数'!$B$2,STDEV(OFFSET(F1199,1-'参数'!$B$2,0,'参数'!$B$2,1))*SQRT('参数'!$B$3),"")</f>
        <v/>
      </c>
    </row>
    <row r="1200">
      <c r="A1200">
        <f>'对齐'!A1200</f>
        <v/>
      </c>
      <c r="B1200">
        <f>'对齐'!B1200/'对齐'!B1199-1</f>
        <v/>
      </c>
      <c r="C1200">
        <f>'对齐'!B1200/'对齐'!B$2*100</f>
        <v/>
      </c>
      <c r="D1200">
        <f>'对齐'!B1200/MAX('对齐'!B$2:'对齐'!B1200)-1</f>
        <v/>
      </c>
      <c r="E1200">
        <f>IF(ROW()-2&gt;='参数'!$B$2,STDEV(OFFSET(B1200,1-'参数'!$B$2,0,'参数'!$B$2,1))*SQRT('参数'!$B$3),"")</f>
        <v/>
      </c>
      <c r="F1200">
        <f>'对齐'!C1200/'对齐'!C1199-1</f>
        <v/>
      </c>
      <c r="G1200">
        <f>'对齐'!C1200/'对齐'!C$2*100</f>
        <v/>
      </c>
      <c r="H1200">
        <f>'对齐'!C1200/MAX('对齐'!C$2:'对齐'!C1200)-1</f>
        <v/>
      </c>
      <c r="I1200">
        <f>IF(ROW()-2&gt;='参数'!$B$2,STDEV(OFFSET(F1200,1-'参数'!$B$2,0,'参数'!$B$2,1))*SQRT('参数'!$B$3),"")</f>
        <v/>
      </c>
    </row>
    <row r="1201">
      <c r="A1201">
        <f>'对齐'!A1201</f>
        <v/>
      </c>
      <c r="B1201">
        <f>'对齐'!B1201/'对齐'!B1200-1</f>
        <v/>
      </c>
      <c r="C1201">
        <f>'对齐'!B1201/'对齐'!B$2*100</f>
        <v/>
      </c>
      <c r="D1201">
        <f>'对齐'!B1201/MAX('对齐'!B$2:'对齐'!B1201)-1</f>
        <v/>
      </c>
      <c r="E1201">
        <f>IF(ROW()-2&gt;='参数'!$B$2,STDEV(OFFSET(B1201,1-'参数'!$B$2,0,'参数'!$B$2,1))*SQRT('参数'!$B$3),"")</f>
        <v/>
      </c>
      <c r="F1201">
        <f>'对齐'!C1201/'对齐'!C1200-1</f>
        <v/>
      </c>
      <c r="G1201">
        <f>'对齐'!C1201/'对齐'!C$2*100</f>
        <v/>
      </c>
      <c r="H1201">
        <f>'对齐'!C1201/MAX('对齐'!C$2:'对齐'!C1201)-1</f>
        <v/>
      </c>
      <c r="I1201">
        <f>IF(ROW()-2&gt;='参数'!$B$2,STDEV(OFFSET(F1201,1-'参数'!$B$2,0,'参数'!$B$2,1))*SQRT('参数'!$B$3),"")</f>
        <v/>
      </c>
    </row>
    <row r="1202">
      <c r="A1202">
        <f>'对齐'!A1202</f>
        <v/>
      </c>
      <c r="B1202">
        <f>'对齐'!B1202/'对齐'!B1201-1</f>
        <v/>
      </c>
      <c r="C1202">
        <f>'对齐'!B1202/'对齐'!B$2*100</f>
        <v/>
      </c>
      <c r="D1202">
        <f>'对齐'!B1202/MAX('对齐'!B$2:'对齐'!B1202)-1</f>
        <v/>
      </c>
      <c r="E1202">
        <f>IF(ROW()-2&gt;='参数'!$B$2,STDEV(OFFSET(B1202,1-'参数'!$B$2,0,'参数'!$B$2,1))*SQRT('参数'!$B$3),"")</f>
        <v/>
      </c>
      <c r="F1202">
        <f>'对齐'!C1202/'对齐'!C1201-1</f>
        <v/>
      </c>
      <c r="G1202">
        <f>'对齐'!C1202/'对齐'!C$2*100</f>
        <v/>
      </c>
      <c r="H1202">
        <f>'对齐'!C1202/MAX('对齐'!C$2:'对齐'!C1202)-1</f>
        <v/>
      </c>
      <c r="I1202">
        <f>IF(ROW()-2&gt;='参数'!$B$2,STDEV(OFFSET(F1202,1-'参数'!$B$2,0,'参数'!$B$2,1))*SQRT('参数'!$B$3),"")</f>
        <v/>
      </c>
    </row>
    <row r="1203">
      <c r="A1203">
        <f>'对齐'!A1203</f>
        <v/>
      </c>
      <c r="B1203">
        <f>'对齐'!B1203/'对齐'!B1202-1</f>
        <v/>
      </c>
      <c r="C1203">
        <f>'对齐'!B1203/'对齐'!B$2*100</f>
        <v/>
      </c>
      <c r="D1203">
        <f>'对齐'!B1203/MAX('对齐'!B$2:'对齐'!B1203)-1</f>
        <v/>
      </c>
      <c r="E1203">
        <f>IF(ROW()-2&gt;='参数'!$B$2,STDEV(OFFSET(B1203,1-'参数'!$B$2,0,'参数'!$B$2,1))*SQRT('参数'!$B$3),"")</f>
        <v/>
      </c>
      <c r="F1203">
        <f>'对齐'!C1203/'对齐'!C1202-1</f>
        <v/>
      </c>
      <c r="G1203">
        <f>'对齐'!C1203/'对齐'!C$2*100</f>
        <v/>
      </c>
      <c r="H1203">
        <f>'对齐'!C1203/MAX('对齐'!C$2:'对齐'!C1203)-1</f>
        <v/>
      </c>
      <c r="I1203">
        <f>IF(ROW()-2&gt;='参数'!$B$2,STDEV(OFFSET(F1203,1-'参数'!$B$2,0,'参数'!$B$2,1))*SQRT('参数'!$B$3),"")</f>
        <v/>
      </c>
    </row>
    <row r="1204">
      <c r="A1204">
        <f>'对齐'!A1204</f>
        <v/>
      </c>
      <c r="B1204">
        <f>'对齐'!B1204/'对齐'!B1203-1</f>
        <v/>
      </c>
      <c r="C1204">
        <f>'对齐'!B1204/'对齐'!B$2*100</f>
        <v/>
      </c>
      <c r="D1204">
        <f>'对齐'!B1204/MAX('对齐'!B$2:'对齐'!B1204)-1</f>
        <v/>
      </c>
      <c r="E1204">
        <f>IF(ROW()-2&gt;='参数'!$B$2,STDEV(OFFSET(B1204,1-'参数'!$B$2,0,'参数'!$B$2,1))*SQRT('参数'!$B$3),"")</f>
        <v/>
      </c>
      <c r="F1204">
        <f>'对齐'!C1204/'对齐'!C1203-1</f>
        <v/>
      </c>
      <c r="G1204">
        <f>'对齐'!C1204/'对齐'!C$2*100</f>
        <v/>
      </c>
      <c r="H1204">
        <f>'对齐'!C1204/MAX('对齐'!C$2:'对齐'!C1204)-1</f>
        <v/>
      </c>
      <c r="I1204">
        <f>IF(ROW()-2&gt;='参数'!$B$2,STDEV(OFFSET(F1204,1-'参数'!$B$2,0,'参数'!$B$2,1))*SQRT('参数'!$B$3),"")</f>
        <v/>
      </c>
    </row>
    <row r="1205">
      <c r="A1205">
        <f>'对齐'!A1205</f>
        <v/>
      </c>
      <c r="B1205">
        <f>'对齐'!B1205/'对齐'!B1204-1</f>
        <v/>
      </c>
      <c r="C1205">
        <f>'对齐'!B1205/'对齐'!B$2*100</f>
        <v/>
      </c>
      <c r="D1205">
        <f>'对齐'!B1205/MAX('对齐'!B$2:'对齐'!B1205)-1</f>
        <v/>
      </c>
      <c r="E1205">
        <f>IF(ROW()-2&gt;='参数'!$B$2,STDEV(OFFSET(B1205,1-'参数'!$B$2,0,'参数'!$B$2,1))*SQRT('参数'!$B$3),"")</f>
        <v/>
      </c>
      <c r="F1205">
        <f>'对齐'!C1205/'对齐'!C1204-1</f>
        <v/>
      </c>
      <c r="G1205">
        <f>'对齐'!C1205/'对齐'!C$2*100</f>
        <v/>
      </c>
      <c r="H1205">
        <f>'对齐'!C1205/MAX('对齐'!C$2:'对齐'!C1205)-1</f>
        <v/>
      </c>
      <c r="I1205">
        <f>IF(ROW()-2&gt;='参数'!$B$2,STDEV(OFFSET(F1205,1-'参数'!$B$2,0,'参数'!$B$2,1))*SQRT('参数'!$B$3),"")</f>
        <v/>
      </c>
    </row>
    <row r="1206">
      <c r="A1206">
        <f>'对齐'!A1206</f>
        <v/>
      </c>
      <c r="B1206">
        <f>'对齐'!B1206/'对齐'!B1205-1</f>
        <v/>
      </c>
      <c r="C1206">
        <f>'对齐'!B1206/'对齐'!B$2*100</f>
        <v/>
      </c>
      <c r="D1206">
        <f>'对齐'!B1206/MAX('对齐'!B$2:'对齐'!B1206)-1</f>
        <v/>
      </c>
      <c r="E1206">
        <f>IF(ROW()-2&gt;='参数'!$B$2,STDEV(OFFSET(B1206,1-'参数'!$B$2,0,'参数'!$B$2,1))*SQRT('参数'!$B$3),"")</f>
        <v/>
      </c>
      <c r="F1206">
        <f>'对齐'!C1206/'对齐'!C1205-1</f>
        <v/>
      </c>
      <c r="G1206">
        <f>'对齐'!C1206/'对齐'!C$2*100</f>
        <v/>
      </c>
      <c r="H1206">
        <f>'对齐'!C1206/MAX('对齐'!C$2:'对齐'!C1206)-1</f>
        <v/>
      </c>
      <c r="I1206">
        <f>IF(ROW()-2&gt;='参数'!$B$2,STDEV(OFFSET(F1206,1-'参数'!$B$2,0,'参数'!$B$2,1))*SQRT('参数'!$B$3),"")</f>
        <v/>
      </c>
    </row>
    <row r="1207">
      <c r="A1207">
        <f>'对齐'!A1207</f>
        <v/>
      </c>
      <c r="B1207">
        <f>'对齐'!B1207/'对齐'!B1206-1</f>
        <v/>
      </c>
      <c r="C1207">
        <f>'对齐'!B1207/'对齐'!B$2*100</f>
        <v/>
      </c>
      <c r="D1207">
        <f>'对齐'!B1207/MAX('对齐'!B$2:'对齐'!B1207)-1</f>
        <v/>
      </c>
      <c r="E1207">
        <f>IF(ROW()-2&gt;='参数'!$B$2,STDEV(OFFSET(B1207,1-'参数'!$B$2,0,'参数'!$B$2,1))*SQRT('参数'!$B$3),"")</f>
        <v/>
      </c>
      <c r="F1207">
        <f>'对齐'!C1207/'对齐'!C1206-1</f>
        <v/>
      </c>
      <c r="G1207">
        <f>'对齐'!C1207/'对齐'!C$2*100</f>
        <v/>
      </c>
      <c r="H1207">
        <f>'对齐'!C1207/MAX('对齐'!C$2:'对齐'!C1207)-1</f>
        <v/>
      </c>
      <c r="I1207">
        <f>IF(ROW()-2&gt;='参数'!$B$2,STDEV(OFFSET(F1207,1-'参数'!$B$2,0,'参数'!$B$2,1))*SQRT('参数'!$B$3),"")</f>
        <v/>
      </c>
    </row>
    <row r="1208">
      <c r="A1208">
        <f>'对齐'!A1208</f>
        <v/>
      </c>
      <c r="B1208">
        <f>'对齐'!B1208/'对齐'!B1207-1</f>
        <v/>
      </c>
      <c r="C1208">
        <f>'对齐'!B1208/'对齐'!B$2*100</f>
        <v/>
      </c>
      <c r="D1208">
        <f>'对齐'!B1208/MAX('对齐'!B$2:'对齐'!B1208)-1</f>
        <v/>
      </c>
      <c r="E1208">
        <f>IF(ROW()-2&gt;='参数'!$B$2,STDEV(OFFSET(B1208,1-'参数'!$B$2,0,'参数'!$B$2,1))*SQRT('参数'!$B$3),"")</f>
        <v/>
      </c>
      <c r="F1208">
        <f>'对齐'!C1208/'对齐'!C1207-1</f>
        <v/>
      </c>
      <c r="G1208">
        <f>'对齐'!C1208/'对齐'!C$2*100</f>
        <v/>
      </c>
      <c r="H1208">
        <f>'对齐'!C1208/MAX('对齐'!C$2:'对齐'!C1208)-1</f>
        <v/>
      </c>
      <c r="I1208">
        <f>IF(ROW()-2&gt;='参数'!$B$2,STDEV(OFFSET(F1208,1-'参数'!$B$2,0,'参数'!$B$2,1))*SQRT('参数'!$B$3),"")</f>
        <v/>
      </c>
    </row>
    <row r="1209">
      <c r="A1209">
        <f>'对齐'!A1209</f>
        <v/>
      </c>
      <c r="B1209">
        <f>'对齐'!B1209/'对齐'!B1208-1</f>
        <v/>
      </c>
      <c r="C1209">
        <f>'对齐'!B1209/'对齐'!B$2*100</f>
        <v/>
      </c>
      <c r="D1209">
        <f>'对齐'!B1209/MAX('对齐'!B$2:'对齐'!B1209)-1</f>
        <v/>
      </c>
      <c r="E1209">
        <f>IF(ROW()-2&gt;='参数'!$B$2,STDEV(OFFSET(B1209,1-'参数'!$B$2,0,'参数'!$B$2,1))*SQRT('参数'!$B$3),"")</f>
        <v/>
      </c>
      <c r="F1209">
        <f>'对齐'!C1209/'对齐'!C1208-1</f>
        <v/>
      </c>
      <c r="G1209">
        <f>'对齐'!C1209/'对齐'!C$2*100</f>
        <v/>
      </c>
      <c r="H1209">
        <f>'对齐'!C1209/MAX('对齐'!C$2:'对齐'!C1209)-1</f>
        <v/>
      </c>
      <c r="I1209">
        <f>IF(ROW()-2&gt;='参数'!$B$2,STDEV(OFFSET(F1209,1-'参数'!$B$2,0,'参数'!$B$2,1))*SQRT('参数'!$B$3),"")</f>
        <v/>
      </c>
    </row>
    <row r="1210">
      <c r="A1210">
        <f>'对齐'!A1210</f>
        <v/>
      </c>
      <c r="B1210">
        <f>'对齐'!B1210/'对齐'!B1209-1</f>
        <v/>
      </c>
      <c r="C1210">
        <f>'对齐'!B1210/'对齐'!B$2*100</f>
        <v/>
      </c>
      <c r="D1210">
        <f>'对齐'!B1210/MAX('对齐'!B$2:'对齐'!B1210)-1</f>
        <v/>
      </c>
      <c r="E1210">
        <f>IF(ROW()-2&gt;='参数'!$B$2,STDEV(OFFSET(B1210,1-'参数'!$B$2,0,'参数'!$B$2,1))*SQRT('参数'!$B$3),"")</f>
        <v/>
      </c>
      <c r="F1210">
        <f>'对齐'!C1210/'对齐'!C1209-1</f>
        <v/>
      </c>
      <c r="G1210">
        <f>'对齐'!C1210/'对齐'!C$2*100</f>
        <v/>
      </c>
      <c r="H1210">
        <f>'对齐'!C1210/MAX('对齐'!C$2:'对齐'!C1210)-1</f>
        <v/>
      </c>
      <c r="I1210">
        <f>IF(ROW()-2&gt;='参数'!$B$2,STDEV(OFFSET(F1210,1-'参数'!$B$2,0,'参数'!$B$2,1))*SQRT('参数'!$B$3),"")</f>
        <v/>
      </c>
    </row>
    <row r="1211">
      <c r="A1211">
        <f>'对齐'!A1211</f>
        <v/>
      </c>
      <c r="B1211">
        <f>'对齐'!B1211/'对齐'!B1210-1</f>
        <v/>
      </c>
      <c r="C1211">
        <f>'对齐'!B1211/'对齐'!B$2*100</f>
        <v/>
      </c>
      <c r="D1211">
        <f>'对齐'!B1211/MAX('对齐'!B$2:'对齐'!B1211)-1</f>
        <v/>
      </c>
      <c r="E1211">
        <f>IF(ROW()-2&gt;='参数'!$B$2,STDEV(OFFSET(B1211,1-'参数'!$B$2,0,'参数'!$B$2,1))*SQRT('参数'!$B$3),"")</f>
        <v/>
      </c>
      <c r="F1211">
        <f>'对齐'!C1211/'对齐'!C1210-1</f>
        <v/>
      </c>
      <c r="G1211">
        <f>'对齐'!C1211/'对齐'!C$2*100</f>
        <v/>
      </c>
      <c r="H1211">
        <f>'对齐'!C1211/MAX('对齐'!C$2:'对齐'!C1211)-1</f>
        <v/>
      </c>
      <c r="I1211">
        <f>IF(ROW()-2&gt;='参数'!$B$2,STDEV(OFFSET(F1211,1-'参数'!$B$2,0,'参数'!$B$2,1))*SQRT('参数'!$B$3),"")</f>
        <v/>
      </c>
    </row>
    <row r="1212">
      <c r="A1212">
        <f>'对齐'!A1212</f>
        <v/>
      </c>
      <c r="B1212">
        <f>'对齐'!B1212/'对齐'!B1211-1</f>
        <v/>
      </c>
      <c r="C1212">
        <f>'对齐'!B1212/'对齐'!B$2*100</f>
        <v/>
      </c>
      <c r="D1212">
        <f>'对齐'!B1212/MAX('对齐'!B$2:'对齐'!B1212)-1</f>
        <v/>
      </c>
      <c r="E1212">
        <f>IF(ROW()-2&gt;='参数'!$B$2,STDEV(OFFSET(B1212,1-'参数'!$B$2,0,'参数'!$B$2,1))*SQRT('参数'!$B$3),"")</f>
        <v/>
      </c>
      <c r="F1212">
        <f>'对齐'!C1212/'对齐'!C1211-1</f>
        <v/>
      </c>
      <c r="G1212">
        <f>'对齐'!C1212/'对齐'!C$2*100</f>
        <v/>
      </c>
      <c r="H1212">
        <f>'对齐'!C1212/MAX('对齐'!C$2:'对齐'!C1212)-1</f>
        <v/>
      </c>
      <c r="I1212">
        <f>IF(ROW()-2&gt;='参数'!$B$2,STDEV(OFFSET(F1212,1-'参数'!$B$2,0,'参数'!$B$2,1))*SQRT('参数'!$B$3),"")</f>
        <v/>
      </c>
    </row>
    <row r="1213">
      <c r="A1213">
        <f>'对齐'!A1213</f>
        <v/>
      </c>
      <c r="B1213">
        <f>'对齐'!B1213/'对齐'!B1212-1</f>
        <v/>
      </c>
      <c r="C1213">
        <f>'对齐'!B1213/'对齐'!B$2*100</f>
        <v/>
      </c>
      <c r="D1213">
        <f>'对齐'!B1213/MAX('对齐'!B$2:'对齐'!B1213)-1</f>
        <v/>
      </c>
      <c r="E1213">
        <f>IF(ROW()-2&gt;='参数'!$B$2,STDEV(OFFSET(B1213,1-'参数'!$B$2,0,'参数'!$B$2,1))*SQRT('参数'!$B$3),"")</f>
        <v/>
      </c>
      <c r="F1213">
        <f>'对齐'!C1213/'对齐'!C1212-1</f>
        <v/>
      </c>
      <c r="G1213">
        <f>'对齐'!C1213/'对齐'!C$2*100</f>
        <v/>
      </c>
      <c r="H1213">
        <f>'对齐'!C1213/MAX('对齐'!C$2:'对齐'!C1213)-1</f>
        <v/>
      </c>
      <c r="I1213">
        <f>IF(ROW()-2&gt;='参数'!$B$2,STDEV(OFFSET(F1213,1-'参数'!$B$2,0,'参数'!$B$2,1))*SQRT('参数'!$B$3),"")</f>
        <v/>
      </c>
    </row>
    <row r="1214">
      <c r="A1214">
        <f>'对齐'!A1214</f>
        <v/>
      </c>
      <c r="B1214">
        <f>'对齐'!B1214/'对齐'!B1213-1</f>
        <v/>
      </c>
      <c r="C1214">
        <f>'对齐'!B1214/'对齐'!B$2*100</f>
        <v/>
      </c>
      <c r="D1214">
        <f>'对齐'!B1214/MAX('对齐'!B$2:'对齐'!B1214)-1</f>
        <v/>
      </c>
      <c r="E1214">
        <f>IF(ROW()-2&gt;='参数'!$B$2,STDEV(OFFSET(B1214,1-'参数'!$B$2,0,'参数'!$B$2,1))*SQRT('参数'!$B$3),"")</f>
        <v/>
      </c>
      <c r="F1214">
        <f>'对齐'!C1214/'对齐'!C1213-1</f>
        <v/>
      </c>
      <c r="G1214">
        <f>'对齐'!C1214/'对齐'!C$2*100</f>
        <v/>
      </c>
      <c r="H1214">
        <f>'对齐'!C1214/MAX('对齐'!C$2:'对齐'!C1214)-1</f>
        <v/>
      </c>
      <c r="I1214">
        <f>IF(ROW()-2&gt;='参数'!$B$2,STDEV(OFFSET(F1214,1-'参数'!$B$2,0,'参数'!$B$2,1))*SQRT('参数'!$B$3),"")</f>
        <v/>
      </c>
    </row>
    <row r="1215">
      <c r="A1215">
        <f>'对齐'!A1215</f>
        <v/>
      </c>
      <c r="B1215">
        <f>'对齐'!B1215/'对齐'!B1214-1</f>
        <v/>
      </c>
      <c r="C1215">
        <f>'对齐'!B1215/'对齐'!B$2*100</f>
        <v/>
      </c>
      <c r="D1215">
        <f>'对齐'!B1215/MAX('对齐'!B$2:'对齐'!B1215)-1</f>
        <v/>
      </c>
      <c r="E1215">
        <f>IF(ROW()-2&gt;='参数'!$B$2,STDEV(OFFSET(B1215,1-'参数'!$B$2,0,'参数'!$B$2,1))*SQRT('参数'!$B$3),"")</f>
        <v/>
      </c>
      <c r="F1215">
        <f>'对齐'!C1215/'对齐'!C1214-1</f>
        <v/>
      </c>
      <c r="G1215">
        <f>'对齐'!C1215/'对齐'!C$2*100</f>
        <v/>
      </c>
      <c r="H1215">
        <f>'对齐'!C1215/MAX('对齐'!C$2:'对齐'!C1215)-1</f>
        <v/>
      </c>
      <c r="I1215">
        <f>IF(ROW()-2&gt;='参数'!$B$2,STDEV(OFFSET(F1215,1-'参数'!$B$2,0,'参数'!$B$2,1))*SQRT('参数'!$B$3),"")</f>
        <v/>
      </c>
    </row>
    <row r="1216">
      <c r="A1216">
        <f>'对齐'!A1216</f>
        <v/>
      </c>
      <c r="B1216">
        <f>'对齐'!B1216/'对齐'!B1215-1</f>
        <v/>
      </c>
      <c r="C1216">
        <f>'对齐'!B1216/'对齐'!B$2*100</f>
        <v/>
      </c>
      <c r="D1216">
        <f>'对齐'!B1216/MAX('对齐'!B$2:'对齐'!B1216)-1</f>
        <v/>
      </c>
      <c r="E1216">
        <f>IF(ROW()-2&gt;='参数'!$B$2,STDEV(OFFSET(B1216,1-'参数'!$B$2,0,'参数'!$B$2,1))*SQRT('参数'!$B$3),"")</f>
        <v/>
      </c>
      <c r="F1216">
        <f>'对齐'!C1216/'对齐'!C1215-1</f>
        <v/>
      </c>
      <c r="G1216">
        <f>'对齐'!C1216/'对齐'!C$2*100</f>
        <v/>
      </c>
      <c r="H1216">
        <f>'对齐'!C1216/MAX('对齐'!C$2:'对齐'!C1216)-1</f>
        <v/>
      </c>
      <c r="I1216">
        <f>IF(ROW()-2&gt;='参数'!$B$2,STDEV(OFFSET(F1216,1-'参数'!$B$2,0,'参数'!$B$2,1))*SQRT('参数'!$B$3),"")</f>
        <v/>
      </c>
    </row>
    <row r="1217">
      <c r="A1217">
        <f>'对齐'!A1217</f>
        <v/>
      </c>
      <c r="B1217">
        <f>'对齐'!B1217/'对齐'!B1216-1</f>
        <v/>
      </c>
      <c r="C1217">
        <f>'对齐'!B1217/'对齐'!B$2*100</f>
        <v/>
      </c>
      <c r="D1217">
        <f>'对齐'!B1217/MAX('对齐'!B$2:'对齐'!B1217)-1</f>
        <v/>
      </c>
      <c r="E1217">
        <f>IF(ROW()-2&gt;='参数'!$B$2,STDEV(OFFSET(B1217,1-'参数'!$B$2,0,'参数'!$B$2,1))*SQRT('参数'!$B$3),"")</f>
        <v/>
      </c>
      <c r="F1217">
        <f>'对齐'!C1217/'对齐'!C1216-1</f>
        <v/>
      </c>
      <c r="G1217">
        <f>'对齐'!C1217/'对齐'!C$2*100</f>
        <v/>
      </c>
      <c r="H1217">
        <f>'对齐'!C1217/MAX('对齐'!C$2:'对齐'!C1217)-1</f>
        <v/>
      </c>
      <c r="I1217">
        <f>IF(ROW()-2&gt;='参数'!$B$2,STDEV(OFFSET(F1217,1-'参数'!$B$2,0,'参数'!$B$2,1))*SQRT('参数'!$B$3),"")</f>
        <v/>
      </c>
    </row>
    <row r="1218">
      <c r="A1218">
        <f>'对齐'!A1218</f>
        <v/>
      </c>
      <c r="B1218">
        <f>'对齐'!B1218/'对齐'!B1217-1</f>
        <v/>
      </c>
      <c r="C1218">
        <f>'对齐'!B1218/'对齐'!B$2*100</f>
        <v/>
      </c>
      <c r="D1218">
        <f>'对齐'!B1218/MAX('对齐'!B$2:'对齐'!B1218)-1</f>
        <v/>
      </c>
      <c r="E1218">
        <f>IF(ROW()-2&gt;='参数'!$B$2,STDEV(OFFSET(B1218,1-'参数'!$B$2,0,'参数'!$B$2,1))*SQRT('参数'!$B$3),"")</f>
        <v/>
      </c>
      <c r="F1218">
        <f>'对齐'!C1218/'对齐'!C1217-1</f>
        <v/>
      </c>
      <c r="G1218">
        <f>'对齐'!C1218/'对齐'!C$2*100</f>
        <v/>
      </c>
      <c r="H1218">
        <f>'对齐'!C1218/MAX('对齐'!C$2:'对齐'!C1218)-1</f>
        <v/>
      </c>
      <c r="I1218">
        <f>IF(ROW()-2&gt;='参数'!$B$2,STDEV(OFFSET(F1218,1-'参数'!$B$2,0,'参数'!$B$2,1))*SQRT('参数'!$B$3),"")</f>
        <v/>
      </c>
    </row>
    <row r="1219">
      <c r="A1219">
        <f>'对齐'!A1219</f>
        <v/>
      </c>
      <c r="B1219">
        <f>'对齐'!B1219/'对齐'!B1218-1</f>
        <v/>
      </c>
      <c r="C1219">
        <f>'对齐'!B1219/'对齐'!B$2*100</f>
        <v/>
      </c>
      <c r="D1219">
        <f>'对齐'!B1219/MAX('对齐'!B$2:'对齐'!B1219)-1</f>
        <v/>
      </c>
      <c r="E1219">
        <f>IF(ROW()-2&gt;='参数'!$B$2,STDEV(OFFSET(B1219,1-'参数'!$B$2,0,'参数'!$B$2,1))*SQRT('参数'!$B$3),"")</f>
        <v/>
      </c>
      <c r="F1219">
        <f>'对齐'!C1219/'对齐'!C1218-1</f>
        <v/>
      </c>
      <c r="G1219">
        <f>'对齐'!C1219/'对齐'!C$2*100</f>
        <v/>
      </c>
      <c r="H1219">
        <f>'对齐'!C1219/MAX('对齐'!C$2:'对齐'!C1219)-1</f>
        <v/>
      </c>
      <c r="I1219">
        <f>IF(ROW()-2&gt;='参数'!$B$2,STDEV(OFFSET(F1219,1-'参数'!$B$2,0,'参数'!$B$2,1))*SQRT('参数'!$B$3),"")</f>
        <v/>
      </c>
    </row>
    <row r="1220">
      <c r="A1220">
        <f>'对齐'!A1220</f>
        <v/>
      </c>
      <c r="B1220">
        <f>'对齐'!B1220/'对齐'!B1219-1</f>
        <v/>
      </c>
      <c r="C1220">
        <f>'对齐'!B1220/'对齐'!B$2*100</f>
        <v/>
      </c>
      <c r="D1220">
        <f>'对齐'!B1220/MAX('对齐'!B$2:'对齐'!B1220)-1</f>
        <v/>
      </c>
      <c r="E1220">
        <f>IF(ROW()-2&gt;='参数'!$B$2,STDEV(OFFSET(B1220,1-'参数'!$B$2,0,'参数'!$B$2,1))*SQRT('参数'!$B$3),"")</f>
        <v/>
      </c>
      <c r="F1220">
        <f>'对齐'!C1220/'对齐'!C1219-1</f>
        <v/>
      </c>
      <c r="G1220">
        <f>'对齐'!C1220/'对齐'!C$2*100</f>
        <v/>
      </c>
      <c r="H1220">
        <f>'对齐'!C1220/MAX('对齐'!C$2:'对齐'!C1220)-1</f>
        <v/>
      </c>
      <c r="I1220">
        <f>IF(ROW()-2&gt;='参数'!$B$2,STDEV(OFFSET(F1220,1-'参数'!$B$2,0,'参数'!$B$2,1))*SQRT('参数'!$B$3),"")</f>
        <v/>
      </c>
    </row>
    <row r="1221">
      <c r="A1221">
        <f>'对齐'!A1221</f>
        <v/>
      </c>
      <c r="B1221">
        <f>'对齐'!B1221/'对齐'!B1220-1</f>
        <v/>
      </c>
      <c r="C1221">
        <f>'对齐'!B1221/'对齐'!B$2*100</f>
        <v/>
      </c>
      <c r="D1221">
        <f>'对齐'!B1221/MAX('对齐'!B$2:'对齐'!B1221)-1</f>
        <v/>
      </c>
      <c r="E1221">
        <f>IF(ROW()-2&gt;='参数'!$B$2,STDEV(OFFSET(B1221,1-'参数'!$B$2,0,'参数'!$B$2,1))*SQRT('参数'!$B$3),"")</f>
        <v/>
      </c>
      <c r="F1221">
        <f>'对齐'!C1221/'对齐'!C1220-1</f>
        <v/>
      </c>
      <c r="G1221">
        <f>'对齐'!C1221/'对齐'!C$2*100</f>
        <v/>
      </c>
      <c r="H1221">
        <f>'对齐'!C1221/MAX('对齐'!C$2:'对齐'!C1221)-1</f>
        <v/>
      </c>
      <c r="I1221">
        <f>IF(ROW()-2&gt;='参数'!$B$2,STDEV(OFFSET(F1221,1-'参数'!$B$2,0,'参数'!$B$2,1))*SQRT('参数'!$B$3),"")</f>
        <v/>
      </c>
    </row>
    <row r="1222">
      <c r="A1222">
        <f>'对齐'!A1222</f>
        <v/>
      </c>
      <c r="B1222">
        <f>'对齐'!B1222/'对齐'!B1221-1</f>
        <v/>
      </c>
      <c r="C1222">
        <f>'对齐'!B1222/'对齐'!B$2*100</f>
        <v/>
      </c>
      <c r="D1222">
        <f>'对齐'!B1222/MAX('对齐'!B$2:'对齐'!B1222)-1</f>
        <v/>
      </c>
      <c r="E1222">
        <f>IF(ROW()-2&gt;='参数'!$B$2,STDEV(OFFSET(B1222,1-'参数'!$B$2,0,'参数'!$B$2,1))*SQRT('参数'!$B$3),"")</f>
        <v/>
      </c>
      <c r="F1222">
        <f>'对齐'!C1222/'对齐'!C1221-1</f>
        <v/>
      </c>
      <c r="G1222">
        <f>'对齐'!C1222/'对齐'!C$2*100</f>
        <v/>
      </c>
      <c r="H1222">
        <f>'对齐'!C1222/MAX('对齐'!C$2:'对齐'!C1222)-1</f>
        <v/>
      </c>
      <c r="I1222">
        <f>IF(ROW()-2&gt;='参数'!$B$2,STDEV(OFFSET(F1222,1-'参数'!$B$2,0,'参数'!$B$2,1))*SQRT('参数'!$B$3),"")</f>
        <v/>
      </c>
    </row>
    <row r="1223">
      <c r="A1223">
        <f>'对齐'!A1223</f>
        <v/>
      </c>
      <c r="B1223">
        <f>'对齐'!B1223/'对齐'!B1222-1</f>
        <v/>
      </c>
      <c r="C1223">
        <f>'对齐'!B1223/'对齐'!B$2*100</f>
        <v/>
      </c>
      <c r="D1223">
        <f>'对齐'!B1223/MAX('对齐'!B$2:'对齐'!B1223)-1</f>
        <v/>
      </c>
      <c r="E1223">
        <f>IF(ROW()-2&gt;='参数'!$B$2,STDEV(OFFSET(B1223,1-'参数'!$B$2,0,'参数'!$B$2,1))*SQRT('参数'!$B$3),"")</f>
        <v/>
      </c>
      <c r="F1223">
        <f>'对齐'!C1223/'对齐'!C1222-1</f>
        <v/>
      </c>
      <c r="G1223">
        <f>'对齐'!C1223/'对齐'!C$2*100</f>
        <v/>
      </c>
      <c r="H1223">
        <f>'对齐'!C1223/MAX('对齐'!C$2:'对齐'!C1223)-1</f>
        <v/>
      </c>
      <c r="I1223">
        <f>IF(ROW()-2&gt;='参数'!$B$2,STDEV(OFFSET(F1223,1-'参数'!$B$2,0,'参数'!$B$2,1))*SQRT('参数'!$B$3),"")</f>
        <v/>
      </c>
    </row>
    <row r="1224">
      <c r="A1224">
        <f>'对齐'!A1224</f>
        <v/>
      </c>
      <c r="B1224">
        <f>'对齐'!B1224/'对齐'!B1223-1</f>
        <v/>
      </c>
      <c r="C1224">
        <f>'对齐'!B1224/'对齐'!B$2*100</f>
        <v/>
      </c>
      <c r="D1224">
        <f>'对齐'!B1224/MAX('对齐'!B$2:'对齐'!B1224)-1</f>
        <v/>
      </c>
      <c r="E1224">
        <f>IF(ROW()-2&gt;='参数'!$B$2,STDEV(OFFSET(B1224,1-'参数'!$B$2,0,'参数'!$B$2,1))*SQRT('参数'!$B$3),"")</f>
        <v/>
      </c>
      <c r="F1224">
        <f>'对齐'!C1224/'对齐'!C1223-1</f>
        <v/>
      </c>
      <c r="G1224">
        <f>'对齐'!C1224/'对齐'!C$2*100</f>
        <v/>
      </c>
      <c r="H1224">
        <f>'对齐'!C1224/MAX('对齐'!C$2:'对齐'!C1224)-1</f>
        <v/>
      </c>
      <c r="I1224">
        <f>IF(ROW()-2&gt;='参数'!$B$2,STDEV(OFFSET(F1224,1-'参数'!$B$2,0,'参数'!$B$2,1))*SQRT('参数'!$B$3),"")</f>
        <v/>
      </c>
    </row>
    <row r="1225">
      <c r="A1225">
        <f>'对齐'!A1225</f>
        <v/>
      </c>
      <c r="B1225">
        <f>'对齐'!B1225/'对齐'!B1224-1</f>
        <v/>
      </c>
      <c r="C1225">
        <f>'对齐'!B1225/'对齐'!B$2*100</f>
        <v/>
      </c>
      <c r="D1225">
        <f>'对齐'!B1225/MAX('对齐'!B$2:'对齐'!B1225)-1</f>
        <v/>
      </c>
      <c r="E1225">
        <f>IF(ROW()-2&gt;='参数'!$B$2,STDEV(OFFSET(B1225,1-'参数'!$B$2,0,'参数'!$B$2,1))*SQRT('参数'!$B$3),"")</f>
        <v/>
      </c>
      <c r="F1225">
        <f>'对齐'!C1225/'对齐'!C1224-1</f>
        <v/>
      </c>
      <c r="G1225">
        <f>'对齐'!C1225/'对齐'!C$2*100</f>
        <v/>
      </c>
      <c r="H1225">
        <f>'对齐'!C1225/MAX('对齐'!C$2:'对齐'!C1225)-1</f>
        <v/>
      </c>
      <c r="I1225">
        <f>IF(ROW()-2&gt;='参数'!$B$2,STDEV(OFFSET(F1225,1-'参数'!$B$2,0,'参数'!$B$2,1))*SQRT('参数'!$B$3),"")</f>
        <v/>
      </c>
    </row>
    <row r="1226">
      <c r="A1226">
        <f>'对齐'!A1226</f>
        <v/>
      </c>
      <c r="B1226">
        <f>'对齐'!B1226/'对齐'!B1225-1</f>
        <v/>
      </c>
      <c r="C1226">
        <f>'对齐'!B1226/'对齐'!B$2*100</f>
        <v/>
      </c>
      <c r="D1226">
        <f>'对齐'!B1226/MAX('对齐'!B$2:'对齐'!B1226)-1</f>
        <v/>
      </c>
      <c r="E1226">
        <f>IF(ROW()-2&gt;='参数'!$B$2,STDEV(OFFSET(B1226,1-'参数'!$B$2,0,'参数'!$B$2,1))*SQRT('参数'!$B$3),"")</f>
        <v/>
      </c>
      <c r="F1226">
        <f>'对齐'!C1226/'对齐'!C1225-1</f>
        <v/>
      </c>
      <c r="G1226">
        <f>'对齐'!C1226/'对齐'!C$2*100</f>
        <v/>
      </c>
      <c r="H1226">
        <f>'对齐'!C1226/MAX('对齐'!C$2:'对齐'!C1226)-1</f>
        <v/>
      </c>
      <c r="I1226">
        <f>IF(ROW()-2&gt;='参数'!$B$2,STDEV(OFFSET(F1226,1-'参数'!$B$2,0,'参数'!$B$2,1))*SQRT('参数'!$B$3),"")</f>
        <v/>
      </c>
    </row>
    <row r="1227">
      <c r="A1227">
        <f>'对齐'!A1227</f>
        <v/>
      </c>
      <c r="B1227">
        <f>'对齐'!B1227/'对齐'!B1226-1</f>
        <v/>
      </c>
      <c r="C1227">
        <f>'对齐'!B1227/'对齐'!B$2*100</f>
        <v/>
      </c>
      <c r="D1227">
        <f>'对齐'!B1227/MAX('对齐'!B$2:'对齐'!B1227)-1</f>
        <v/>
      </c>
      <c r="E1227">
        <f>IF(ROW()-2&gt;='参数'!$B$2,STDEV(OFFSET(B1227,1-'参数'!$B$2,0,'参数'!$B$2,1))*SQRT('参数'!$B$3),"")</f>
        <v/>
      </c>
      <c r="F1227">
        <f>'对齐'!C1227/'对齐'!C1226-1</f>
        <v/>
      </c>
      <c r="G1227">
        <f>'对齐'!C1227/'对齐'!C$2*100</f>
        <v/>
      </c>
      <c r="H1227">
        <f>'对齐'!C1227/MAX('对齐'!C$2:'对齐'!C1227)-1</f>
        <v/>
      </c>
      <c r="I1227">
        <f>IF(ROW()-2&gt;='参数'!$B$2,STDEV(OFFSET(F1227,1-'参数'!$B$2,0,'参数'!$B$2,1))*SQRT('参数'!$B$3),"")</f>
        <v/>
      </c>
    </row>
    <row r="1228">
      <c r="A1228">
        <f>'对齐'!A1228</f>
        <v/>
      </c>
      <c r="B1228">
        <f>'对齐'!B1228/'对齐'!B1227-1</f>
        <v/>
      </c>
      <c r="C1228">
        <f>'对齐'!B1228/'对齐'!B$2*100</f>
        <v/>
      </c>
      <c r="D1228">
        <f>'对齐'!B1228/MAX('对齐'!B$2:'对齐'!B1228)-1</f>
        <v/>
      </c>
      <c r="E1228">
        <f>IF(ROW()-2&gt;='参数'!$B$2,STDEV(OFFSET(B1228,1-'参数'!$B$2,0,'参数'!$B$2,1))*SQRT('参数'!$B$3),"")</f>
        <v/>
      </c>
      <c r="F1228">
        <f>'对齐'!C1228/'对齐'!C1227-1</f>
        <v/>
      </c>
      <c r="G1228">
        <f>'对齐'!C1228/'对齐'!C$2*100</f>
        <v/>
      </c>
      <c r="H1228">
        <f>'对齐'!C1228/MAX('对齐'!C$2:'对齐'!C1228)-1</f>
        <v/>
      </c>
      <c r="I1228">
        <f>IF(ROW()-2&gt;='参数'!$B$2,STDEV(OFFSET(F1228,1-'参数'!$B$2,0,'参数'!$B$2,1))*SQRT('参数'!$B$3),"")</f>
        <v/>
      </c>
    </row>
    <row r="1229">
      <c r="A1229">
        <f>'对齐'!A1229</f>
        <v/>
      </c>
      <c r="B1229">
        <f>'对齐'!B1229/'对齐'!B1228-1</f>
        <v/>
      </c>
      <c r="C1229">
        <f>'对齐'!B1229/'对齐'!B$2*100</f>
        <v/>
      </c>
      <c r="D1229">
        <f>'对齐'!B1229/MAX('对齐'!B$2:'对齐'!B1229)-1</f>
        <v/>
      </c>
      <c r="E1229">
        <f>IF(ROW()-2&gt;='参数'!$B$2,STDEV(OFFSET(B1229,1-'参数'!$B$2,0,'参数'!$B$2,1))*SQRT('参数'!$B$3),"")</f>
        <v/>
      </c>
      <c r="F1229">
        <f>'对齐'!C1229/'对齐'!C1228-1</f>
        <v/>
      </c>
      <c r="G1229">
        <f>'对齐'!C1229/'对齐'!C$2*100</f>
        <v/>
      </c>
      <c r="H1229">
        <f>'对齐'!C1229/MAX('对齐'!C$2:'对齐'!C1229)-1</f>
        <v/>
      </c>
      <c r="I1229">
        <f>IF(ROW()-2&gt;='参数'!$B$2,STDEV(OFFSET(F1229,1-'参数'!$B$2,0,'参数'!$B$2,1))*SQRT('参数'!$B$3),"")</f>
        <v/>
      </c>
    </row>
    <row r="1230">
      <c r="A1230">
        <f>'对齐'!A1230</f>
        <v/>
      </c>
      <c r="B1230">
        <f>'对齐'!B1230/'对齐'!B1229-1</f>
        <v/>
      </c>
      <c r="C1230">
        <f>'对齐'!B1230/'对齐'!B$2*100</f>
        <v/>
      </c>
      <c r="D1230">
        <f>'对齐'!B1230/MAX('对齐'!B$2:'对齐'!B1230)-1</f>
        <v/>
      </c>
      <c r="E1230">
        <f>IF(ROW()-2&gt;='参数'!$B$2,STDEV(OFFSET(B1230,1-'参数'!$B$2,0,'参数'!$B$2,1))*SQRT('参数'!$B$3),"")</f>
        <v/>
      </c>
      <c r="F1230">
        <f>'对齐'!C1230/'对齐'!C1229-1</f>
        <v/>
      </c>
      <c r="G1230">
        <f>'对齐'!C1230/'对齐'!C$2*100</f>
        <v/>
      </c>
      <c r="H1230">
        <f>'对齐'!C1230/MAX('对齐'!C$2:'对齐'!C1230)-1</f>
        <v/>
      </c>
      <c r="I1230">
        <f>IF(ROW()-2&gt;='参数'!$B$2,STDEV(OFFSET(F1230,1-'参数'!$B$2,0,'参数'!$B$2,1))*SQRT('参数'!$B$3),"")</f>
        <v/>
      </c>
    </row>
    <row r="1231">
      <c r="A1231">
        <f>'对齐'!A1231</f>
        <v/>
      </c>
      <c r="B1231">
        <f>'对齐'!B1231/'对齐'!B1230-1</f>
        <v/>
      </c>
      <c r="C1231">
        <f>'对齐'!B1231/'对齐'!B$2*100</f>
        <v/>
      </c>
      <c r="D1231">
        <f>'对齐'!B1231/MAX('对齐'!B$2:'对齐'!B1231)-1</f>
        <v/>
      </c>
      <c r="E1231">
        <f>IF(ROW()-2&gt;='参数'!$B$2,STDEV(OFFSET(B1231,1-'参数'!$B$2,0,'参数'!$B$2,1))*SQRT('参数'!$B$3),"")</f>
        <v/>
      </c>
      <c r="F1231">
        <f>'对齐'!C1231/'对齐'!C1230-1</f>
        <v/>
      </c>
      <c r="G1231">
        <f>'对齐'!C1231/'对齐'!C$2*100</f>
        <v/>
      </c>
      <c r="H1231">
        <f>'对齐'!C1231/MAX('对齐'!C$2:'对齐'!C1231)-1</f>
        <v/>
      </c>
      <c r="I1231">
        <f>IF(ROW()-2&gt;='参数'!$B$2,STDEV(OFFSET(F1231,1-'参数'!$B$2,0,'参数'!$B$2,1))*SQRT('参数'!$B$3),"")</f>
        <v/>
      </c>
    </row>
    <row r="1232">
      <c r="A1232">
        <f>'对齐'!A1232</f>
        <v/>
      </c>
      <c r="B1232">
        <f>'对齐'!B1232/'对齐'!B1231-1</f>
        <v/>
      </c>
      <c r="C1232">
        <f>'对齐'!B1232/'对齐'!B$2*100</f>
        <v/>
      </c>
      <c r="D1232">
        <f>'对齐'!B1232/MAX('对齐'!B$2:'对齐'!B1232)-1</f>
        <v/>
      </c>
      <c r="E1232">
        <f>IF(ROW()-2&gt;='参数'!$B$2,STDEV(OFFSET(B1232,1-'参数'!$B$2,0,'参数'!$B$2,1))*SQRT('参数'!$B$3),"")</f>
        <v/>
      </c>
      <c r="F1232">
        <f>'对齐'!C1232/'对齐'!C1231-1</f>
        <v/>
      </c>
      <c r="G1232">
        <f>'对齐'!C1232/'对齐'!C$2*100</f>
        <v/>
      </c>
      <c r="H1232">
        <f>'对齐'!C1232/MAX('对齐'!C$2:'对齐'!C1232)-1</f>
        <v/>
      </c>
      <c r="I1232">
        <f>IF(ROW()-2&gt;='参数'!$B$2,STDEV(OFFSET(F1232,1-'参数'!$B$2,0,'参数'!$B$2,1))*SQRT('参数'!$B$3),"")</f>
        <v/>
      </c>
    </row>
    <row r="1233">
      <c r="A1233">
        <f>'对齐'!A1233</f>
        <v/>
      </c>
      <c r="B1233">
        <f>'对齐'!B1233/'对齐'!B1232-1</f>
        <v/>
      </c>
      <c r="C1233">
        <f>'对齐'!B1233/'对齐'!B$2*100</f>
        <v/>
      </c>
      <c r="D1233">
        <f>'对齐'!B1233/MAX('对齐'!B$2:'对齐'!B1233)-1</f>
        <v/>
      </c>
      <c r="E1233">
        <f>IF(ROW()-2&gt;='参数'!$B$2,STDEV(OFFSET(B1233,1-'参数'!$B$2,0,'参数'!$B$2,1))*SQRT('参数'!$B$3),"")</f>
        <v/>
      </c>
      <c r="F1233">
        <f>'对齐'!C1233/'对齐'!C1232-1</f>
        <v/>
      </c>
      <c r="G1233">
        <f>'对齐'!C1233/'对齐'!C$2*100</f>
        <v/>
      </c>
      <c r="H1233">
        <f>'对齐'!C1233/MAX('对齐'!C$2:'对齐'!C1233)-1</f>
        <v/>
      </c>
      <c r="I1233">
        <f>IF(ROW()-2&gt;='参数'!$B$2,STDEV(OFFSET(F1233,1-'参数'!$B$2,0,'参数'!$B$2,1))*SQRT('参数'!$B$3),"")</f>
        <v/>
      </c>
    </row>
    <row r="1234">
      <c r="A1234">
        <f>'对齐'!A1234</f>
        <v/>
      </c>
      <c r="B1234">
        <f>'对齐'!B1234/'对齐'!B1233-1</f>
        <v/>
      </c>
      <c r="C1234">
        <f>'对齐'!B1234/'对齐'!B$2*100</f>
        <v/>
      </c>
      <c r="D1234">
        <f>'对齐'!B1234/MAX('对齐'!B$2:'对齐'!B1234)-1</f>
        <v/>
      </c>
      <c r="E1234">
        <f>IF(ROW()-2&gt;='参数'!$B$2,STDEV(OFFSET(B1234,1-'参数'!$B$2,0,'参数'!$B$2,1))*SQRT('参数'!$B$3),"")</f>
        <v/>
      </c>
      <c r="F1234">
        <f>'对齐'!C1234/'对齐'!C1233-1</f>
        <v/>
      </c>
      <c r="G1234">
        <f>'对齐'!C1234/'对齐'!C$2*100</f>
        <v/>
      </c>
      <c r="H1234">
        <f>'对齐'!C1234/MAX('对齐'!C$2:'对齐'!C1234)-1</f>
        <v/>
      </c>
      <c r="I1234">
        <f>IF(ROW()-2&gt;='参数'!$B$2,STDEV(OFFSET(F1234,1-'参数'!$B$2,0,'参数'!$B$2,1))*SQRT('参数'!$B$3),"")</f>
        <v/>
      </c>
    </row>
    <row r="1235">
      <c r="A1235">
        <f>'对齐'!A1235</f>
        <v/>
      </c>
      <c r="B1235">
        <f>'对齐'!B1235/'对齐'!B1234-1</f>
        <v/>
      </c>
      <c r="C1235">
        <f>'对齐'!B1235/'对齐'!B$2*100</f>
        <v/>
      </c>
      <c r="D1235">
        <f>'对齐'!B1235/MAX('对齐'!B$2:'对齐'!B1235)-1</f>
        <v/>
      </c>
      <c r="E1235">
        <f>IF(ROW()-2&gt;='参数'!$B$2,STDEV(OFFSET(B1235,1-'参数'!$B$2,0,'参数'!$B$2,1))*SQRT('参数'!$B$3),"")</f>
        <v/>
      </c>
      <c r="F1235">
        <f>'对齐'!C1235/'对齐'!C1234-1</f>
        <v/>
      </c>
      <c r="G1235">
        <f>'对齐'!C1235/'对齐'!C$2*100</f>
        <v/>
      </c>
      <c r="H1235">
        <f>'对齐'!C1235/MAX('对齐'!C$2:'对齐'!C1235)-1</f>
        <v/>
      </c>
      <c r="I1235">
        <f>IF(ROW()-2&gt;='参数'!$B$2,STDEV(OFFSET(F1235,1-'参数'!$B$2,0,'参数'!$B$2,1))*SQRT('参数'!$B$3),"")</f>
        <v/>
      </c>
    </row>
    <row r="1236">
      <c r="A1236">
        <f>'对齐'!A1236</f>
        <v/>
      </c>
      <c r="B1236">
        <f>'对齐'!B1236/'对齐'!B1235-1</f>
        <v/>
      </c>
      <c r="C1236">
        <f>'对齐'!B1236/'对齐'!B$2*100</f>
        <v/>
      </c>
      <c r="D1236">
        <f>'对齐'!B1236/MAX('对齐'!B$2:'对齐'!B1236)-1</f>
        <v/>
      </c>
      <c r="E1236">
        <f>IF(ROW()-2&gt;='参数'!$B$2,STDEV(OFFSET(B1236,1-'参数'!$B$2,0,'参数'!$B$2,1))*SQRT('参数'!$B$3),"")</f>
        <v/>
      </c>
      <c r="F1236">
        <f>'对齐'!C1236/'对齐'!C1235-1</f>
        <v/>
      </c>
      <c r="G1236">
        <f>'对齐'!C1236/'对齐'!C$2*100</f>
        <v/>
      </c>
      <c r="H1236">
        <f>'对齐'!C1236/MAX('对齐'!C$2:'对齐'!C1236)-1</f>
        <v/>
      </c>
      <c r="I1236">
        <f>IF(ROW()-2&gt;='参数'!$B$2,STDEV(OFFSET(F1236,1-'参数'!$B$2,0,'参数'!$B$2,1))*SQRT('参数'!$B$3),"")</f>
        <v/>
      </c>
    </row>
    <row r="1237">
      <c r="A1237">
        <f>'对齐'!A1237</f>
        <v/>
      </c>
      <c r="B1237">
        <f>'对齐'!B1237/'对齐'!B1236-1</f>
        <v/>
      </c>
      <c r="C1237">
        <f>'对齐'!B1237/'对齐'!B$2*100</f>
        <v/>
      </c>
      <c r="D1237">
        <f>'对齐'!B1237/MAX('对齐'!B$2:'对齐'!B1237)-1</f>
        <v/>
      </c>
      <c r="E1237">
        <f>IF(ROW()-2&gt;='参数'!$B$2,STDEV(OFFSET(B1237,1-'参数'!$B$2,0,'参数'!$B$2,1))*SQRT('参数'!$B$3),"")</f>
        <v/>
      </c>
      <c r="F1237">
        <f>'对齐'!C1237/'对齐'!C1236-1</f>
        <v/>
      </c>
      <c r="G1237">
        <f>'对齐'!C1237/'对齐'!C$2*100</f>
        <v/>
      </c>
      <c r="H1237">
        <f>'对齐'!C1237/MAX('对齐'!C$2:'对齐'!C1237)-1</f>
        <v/>
      </c>
      <c r="I1237">
        <f>IF(ROW()-2&gt;='参数'!$B$2,STDEV(OFFSET(F1237,1-'参数'!$B$2,0,'参数'!$B$2,1))*SQRT('参数'!$B$3),"")</f>
        <v/>
      </c>
    </row>
    <row r="1238">
      <c r="A1238">
        <f>'对齐'!A1238</f>
        <v/>
      </c>
      <c r="B1238">
        <f>'对齐'!B1238/'对齐'!B1237-1</f>
        <v/>
      </c>
      <c r="C1238">
        <f>'对齐'!B1238/'对齐'!B$2*100</f>
        <v/>
      </c>
      <c r="D1238">
        <f>'对齐'!B1238/MAX('对齐'!B$2:'对齐'!B1238)-1</f>
        <v/>
      </c>
      <c r="E1238">
        <f>IF(ROW()-2&gt;='参数'!$B$2,STDEV(OFFSET(B1238,1-'参数'!$B$2,0,'参数'!$B$2,1))*SQRT('参数'!$B$3),"")</f>
        <v/>
      </c>
      <c r="F1238">
        <f>'对齐'!C1238/'对齐'!C1237-1</f>
        <v/>
      </c>
      <c r="G1238">
        <f>'对齐'!C1238/'对齐'!C$2*100</f>
        <v/>
      </c>
      <c r="H1238">
        <f>'对齐'!C1238/MAX('对齐'!C$2:'对齐'!C1238)-1</f>
        <v/>
      </c>
      <c r="I1238">
        <f>IF(ROW()-2&gt;='参数'!$B$2,STDEV(OFFSET(F1238,1-'参数'!$B$2,0,'参数'!$B$2,1))*SQRT('参数'!$B$3),"")</f>
        <v/>
      </c>
    </row>
    <row r="1239">
      <c r="A1239">
        <f>'对齐'!A1239</f>
        <v/>
      </c>
      <c r="B1239">
        <f>'对齐'!B1239/'对齐'!B1238-1</f>
        <v/>
      </c>
      <c r="C1239">
        <f>'对齐'!B1239/'对齐'!B$2*100</f>
        <v/>
      </c>
      <c r="D1239">
        <f>'对齐'!B1239/MAX('对齐'!B$2:'对齐'!B1239)-1</f>
        <v/>
      </c>
      <c r="E1239">
        <f>IF(ROW()-2&gt;='参数'!$B$2,STDEV(OFFSET(B1239,1-'参数'!$B$2,0,'参数'!$B$2,1))*SQRT('参数'!$B$3),"")</f>
        <v/>
      </c>
      <c r="F1239">
        <f>'对齐'!C1239/'对齐'!C1238-1</f>
        <v/>
      </c>
      <c r="G1239">
        <f>'对齐'!C1239/'对齐'!C$2*100</f>
        <v/>
      </c>
      <c r="H1239">
        <f>'对齐'!C1239/MAX('对齐'!C$2:'对齐'!C1239)-1</f>
        <v/>
      </c>
      <c r="I1239">
        <f>IF(ROW()-2&gt;='参数'!$B$2,STDEV(OFFSET(F1239,1-'参数'!$B$2,0,'参数'!$B$2,1))*SQRT('参数'!$B$3),"")</f>
        <v/>
      </c>
    </row>
    <row r="1240">
      <c r="A1240">
        <f>'对齐'!A1240</f>
        <v/>
      </c>
      <c r="B1240">
        <f>'对齐'!B1240/'对齐'!B1239-1</f>
        <v/>
      </c>
      <c r="C1240">
        <f>'对齐'!B1240/'对齐'!B$2*100</f>
        <v/>
      </c>
      <c r="D1240">
        <f>'对齐'!B1240/MAX('对齐'!B$2:'对齐'!B1240)-1</f>
        <v/>
      </c>
      <c r="E1240">
        <f>IF(ROW()-2&gt;='参数'!$B$2,STDEV(OFFSET(B1240,1-'参数'!$B$2,0,'参数'!$B$2,1))*SQRT('参数'!$B$3),"")</f>
        <v/>
      </c>
      <c r="F1240">
        <f>'对齐'!C1240/'对齐'!C1239-1</f>
        <v/>
      </c>
      <c r="G1240">
        <f>'对齐'!C1240/'对齐'!C$2*100</f>
        <v/>
      </c>
      <c r="H1240">
        <f>'对齐'!C1240/MAX('对齐'!C$2:'对齐'!C1240)-1</f>
        <v/>
      </c>
      <c r="I1240">
        <f>IF(ROW()-2&gt;='参数'!$B$2,STDEV(OFFSET(F1240,1-'参数'!$B$2,0,'参数'!$B$2,1))*SQRT('参数'!$B$3),"")</f>
        <v/>
      </c>
    </row>
    <row r="1241">
      <c r="A1241">
        <f>'对齐'!A1241</f>
        <v/>
      </c>
      <c r="B1241">
        <f>'对齐'!B1241/'对齐'!B1240-1</f>
        <v/>
      </c>
      <c r="C1241">
        <f>'对齐'!B1241/'对齐'!B$2*100</f>
        <v/>
      </c>
      <c r="D1241">
        <f>'对齐'!B1241/MAX('对齐'!B$2:'对齐'!B1241)-1</f>
        <v/>
      </c>
      <c r="E1241">
        <f>IF(ROW()-2&gt;='参数'!$B$2,STDEV(OFFSET(B1241,1-'参数'!$B$2,0,'参数'!$B$2,1))*SQRT('参数'!$B$3),"")</f>
        <v/>
      </c>
      <c r="F1241">
        <f>'对齐'!C1241/'对齐'!C1240-1</f>
        <v/>
      </c>
      <c r="G1241">
        <f>'对齐'!C1241/'对齐'!C$2*100</f>
        <v/>
      </c>
      <c r="H1241">
        <f>'对齐'!C1241/MAX('对齐'!C$2:'对齐'!C1241)-1</f>
        <v/>
      </c>
      <c r="I1241">
        <f>IF(ROW()-2&gt;='参数'!$B$2,STDEV(OFFSET(F1241,1-'参数'!$B$2,0,'参数'!$B$2,1))*SQRT('参数'!$B$3),"")</f>
        <v/>
      </c>
    </row>
    <row r="1242">
      <c r="A1242">
        <f>'对齐'!A1242</f>
        <v/>
      </c>
      <c r="B1242">
        <f>'对齐'!B1242/'对齐'!B1241-1</f>
        <v/>
      </c>
      <c r="C1242">
        <f>'对齐'!B1242/'对齐'!B$2*100</f>
        <v/>
      </c>
      <c r="D1242">
        <f>'对齐'!B1242/MAX('对齐'!B$2:'对齐'!B1242)-1</f>
        <v/>
      </c>
      <c r="E1242">
        <f>IF(ROW()-2&gt;='参数'!$B$2,STDEV(OFFSET(B1242,1-'参数'!$B$2,0,'参数'!$B$2,1))*SQRT('参数'!$B$3),"")</f>
        <v/>
      </c>
      <c r="F1242">
        <f>'对齐'!C1242/'对齐'!C1241-1</f>
        <v/>
      </c>
      <c r="G1242">
        <f>'对齐'!C1242/'对齐'!C$2*100</f>
        <v/>
      </c>
      <c r="H1242">
        <f>'对齐'!C1242/MAX('对齐'!C$2:'对齐'!C1242)-1</f>
        <v/>
      </c>
      <c r="I1242">
        <f>IF(ROW()-2&gt;='参数'!$B$2,STDEV(OFFSET(F1242,1-'参数'!$B$2,0,'参数'!$B$2,1))*SQRT('参数'!$B$3),"")</f>
        <v/>
      </c>
    </row>
    <row r="1243">
      <c r="A1243">
        <f>'对齐'!A1243</f>
        <v/>
      </c>
      <c r="B1243">
        <f>'对齐'!B1243/'对齐'!B1242-1</f>
        <v/>
      </c>
      <c r="C1243">
        <f>'对齐'!B1243/'对齐'!B$2*100</f>
        <v/>
      </c>
      <c r="D1243">
        <f>'对齐'!B1243/MAX('对齐'!B$2:'对齐'!B1243)-1</f>
        <v/>
      </c>
      <c r="E1243">
        <f>IF(ROW()-2&gt;='参数'!$B$2,STDEV(OFFSET(B1243,1-'参数'!$B$2,0,'参数'!$B$2,1))*SQRT('参数'!$B$3),"")</f>
        <v/>
      </c>
      <c r="F1243">
        <f>'对齐'!C1243/'对齐'!C1242-1</f>
        <v/>
      </c>
      <c r="G1243">
        <f>'对齐'!C1243/'对齐'!C$2*100</f>
        <v/>
      </c>
      <c r="H1243">
        <f>'对齐'!C1243/MAX('对齐'!C$2:'对齐'!C1243)-1</f>
        <v/>
      </c>
      <c r="I1243">
        <f>IF(ROW()-2&gt;='参数'!$B$2,STDEV(OFFSET(F1243,1-'参数'!$B$2,0,'参数'!$B$2,1))*SQRT('参数'!$B$3),"")</f>
        <v/>
      </c>
    </row>
    <row r="1244">
      <c r="A1244">
        <f>'对齐'!A1244</f>
        <v/>
      </c>
      <c r="B1244">
        <f>'对齐'!B1244/'对齐'!B1243-1</f>
        <v/>
      </c>
      <c r="C1244">
        <f>'对齐'!B1244/'对齐'!B$2*100</f>
        <v/>
      </c>
      <c r="D1244">
        <f>'对齐'!B1244/MAX('对齐'!B$2:'对齐'!B1244)-1</f>
        <v/>
      </c>
      <c r="E1244">
        <f>IF(ROW()-2&gt;='参数'!$B$2,STDEV(OFFSET(B1244,1-'参数'!$B$2,0,'参数'!$B$2,1))*SQRT('参数'!$B$3),"")</f>
        <v/>
      </c>
      <c r="F1244">
        <f>'对齐'!C1244/'对齐'!C1243-1</f>
        <v/>
      </c>
      <c r="G1244">
        <f>'对齐'!C1244/'对齐'!C$2*100</f>
        <v/>
      </c>
      <c r="H1244">
        <f>'对齐'!C1244/MAX('对齐'!C$2:'对齐'!C1244)-1</f>
        <v/>
      </c>
      <c r="I1244">
        <f>IF(ROW()-2&gt;='参数'!$B$2,STDEV(OFFSET(F1244,1-'参数'!$B$2,0,'参数'!$B$2,1))*SQRT('参数'!$B$3),"")</f>
        <v/>
      </c>
    </row>
    <row r="1245">
      <c r="A1245">
        <f>'对齐'!A1245</f>
        <v/>
      </c>
      <c r="B1245">
        <f>'对齐'!B1245/'对齐'!B1244-1</f>
        <v/>
      </c>
      <c r="C1245">
        <f>'对齐'!B1245/'对齐'!B$2*100</f>
        <v/>
      </c>
      <c r="D1245">
        <f>'对齐'!B1245/MAX('对齐'!B$2:'对齐'!B1245)-1</f>
        <v/>
      </c>
      <c r="E1245">
        <f>IF(ROW()-2&gt;='参数'!$B$2,STDEV(OFFSET(B1245,1-'参数'!$B$2,0,'参数'!$B$2,1))*SQRT('参数'!$B$3),"")</f>
        <v/>
      </c>
      <c r="F1245">
        <f>'对齐'!C1245/'对齐'!C1244-1</f>
        <v/>
      </c>
      <c r="G1245">
        <f>'对齐'!C1245/'对齐'!C$2*100</f>
        <v/>
      </c>
      <c r="H1245">
        <f>'对齐'!C1245/MAX('对齐'!C$2:'对齐'!C1245)-1</f>
        <v/>
      </c>
      <c r="I1245">
        <f>IF(ROW()-2&gt;='参数'!$B$2,STDEV(OFFSET(F1245,1-'参数'!$B$2,0,'参数'!$B$2,1))*SQRT('参数'!$B$3),"")</f>
        <v/>
      </c>
    </row>
    <row r="1246">
      <c r="A1246">
        <f>'对齐'!A1246</f>
        <v/>
      </c>
      <c r="B1246">
        <f>'对齐'!B1246/'对齐'!B1245-1</f>
        <v/>
      </c>
      <c r="C1246">
        <f>'对齐'!B1246/'对齐'!B$2*100</f>
        <v/>
      </c>
      <c r="D1246">
        <f>'对齐'!B1246/MAX('对齐'!B$2:'对齐'!B1246)-1</f>
        <v/>
      </c>
      <c r="E1246">
        <f>IF(ROW()-2&gt;='参数'!$B$2,STDEV(OFFSET(B1246,1-'参数'!$B$2,0,'参数'!$B$2,1))*SQRT('参数'!$B$3),"")</f>
        <v/>
      </c>
      <c r="F1246">
        <f>'对齐'!C1246/'对齐'!C1245-1</f>
        <v/>
      </c>
      <c r="G1246">
        <f>'对齐'!C1246/'对齐'!C$2*100</f>
        <v/>
      </c>
      <c r="H1246">
        <f>'对齐'!C1246/MAX('对齐'!C$2:'对齐'!C1246)-1</f>
        <v/>
      </c>
      <c r="I1246">
        <f>IF(ROW()-2&gt;='参数'!$B$2,STDEV(OFFSET(F1246,1-'参数'!$B$2,0,'参数'!$B$2,1))*SQRT('参数'!$B$3),"")</f>
        <v/>
      </c>
    </row>
    <row r="1247">
      <c r="A1247">
        <f>'对齐'!A1247</f>
        <v/>
      </c>
      <c r="B1247">
        <f>'对齐'!B1247/'对齐'!B1246-1</f>
        <v/>
      </c>
      <c r="C1247">
        <f>'对齐'!B1247/'对齐'!B$2*100</f>
        <v/>
      </c>
      <c r="D1247">
        <f>'对齐'!B1247/MAX('对齐'!B$2:'对齐'!B1247)-1</f>
        <v/>
      </c>
      <c r="E1247">
        <f>IF(ROW()-2&gt;='参数'!$B$2,STDEV(OFFSET(B1247,1-'参数'!$B$2,0,'参数'!$B$2,1))*SQRT('参数'!$B$3),"")</f>
        <v/>
      </c>
      <c r="F1247">
        <f>'对齐'!C1247/'对齐'!C1246-1</f>
        <v/>
      </c>
      <c r="G1247">
        <f>'对齐'!C1247/'对齐'!C$2*100</f>
        <v/>
      </c>
      <c r="H1247">
        <f>'对齐'!C1247/MAX('对齐'!C$2:'对齐'!C1247)-1</f>
        <v/>
      </c>
      <c r="I1247">
        <f>IF(ROW()-2&gt;='参数'!$B$2,STDEV(OFFSET(F1247,1-'参数'!$B$2,0,'参数'!$B$2,1))*SQRT('参数'!$B$3),"")</f>
        <v/>
      </c>
    </row>
    <row r="1248">
      <c r="A1248">
        <f>'对齐'!A1248</f>
        <v/>
      </c>
      <c r="B1248">
        <f>'对齐'!B1248/'对齐'!B1247-1</f>
        <v/>
      </c>
      <c r="C1248">
        <f>'对齐'!B1248/'对齐'!B$2*100</f>
        <v/>
      </c>
      <c r="D1248">
        <f>'对齐'!B1248/MAX('对齐'!B$2:'对齐'!B1248)-1</f>
        <v/>
      </c>
      <c r="E1248">
        <f>IF(ROW()-2&gt;='参数'!$B$2,STDEV(OFFSET(B1248,1-'参数'!$B$2,0,'参数'!$B$2,1))*SQRT('参数'!$B$3),"")</f>
        <v/>
      </c>
      <c r="F1248">
        <f>'对齐'!C1248/'对齐'!C1247-1</f>
        <v/>
      </c>
      <c r="G1248">
        <f>'对齐'!C1248/'对齐'!C$2*100</f>
        <v/>
      </c>
      <c r="H1248">
        <f>'对齐'!C1248/MAX('对齐'!C$2:'对齐'!C1248)-1</f>
        <v/>
      </c>
      <c r="I1248">
        <f>IF(ROW()-2&gt;='参数'!$B$2,STDEV(OFFSET(F1248,1-'参数'!$B$2,0,'参数'!$B$2,1))*SQRT('参数'!$B$3),"")</f>
        <v/>
      </c>
    </row>
    <row r="1249">
      <c r="A1249">
        <f>'对齐'!A1249</f>
        <v/>
      </c>
      <c r="B1249">
        <f>'对齐'!B1249/'对齐'!B1248-1</f>
        <v/>
      </c>
      <c r="C1249">
        <f>'对齐'!B1249/'对齐'!B$2*100</f>
        <v/>
      </c>
      <c r="D1249">
        <f>'对齐'!B1249/MAX('对齐'!B$2:'对齐'!B1249)-1</f>
        <v/>
      </c>
      <c r="E1249">
        <f>IF(ROW()-2&gt;='参数'!$B$2,STDEV(OFFSET(B1249,1-'参数'!$B$2,0,'参数'!$B$2,1))*SQRT('参数'!$B$3),"")</f>
        <v/>
      </c>
      <c r="F1249">
        <f>'对齐'!C1249/'对齐'!C1248-1</f>
        <v/>
      </c>
      <c r="G1249">
        <f>'对齐'!C1249/'对齐'!C$2*100</f>
        <v/>
      </c>
      <c r="H1249">
        <f>'对齐'!C1249/MAX('对齐'!C$2:'对齐'!C1249)-1</f>
        <v/>
      </c>
      <c r="I1249">
        <f>IF(ROW()-2&gt;='参数'!$B$2,STDEV(OFFSET(F1249,1-'参数'!$B$2,0,'参数'!$B$2,1))*SQRT('参数'!$B$3),"")</f>
        <v/>
      </c>
    </row>
    <row r="1250">
      <c r="A1250">
        <f>'对齐'!A1250</f>
        <v/>
      </c>
      <c r="B1250">
        <f>'对齐'!B1250/'对齐'!B1249-1</f>
        <v/>
      </c>
      <c r="C1250">
        <f>'对齐'!B1250/'对齐'!B$2*100</f>
        <v/>
      </c>
      <c r="D1250">
        <f>'对齐'!B1250/MAX('对齐'!B$2:'对齐'!B1250)-1</f>
        <v/>
      </c>
      <c r="E1250">
        <f>IF(ROW()-2&gt;='参数'!$B$2,STDEV(OFFSET(B1250,1-'参数'!$B$2,0,'参数'!$B$2,1))*SQRT('参数'!$B$3),"")</f>
        <v/>
      </c>
      <c r="F1250">
        <f>'对齐'!C1250/'对齐'!C1249-1</f>
        <v/>
      </c>
      <c r="G1250">
        <f>'对齐'!C1250/'对齐'!C$2*100</f>
        <v/>
      </c>
      <c r="H1250">
        <f>'对齐'!C1250/MAX('对齐'!C$2:'对齐'!C1250)-1</f>
        <v/>
      </c>
      <c r="I1250">
        <f>IF(ROW()-2&gt;='参数'!$B$2,STDEV(OFFSET(F1250,1-'参数'!$B$2,0,'参数'!$B$2,1))*SQRT('参数'!$B$3),"")</f>
        <v/>
      </c>
    </row>
    <row r="1251">
      <c r="A1251">
        <f>'对齐'!A1251</f>
        <v/>
      </c>
      <c r="B1251">
        <f>'对齐'!B1251/'对齐'!B1250-1</f>
        <v/>
      </c>
      <c r="C1251">
        <f>'对齐'!B1251/'对齐'!B$2*100</f>
        <v/>
      </c>
      <c r="D1251">
        <f>'对齐'!B1251/MAX('对齐'!B$2:'对齐'!B1251)-1</f>
        <v/>
      </c>
      <c r="E1251">
        <f>IF(ROW()-2&gt;='参数'!$B$2,STDEV(OFFSET(B1251,1-'参数'!$B$2,0,'参数'!$B$2,1))*SQRT('参数'!$B$3),"")</f>
        <v/>
      </c>
      <c r="F1251">
        <f>'对齐'!C1251/'对齐'!C1250-1</f>
        <v/>
      </c>
      <c r="G1251">
        <f>'对齐'!C1251/'对齐'!C$2*100</f>
        <v/>
      </c>
      <c r="H1251">
        <f>'对齐'!C1251/MAX('对齐'!C$2:'对齐'!C1251)-1</f>
        <v/>
      </c>
      <c r="I1251">
        <f>IF(ROW()-2&gt;='参数'!$B$2,STDEV(OFFSET(F1251,1-'参数'!$B$2,0,'参数'!$B$2,1))*SQRT('参数'!$B$3),"")</f>
        <v/>
      </c>
    </row>
    <row r="1252">
      <c r="A1252">
        <f>'对齐'!A1252</f>
        <v/>
      </c>
      <c r="B1252">
        <f>'对齐'!B1252/'对齐'!B1251-1</f>
        <v/>
      </c>
      <c r="C1252">
        <f>'对齐'!B1252/'对齐'!B$2*100</f>
        <v/>
      </c>
      <c r="D1252">
        <f>'对齐'!B1252/MAX('对齐'!B$2:'对齐'!B1252)-1</f>
        <v/>
      </c>
      <c r="E1252">
        <f>IF(ROW()-2&gt;='参数'!$B$2,STDEV(OFFSET(B1252,1-'参数'!$B$2,0,'参数'!$B$2,1))*SQRT('参数'!$B$3),"")</f>
        <v/>
      </c>
      <c r="F1252">
        <f>'对齐'!C1252/'对齐'!C1251-1</f>
        <v/>
      </c>
      <c r="G1252">
        <f>'对齐'!C1252/'对齐'!C$2*100</f>
        <v/>
      </c>
      <c r="H1252">
        <f>'对齐'!C1252/MAX('对齐'!C$2:'对齐'!C1252)-1</f>
        <v/>
      </c>
      <c r="I1252">
        <f>IF(ROW()-2&gt;='参数'!$B$2,STDEV(OFFSET(F1252,1-'参数'!$B$2,0,'参数'!$B$2,1))*SQRT('参数'!$B$3),"")</f>
        <v/>
      </c>
    </row>
    <row r="1253">
      <c r="A1253">
        <f>'对齐'!A1253</f>
        <v/>
      </c>
      <c r="B1253">
        <f>'对齐'!B1253/'对齐'!B1252-1</f>
        <v/>
      </c>
      <c r="C1253">
        <f>'对齐'!B1253/'对齐'!B$2*100</f>
        <v/>
      </c>
      <c r="D1253">
        <f>'对齐'!B1253/MAX('对齐'!B$2:'对齐'!B1253)-1</f>
        <v/>
      </c>
      <c r="E1253">
        <f>IF(ROW()-2&gt;='参数'!$B$2,STDEV(OFFSET(B1253,1-'参数'!$B$2,0,'参数'!$B$2,1))*SQRT('参数'!$B$3),"")</f>
        <v/>
      </c>
      <c r="F1253">
        <f>'对齐'!C1253/'对齐'!C1252-1</f>
        <v/>
      </c>
      <c r="G1253">
        <f>'对齐'!C1253/'对齐'!C$2*100</f>
        <v/>
      </c>
      <c r="H1253">
        <f>'对齐'!C1253/MAX('对齐'!C$2:'对齐'!C1253)-1</f>
        <v/>
      </c>
      <c r="I1253">
        <f>IF(ROW()-2&gt;='参数'!$B$2,STDEV(OFFSET(F1253,1-'参数'!$B$2,0,'参数'!$B$2,1))*SQRT('参数'!$B$3),"")</f>
        <v/>
      </c>
    </row>
    <row r="1254">
      <c r="A1254">
        <f>'对齐'!A1254</f>
        <v/>
      </c>
      <c r="B1254">
        <f>'对齐'!B1254/'对齐'!B1253-1</f>
        <v/>
      </c>
      <c r="C1254">
        <f>'对齐'!B1254/'对齐'!B$2*100</f>
        <v/>
      </c>
      <c r="D1254">
        <f>'对齐'!B1254/MAX('对齐'!B$2:'对齐'!B1254)-1</f>
        <v/>
      </c>
      <c r="E1254">
        <f>IF(ROW()-2&gt;='参数'!$B$2,STDEV(OFFSET(B1254,1-'参数'!$B$2,0,'参数'!$B$2,1))*SQRT('参数'!$B$3),"")</f>
        <v/>
      </c>
      <c r="F1254">
        <f>'对齐'!C1254/'对齐'!C1253-1</f>
        <v/>
      </c>
      <c r="G1254">
        <f>'对齐'!C1254/'对齐'!C$2*100</f>
        <v/>
      </c>
      <c r="H1254">
        <f>'对齐'!C1254/MAX('对齐'!C$2:'对齐'!C1254)-1</f>
        <v/>
      </c>
      <c r="I1254">
        <f>IF(ROW()-2&gt;='参数'!$B$2,STDEV(OFFSET(F1254,1-'参数'!$B$2,0,'参数'!$B$2,1))*SQRT('参数'!$B$3),"")</f>
        <v/>
      </c>
    </row>
    <row r="1255">
      <c r="A1255">
        <f>'对齐'!A1255</f>
        <v/>
      </c>
      <c r="B1255">
        <f>'对齐'!B1255/'对齐'!B1254-1</f>
        <v/>
      </c>
      <c r="C1255">
        <f>'对齐'!B1255/'对齐'!B$2*100</f>
        <v/>
      </c>
      <c r="D1255">
        <f>'对齐'!B1255/MAX('对齐'!B$2:'对齐'!B1255)-1</f>
        <v/>
      </c>
      <c r="E1255">
        <f>IF(ROW()-2&gt;='参数'!$B$2,STDEV(OFFSET(B1255,1-'参数'!$B$2,0,'参数'!$B$2,1))*SQRT('参数'!$B$3),"")</f>
        <v/>
      </c>
      <c r="F1255">
        <f>'对齐'!C1255/'对齐'!C1254-1</f>
        <v/>
      </c>
      <c r="G1255">
        <f>'对齐'!C1255/'对齐'!C$2*100</f>
        <v/>
      </c>
      <c r="H1255">
        <f>'对齐'!C1255/MAX('对齐'!C$2:'对齐'!C1255)-1</f>
        <v/>
      </c>
      <c r="I1255">
        <f>IF(ROW()-2&gt;='参数'!$B$2,STDEV(OFFSET(F1255,1-'参数'!$B$2,0,'参数'!$B$2,1))*SQRT('参数'!$B$3),"")</f>
        <v/>
      </c>
    </row>
    <row r="1256">
      <c r="A1256">
        <f>'对齐'!A1256</f>
        <v/>
      </c>
      <c r="B1256">
        <f>'对齐'!B1256/'对齐'!B1255-1</f>
        <v/>
      </c>
      <c r="C1256">
        <f>'对齐'!B1256/'对齐'!B$2*100</f>
        <v/>
      </c>
      <c r="D1256">
        <f>'对齐'!B1256/MAX('对齐'!B$2:'对齐'!B1256)-1</f>
        <v/>
      </c>
      <c r="E1256">
        <f>IF(ROW()-2&gt;='参数'!$B$2,STDEV(OFFSET(B1256,1-'参数'!$B$2,0,'参数'!$B$2,1))*SQRT('参数'!$B$3),"")</f>
        <v/>
      </c>
      <c r="F1256">
        <f>'对齐'!C1256/'对齐'!C1255-1</f>
        <v/>
      </c>
      <c r="G1256">
        <f>'对齐'!C1256/'对齐'!C$2*100</f>
        <v/>
      </c>
      <c r="H1256">
        <f>'对齐'!C1256/MAX('对齐'!C$2:'对齐'!C1256)-1</f>
        <v/>
      </c>
      <c r="I1256">
        <f>IF(ROW()-2&gt;='参数'!$B$2,STDEV(OFFSET(F1256,1-'参数'!$B$2,0,'参数'!$B$2,1))*SQRT('参数'!$B$3),"")</f>
        <v/>
      </c>
    </row>
    <row r="1257">
      <c r="A1257">
        <f>'对齐'!A1257</f>
        <v/>
      </c>
      <c r="B1257">
        <f>'对齐'!B1257/'对齐'!B1256-1</f>
        <v/>
      </c>
      <c r="C1257">
        <f>'对齐'!B1257/'对齐'!B$2*100</f>
        <v/>
      </c>
      <c r="D1257">
        <f>'对齐'!B1257/MAX('对齐'!B$2:'对齐'!B1257)-1</f>
        <v/>
      </c>
      <c r="E1257">
        <f>IF(ROW()-2&gt;='参数'!$B$2,STDEV(OFFSET(B1257,1-'参数'!$B$2,0,'参数'!$B$2,1))*SQRT('参数'!$B$3),"")</f>
        <v/>
      </c>
      <c r="F1257">
        <f>'对齐'!C1257/'对齐'!C1256-1</f>
        <v/>
      </c>
      <c r="G1257">
        <f>'对齐'!C1257/'对齐'!C$2*100</f>
        <v/>
      </c>
      <c r="H1257">
        <f>'对齐'!C1257/MAX('对齐'!C$2:'对齐'!C1257)-1</f>
        <v/>
      </c>
      <c r="I1257">
        <f>IF(ROW()-2&gt;='参数'!$B$2,STDEV(OFFSET(F1257,1-'参数'!$B$2,0,'参数'!$B$2,1))*SQRT('参数'!$B$3),"")</f>
        <v/>
      </c>
    </row>
    <row r="1258">
      <c r="A1258">
        <f>'对齐'!A1258</f>
        <v/>
      </c>
      <c r="B1258">
        <f>'对齐'!B1258/'对齐'!B1257-1</f>
        <v/>
      </c>
      <c r="C1258">
        <f>'对齐'!B1258/'对齐'!B$2*100</f>
        <v/>
      </c>
      <c r="D1258">
        <f>'对齐'!B1258/MAX('对齐'!B$2:'对齐'!B1258)-1</f>
        <v/>
      </c>
      <c r="E1258">
        <f>IF(ROW()-2&gt;='参数'!$B$2,STDEV(OFFSET(B1258,1-'参数'!$B$2,0,'参数'!$B$2,1))*SQRT('参数'!$B$3),"")</f>
        <v/>
      </c>
      <c r="F1258">
        <f>'对齐'!C1258/'对齐'!C1257-1</f>
        <v/>
      </c>
      <c r="G1258">
        <f>'对齐'!C1258/'对齐'!C$2*100</f>
        <v/>
      </c>
      <c r="H1258">
        <f>'对齐'!C1258/MAX('对齐'!C$2:'对齐'!C1258)-1</f>
        <v/>
      </c>
      <c r="I1258">
        <f>IF(ROW()-2&gt;='参数'!$B$2,STDEV(OFFSET(F1258,1-'参数'!$B$2,0,'参数'!$B$2,1))*SQRT('参数'!$B$3),"")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指标</t>
        </is>
      </c>
      <c r="B1" s="1" t="inlineStr">
        <is>
          <t>黄金 GC=F</t>
        </is>
      </c>
      <c r="C1" s="1" t="inlineStr">
        <is>
          <t>比特币 BTC-USD</t>
        </is>
      </c>
    </row>
    <row r="2">
      <c r="A2" t="inlineStr">
        <is>
          <t>区间总收益</t>
        </is>
      </c>
      <c r="B2" s="2">
        <f>'对齐'!B1258/'对齐'!B2-1</f>
        <v/>
      </c>
      <c r="C2" s="2">
        <f>'对齐'!C1258/'对齐'!C2-1</f>
        <v/>
      </c>
    </row>
    <row r="3">
      <c r="A3" t="inlineStr">
        <is>
          <t>年化收益率（CAGR）</t>
        </is>
      </c>
      <c r="B3" s="2">
        <f>POWER('对齐'!B1258/'对齐'!B2,'参数'!$B$3/1256)-1</f>
        <v/>
      </c>
      <c r="C3" s="2">
        <f>POWER('对齐'!C1258/'对齐'!C2,'参数'!$B$3/1256)-1</f>
        <v/>
      </c>
    </row>
    <row r="4">
      <c r="A4" t="inlineStr">
        <is>
          <t>年化波动率（全样本）</t>
        </is>
      </c>
      <c r="B4" s="2">
        <f>STDEV('指标'!B3:B1258)*SQRT('参数'!$B$3)</f>
        <v/>
      </c>
      <c r="C4" s="2">
        <f>STDEV('指标'!F3:F1258)*SQRT('参数'!$B$3)</f>
        <v/>
      </c>
    </row>
    <row r="5">
      <c r="A5" t="inlineStr">
        <is>
          <t>夏普比率（rf=0）</t>
        </is>
      </c>
      <c r="B5" s="3">
        <f>B3/B4</f>
        <v/>
      </c>
      <c r="C5" s="3">
        <f>C3/C4</f>
        <v/>
      </c>
    </row>
    <row r="6">
      <c r="A6" t="inlineStr">
        <is>
          <t>最大回撤</t>
        </is>
      </c>
      <c r="B6" s="2">
        <f>MIN('指标'!D3:D1258)</f>
        <v/>
      </c>
      <c r="C6" s="2">
        <f>MIN('指标'!H3:H1258)</f>
        <v/>
      </c>
    </row>
    <row r="7">
      <c r="A7" t="inlineStr">
        <is>
          <t>正收益天数占比</t>
        </is>
      </c>
      <c r="B7" s="2">
        <f>COUNTIF('指标'!B3:B1258,"&gt;0")/COUNT('指标'!B3:B1258)</f>
        <v/>
      </c>
      <c r="C7" s="2">
        <f>COUNTIF('指标'!F3:F1258,"&gt;0")/COUNT('指标'!F3:F1258)</f>
        <v/>
      </c>
    </row>
    <row r="8">
      <c r="A8" t="inlineStr">
        <is>
          <t>日收益相关系数</t>
        </is>
      </c>
      <c r="B8" s="3">
        <f>CORREL('指标'!B3:B1258,'指标'!F3:F1258)</f>
        <v/>
      </c>
      <c r="C8"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年份</t>
        </is>
      </c>
      <c r="B1" s="1" t="inlineStr">
        <is>
          <t>黄金 GC=F收益</t>
        </is>
      </c>
      <c r="C1" s="1" t="inlineStr">
        <is>
          <t>比特币 BTC-USD收益</t>
        </is>
      </c>
      <c r="D1" s="1" t="inlineStr">
        <is>
          <t>差额（比特币 BTC-USD−黄金 GC=F）</t>
        </is>
      </c>
    </row>
    <row r="2">
      <c r="A2" t="inlineStr">
        <is>
          <t>2021</t>
        </is>
      </c>
      <c r="B2" s="2">
        <f>'对齐'!B127/'对齐'!B2-1</f>
        <v/>
      </c>
      <c r="C2" s="2">
        <f>'对齐'!C127/'对齐'!C2-1</f>
        <v/>
      </c>
      <c r="D2" s="2">
        <f>C2-B2</f>
        <v/>
      </c>
    </row>
    <row r="3">
      <c r="A3" t="inlineStr">
        <is>
          <t>2022</t>
        </is>
      </c>
      <c r="B3" s="2">
        <f>'对齐'!B378/'对齐'!B127-1</f>
        <v/>
      </c>
      <c r="C3" s="2">
        <f>'对齐'!C378/'对齐'!C127-1</f>
        <v/>
      </c>
      <c r="D3" s="2">
        <f>C3-B3</f>
        <v/>
      </c>
    </row>
    <row r="4">
      <c r="A4" t="inlineStr">
        <is>
          <t>2023</t>
        </is>
      </c>
      <c r="B4" s="2">
        <f>'对齐'!B628/'对齐'!B378-1</f>
        <v/>
      </c>
      <c r="C4" s="2">
        <f>'对齐'!C628/'对齐'!C378-1</f>
        <v/>
      </c>
      <c r="D4" s="2">
        <f>C4-B4</f>
        <v/>
      </c>
    </row>
    <row r="5">
      <c r="A5" t="inlineStr">
        <is>
          <t>2024</t>
        </is>
      </c>
      <c r="B5" s="2">
        <f>'对齐'!B880/'对齐'!B628-1</f>
        <v/>
      </c>
      <c r="C5" s="2">
        <f>'对齐'!C880/'对齐'!C628-1</f>
        <v/>
      </c>
      <c r="D5" s="2">
        <f>C5-B5</f>
        <v/>
      </c>
    </row>
    <row r="6">
      <c r="A6" t="inlineStr">
        <is>
          <t>2025</t>
        </is>
      </c>
      <c r="B6" s="2">
        <f>'对齐'!B1132/'对齐'!B880-1</f>
        <v/>
      </c>
      <c r="C6" s="2">
        <f>'对齐'!C1132/'对齐'!C880-1</f>
        <v/>
      </c>
      <c r="D6" s="2">
        <f>C6-B6</f>
        <v/>
      </c>
    </row>
    <row r="7">
      <c r="A7" t="inlineStr">
        <is>
          <t>2026</t>
        </is>
      </c>
      <c r="B7" s="2">
        <f>'对齐'!B1258/'对齐'!B1132-1</f>
        <v/>
      </c>
      <c r="C7" s="2">
        <f>'对齐'!C1258/'对齐'!C1132-1</f>
        <v/>
      </c>
      <c r="D7" s="2">
        <f>C7-B7</f>
        <v/>
      </c>
    </row>
    <row r="8">
      <c r="A8" t="inlineStr">
        <is>
          <t>全周期</t>
        </is>
      </c>
      <c r="B8" s="2">
        <f>'对齐'!B1258/'对齐'!B2-1</f>
        <v/>
      </c>
      <c r="C8" s="2">
        <f>'对齐'!C1258/'对齐'!C2-1</f>
        <v/>
      </c>
      <c r="D8" s="2">
        <f>C8-B8</f>
        <v/>
      </c>
    </row>
    <row r="10">
      <c r="A10" t="inlineStr">
        <is>
          <t>注：年度收益以上一年最后共同交易日收盘为基准（首年度以区间首日为基准）；首末年度可能为区间内的部分年度。</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日期</t>
        </is>
      </c>
      <c r="B1" s="1" t="inlineStr">
        <is>
          <t>标的</t>
        </is>
      </c>
      <c r="C1" s="1" t="inlineStr">
        <is>
          <t>类型</t>
        </is>
      </c>
      <c r="D1" s="1" t="inlineStr">
        <is>
          <t>触发规则</t>
        </is>
      </c>
      <c r="E1" s="1" t="inlineStr">
        <is>
          <t>严重度</t>
        </is>
      </c>
      <c r="F1" s="1" t="inlineStr">
        <is>
          <t>触发窗口</t>
        </is>
      </c>
    </row>
    <row r="2">
      <c r="A2" t="inlineStr">
        <is>
          <t>2021-09-20</t>
        </is>
      </c>
      <c r="B2" t="inlineStr">
        <is>
          <t>BTC</t>
        </is>
      </c>
      <c r="C2" t="inlineStr">
        <is>
          <t>drawdown</t>
        </is>
      </c>
      <c r="D2" t="inlineStr">
        <is>
          <t>自 2021-09-06 高点回撤 -18.6%（确认级）</t>
        </is>
      </c>
      <c r="E2" t="inlineStr">
        <is>
          <t>3</t>
        </is>
      </c>
      <c r="F2" t="inlineStr">
        <is>
          <t>2021-09-06 → 2021-09-20</t>
        </is>
      </c>
    </row>
    <row r="3">
      <c r="A3" t="inlineStr">
        <is>
          <t>2022-02-28</t>
        </is>
      </c>
      <c r="B3" t="inlineStr">
        <is>
          <t>BTC</t>
        </is>
      </c>
      <c r="C3" t="inlineStr">
        <is>
          <t>rally</t>
        </is>
      </c>
      <c r="D3" t="inlineStr">
        <is>
          <t>自 2022-02-21 低点反弹 +16.5%（确认级）</t>
        </is>
      </c>
      <c r="E3" t="inlineStr">
        <is>
          <t>3</t>
        </is>
      </c>
      <c r="F3" t="inlineStr">
        <is>
          <t>2022-02-21 → 2022-02-28</t>
        </is>
      </c>
    </row>
    <row r="4">
      <c r="A4" t="inlineStr">
        <is>
          <t>2022-03-07</t>
        </is>
      </c>
      <c r="B4" t="inlineStr">
        <is>
          <t>黄金</t>
        </is>
      </c>
      <c r="C4" t="inlineStr">
        <is>
          <t>rally</t>
        </is>
      </c>
      <c r="D4" t="inlineStr">
        <is>
          <t>自 2021-09-29 低点反弹 +15.8%（确认级）</t>
        </is>
      </c>
      <c r="E4" t="inlineStr">
        <is>
          <t>3</t>
        </is>
      </c>
      <c r="F4" t="inlineStr">
        <is>
          <t>2021-09-29 → 2022-03-07</t>
        </is>
      </c>
    </row>
    <row r="5">
      <c r="A5" t="inlineStr">
        <is>
          <t>2022-07-11</t>
        </is>
      </c>
      <c r="B5" t="inlineStr">
        <is>
          <t>黄金</t>
        </is>
      </c>
      <c r="C5" t="inlineStr">
        <is>
          <t>drawdown</t>
        </is>
      </c>
      <c r="D5" t="inlineStr">
        <is>
          <t>自 2022-03-08 高点回撤 -15.2%（确认级）</t>
        </is>
      </c>
      <c r="E5" t="inlineStr">
        <is>
          <t>3</t>
        </is>
      </c>
      <c r="F5" t="inlineStr">
        <is>
          <t>2022-03-08 → 2022-07-11</t>
        </is>
      </c>
    </row>
    <row r="6">
      <c r="A6" t="inlineStr">
        <is>
          <t>2022-11-08</t>
        </is>
      </c>
      <c r="B6" t="inlineStr">
        <is>
          <t>BTC</t>
        </is>
      </c>
      <c r="C6" t="inlineStr">
        <is>
          <t>accel_down</t>
        </is>
      </c>
      <c r="D6" t="inlineStr">
        <is>
          <t>单日收益 -10.01%，前21日分布 -5.4σ；量能异常 3.3×</t>
        </is>
      </c>
      <c r="E6" t="inlineStr">
        <is>
          <t>3</t>
        </is>
      </c>
      <c r="F6" t="inlineStr">
        <is>
          <t>2022-10-18 → 2022-11-08</t>
        </is>
      </c>
    </row>
    <row r="7">
      <c r="A7" t="inlineStr">
        <is>
          <t>2022-12-01</t>
        </is>
      </c>
      <c r="B7" t="inlineStr">
        <is>
          <t>黄金</t>
        </is>
      </c>
      <c r="C7" t="inlineStr">
        <is>
          <t>accel_up</t>
        </is>
      </c>
      <c r="D7" t="inlineStr">
        <is>
          <t>单日收益 +3.16%，前21日分布 +2.8σ；量能异常 140.5×</t>
        </is>
      </c>
      <c r="E7" t="inlineStr">
        <is>
          <t>3</t>
        </is>
      </c>
      <c r="F7" t="inlineStr">
        <is>
          <t>2022-11-01 → 2022-12-01</t>
        </is>
      </c>
    </row>
    <row r="8">
      <c r="A8" t="inlineStr">
        <is>
          <t>2023-03-13</t>
        </is>
      </c>
      <c r="B8" t="inlineStr">
        <is>
          <t>BTC</t>
        </is>
      </c>
      <c r="C8" t="inlineStr">
        <is>
          <t>rally</t>
        </is>
      </c>
      <c r="D8" t="inlineStr">
        <is>
          <t>自 2023-03-10 低点反弹 +19.9%（确认级）</t>
        </is>
      </c>
      <c r="E8" t="inlineStr">
        <is>
          <t>3</t>
        </is>
      </c>
      <c r="F8" t="inlineStr">
        <is>
          <t>2023-03-10 → 2023-03-13</t>
        </is>
      </c>
    </row>
    <row r="9">
      <c r="A9" t="inlineStr">
        <is>
          <t>2023-06-21</t>
        </is>
      </c>
      <c r="B9" t="inlineStr">
        <is>
          <t>BTC</t>
        </is>
      </c>
      <c r="C9" t="inlineStr">
        <is>
          <t>rally</t>
        </is>
      </c>
      <c r="D9" t="inlineStr">
        <is>
          <t>自 2023-06-14 低点反弹 +19.5%（确认级）</t>
        </is>
      </c>
      <c r="E9" t="inlineStr">
        <is>
          <t>3</t>
        </is>
      </c>
      <c r="F9" t="inlineStr">
        <is>
          <t>2023-06-14 → 2023-06-21</t>
        </is>
      </c>
    </row>
    <row r="10">
      <c r="A10" t="inlineStr">
        <is>
          <t>2024-08-23</t>
        </is>
      </c>
      <c r="B10" t="inlineStr">
        <is>
          <t>BTC</t>
        </is>
      </c>
      <c r="C10" t="inlineStr">
        <is>
          <t>rally</t>
        </is>
      </c>
      <c r="D10" t="inlineStr">
        <is>
          <t>自 2024-08-05 低点反弹 +18.7%（确认级）</t>
        </is>
      </c>
      <c r="E10" t="inlineStr">
        <is>
          <t>3</t>
        </is>
      </c>
      <c r="F10" t="inlineStr">
        <is>
          <t>2024-08-05 → 2024-08-23</t>
        </is>
      </c>
    </row>
    <row r="11">
      <c r="A11" t="inlineStr">
        <is>
          <t>2024-09-19</t>
        </is>
      </c>
      <c r="B11" t="inlineStr">
        <is>
          <t>BTC</t>
        </is>
      </c>
      <c r="C11" t="inlineStr">
        <is>
          <t>rally</t>
        </is>
      </c>
      <c r="D11" t="inlineStr">
        <is>
          <t>自 2024-09-06 低点反弹 +16.7%（确认级）</t>
        </is>
      </c>
      <c r="E11" t="inlineStr">
        <is>
          <t>3</t>
        </is>
      </c>
      <c r="F11" t="inlineStr">
        <is>
          <t>2024-09-06 → 2024-09-19</t>
        </is>
      </c>
    </row>
    <row r="12">
      <c r="A12" t="inlineStr">
        <is>
          <t>2024-11-06</t>
        </is>
      </c>
      <c r="B12" t="inlineStr">
        <is>
          <t>BTC</t>
        </is>
      </c>
      <c r="C12" t="inlineStr">
        <is>
          <t>accel_up</t>
        </is>
      </c>
      <c r="D12" t="inlineStr">
        <is>
          <t>单日收益 +9.05%，前21日分布 +4.8σ；量能异常 3.8×</t>
        </is>
      </c>
      <c r="E12" t="inlineStr">
        <is>
          <t>3</t>
        </is>
      </c>
      <c r="F12" t="inlineStr">
        <is>
          <t>2024-10-16 → 2024-11-06</t>
        </is>
      </c>
    </row>
    <row r="13">
      <c r="A13" t="inlineStr">
        <is>
          <t>2025-01-30</t>
        </is>
      </c>
      <c r="B13" t="inlineStr">
        <is>
          <t>黄金</t>
        </is>
      </c>
      <c r="C13" t="inlineStr">
        <is>
          <t>accel_up</t>
        </is>
      </c>
      <c r="D13" t="inlineStr">
        <is>
          <t>单日收益 +1.95%，前21日分布 +2.2σ；量能异常 26.3×</t>
        </is>
      </c>
      <c r="E13" t="inlineStr">
        <is>
          <t>3</t>
        </is>
      </c>
      <c r="F13" t="inlineStr">
        <is>
          <t>2024-12-30 → 2025-01-30</t>
        </is>
      </c>
    </row>
    <row r="14">
      <c r="A14" t="inlineStr">
        <is>
          <t>2025-02-25</t>
        </is>
      </c>
      <c r="B14" t="inlineStr">
        <is>
          <t>BTC</t>
        </is>
      </c>
      <c r="C14" t="inlineStr">
        <is>
          <t>drawdown</t>
        </is>
      </c>
      <c r="D14" t="inlineStr">
        <is>
          <t>自 2025-01-21 高点回撤 -16.4%（确认级）</t>
        </is>
      </c>
      <c r="E14" t="inlineStr">
        <is>
          <t>3</t>
        </is>
      </c>
      <c r="F14" t="inlineStr">
        <is>
          <t>2025-01-21 → 2025-02-25</t>
        </is>
      </c>
    </row>
    <row r="15">
      <c r="A15" t="inlineStr">
        <is>
          <t>2025-04-03</t>
        </is>
      </c>
      <c r="B15" t="inlineStr">
        <is>
          <t>黄金</t>
        </is>
      </c>
      <c r="C15" t="inlineStr">
        <is>
          <t>accel_down</t>
        </is>
      </c>
      <c r="D15" t="inlineStr">
        <is>
          <t>单日收益 -1.37%，前21日分布 -2.8σ；量能异常 30.2×</t>
        </is>
      </c>
      <c r="E15" t="inlineStr">
        <is>
          <t>3</t>
        </is>
      </c>
      <c r="F15" t="inlineStr">
        <is>
          <t>2025-03-05 → 2025-04-03</t>
        </is>
      </c>
    </row>
    <row r="16">
      <c r="A16" t="inlineStr">
        <is>
          <t>2026-01-30</t>
        </is>
      </c>
      <c r="B16" t="inlineStr">
        <is>
          <t>黄金</t>
        </is>
      </c>
      <c r="C16" t="inlineStr">
        <is>
          <t>accel_down</t>
        </is>
      </c>
      <c r="D16" t="inlineStr">
        <is>
          <t>单日收益 -11.37%，前21日分布 -8.4σ；量能异常 32.4×</t>
        </is>
      </c>
      <c r="E16" t="inlineStr">
        <is>
          <t>3</t>
        </is>
      </c>
      <c r="F16" t="inlineStr">
        <is>
          <t>2025-12-30 → 2026-01-30</t>
        </is>
      </c>
    </row>
    <row r="17">
      <c r="A17" t="inlineStr">
        <is>
          <t>2026-03-23</t>
        </is>
      </c>
      <c r="B17" t="inlineStr">
        <is>
          <t>黄金</t>
        </is>
      </c>
      <c r="C17" t="inlineStr">
        <is>
          <t>drawdown</t>
        </is>
      </c>
      <c r="D17" t="inlineStr">
        <is>
          <t>自 2026-01-29 高点回撤 -17.2%（确认级）；量能异常 22.5×</t>
        </is>
      </c>
      <c r="E17" t="inlineStr">
        <is>
          <t>3</t>
        </is>
      </c>
      <c r="F17" t="inlineStr">
        <is>
          <t>2026-01-29 → 2026-03-23</t>
        </is>
      </c>
    </row>
    <row r="19">
      <c r="A19" t="inlineStr">
        <is>
          <t>溯源：ev-s-20260705-745a-2、ev-s-20260705-745a-3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日期</t>
        </is>
      </c>
      <c r="B1" s="1" t="inlineStr">
        <is>
          <t>事件</t>
        </is>
      </c>
      <c r="C1" s="1" t="inlineStr">
        <is>
          <t>类别</t>
        </is>
      </c>
      <c r="D1" s="1" t="inlineStr">
        <is>
          <t>方向</t>
        </is>
      </c>
      <c r="E1" s="1" t="inlineStr">
        <is>
          <t>行情影响</t>
        </is>
      </c>
      <c r="F1" s="1" t="inlineStr">
        <is>
          <t>评级</t>
        </is>
      </c>
    </row>
    <row r="2">
      <c r="A2" t="inlineStr">
        <is>
          <t>2022-02-24</t>
        </is>
      </c>
      <c r="B2" t="inlineStr">
        <is>
          <t>俄罗斯全面入侵乌克兰</t>
        </is>
      </c>
      <c r="C2" t="inlineStr">
        <is>
          <t>地缘政治</t>
        </is>
      </c>
      <c r="D2" t="inlineStr">
        <is>
          <t>⬆</t>
        </is>
      </c>
      <c r="E2" t="inlineStr">
        <is>
          <t>黄金飙升，BTC先跌后涨</t>
        </is>
      </c>
      <c r="F2" t="inlineStr">
        <is>
          <t>5</t>
        </is>
      </c>
    </row>
    <row r="3">
      <c r="A3" t="inlineStr">
        <is>
          <t>2022-03-16</t>
        </is>
      </c>
      <c r="B3" t="inlineStr">
        <is>
          <t>美联储启动加息周期</t>
        </is>
      </c>
      <c r="C3" t="inlineStr">
        <is>
          <t>宏观</t>
        </is>
      </c>
      <c r="D3" t="inlineStr">
        <is>
          <t>⬇</t>
        </is>
      </c>
      <c r="E3" t="inlineStr">
        <is>
          <t>风险资产承压，黄金受美元走强压制</t>
        </is>
      </c>
      <c r="F3" t="inlineStr">
        <is>
          <t>5</t>
        </is>
      </c>
    </row>
    <row r="4">
      <c r="A4" t="inlineStr">
        <is>
          <t>2022-07-13</t>
        </is>
      </c>
      <c r="B4" t="inlineStr">
        <is>
          <t>美国CPI 9.1%创40年新高</t>
        </is>
      </c>
      <c r="C4" t="inlineStr">
        <is>
          <t>宏观</t>
        </is>
      </c>
      <c r="D4" t="inlineStr">
        <is>
          <t>↕</t>
        </is>
      </c>
      <c r="E4" t="inlineStr">
        <is>
          <t>通胀对冲需求推升黄金，BTC先涨后跌</t>
        </is>
      </c>
      <c r="F4" t="inlineStr">
        <is>
          <t>5</t>
        </is>
      </c>
    </row>
    <row r="5">
      <c r="A5" t="inlineStr">
        <is>
          <t>2022-09-21</t>
        </is>
      </c>
      <c r="B5" t="inlineStr">
        <is>
          <t>美联储连续第三次加息75bp</t>
        </is>
      </c>
      <c r="C5" t="inlineStr">
        <is>
          <t>宏观</t>
        </is>
      </c>
      <c r="D5" t="inlineStr">
        <is>
          <t>⬇</t>
        </is>
      </c>
      <c r="E5" t="inlineStr">
        <is>
          <t>全球风险资产下跌，BTC跌破$19k</t>
        </is>
      </c>
      <c r="F5" t="inlineStr">
        <is>
          <t>5</t>
        </is>
      </c>
    </row>
    <row r="6">
      <c r="A6" t="inlineStr">
        <is>
          <t>2022-11-02</t>
        </is>
      </c>
      <c r="B6" t="inlineStr">
        <is>
          <t>FTX崩盘</t>
        </is>
      </c>
      <c r="C6" t="inlineStr">
        <is>
          <t>行业</t>
        </is>
      </c>
      <c r="D6" t="inlineStr">
        <is>
          <t>⬇</t>
        </is>
      </c>
      <c r="E6" t="inlineStr">
        <is>
          <t>BTC暴跌，黄金受益于避险资金流入</t>
        </is>
      </c>
      <c r="F6" t="inlineStr">
        <is>
          <t>5</t>
        </is>
      </c>
    </row>
    <row r="7">
      <c r="A7" t="inlineStr">
        <is>
          <t>2023-03-10</t>
        </is>
      </c>
      <c r="B7" t="inlineStr">
        <is>
          <t>硅谷银行倒闭</t>
        </is>
      </c>
      <c r="C7" t="inlineStr">
        <is>
          <t>宏观</t>
        </is>
      </c>
      <c r="D7" t="inlineStr">
        <is>
          <t>⬆</t>
        </is>
      </c>
      <c r="E7" t="inlineStr">
        <is>
          <t>黄金突破$2000，BTC先跌后涨</t>
        </is>
      </c>
      <c r="F7" t="inlineStr">
        <is>
          <t>5</t>
        </is>
      </c>
    </row>
    <row r="8">
      <c r="A8" t="inlineStr">
        <is>
          <t>2023-03-19</t>
        </is>
      </c>
      <c r="B8" t="inlineStr">
        <is>
          <t>瑞信被UBS收购</t>
        </is>
      </c>
      <c r="C8" t="inlineStr">
        <is>
          <t>宏观</t>
        </is>
      </c>
      <c r="D8" t="inlineStr">
        <is>
          <t>⬆</t>
        </is>
      </c>
      <c r="E8" t="inlineStr">
        <is>
          <t>黄金创年内新高，BTC反弹至$28k</t>
        </is>
      </c>
      <c r="F8" t="inlineStr">
        <is>
          <t>5</t>
        </is>
      </c>
    </row>
    <row r="9">
      <c r="A9" t="inlineStr">
        <is>
          <t>2023-06-15</t>
        </is>
      </c>
      <c r="B9" t="inlineStr">
        <is>
          <t>BlackRock提交BTC ETF申请</t>
        </is>
      </c>
      <c r="C9" t="inlineStr">
        <is>
          <t>行业</t>
        </is>
      </c>
      <c r="D9" t="inlineStr">
        <is>
          <t>⬆</t>
        </is>
      </c>
      <c r="E9" t="inlineStr">
        <is>
          <t>BTC从$25k反弹至$31k</t>
        </is>
      </c>
      <c r="F9" t="inlineStr">
        <is>
          <t>5</t>
        </is>
      </c>
    </row>
    <row r="10">
      <c r="A10" t="inlineStr">
        <is>
          <t>2023-10-07</t>
        </is>
      </c>
      <c r="B10" t="inlineStr">
        <is>
          <t>哈马斯突袭以色列</t>
        </is>
      </c>
      <c r="C10" t="inlineStr">
        <is>
          <t>地缘政治</t>
        </is>
      </c>
      <c r="D10" t="inlineStr">
        <is>
          <t>⬆</t>
        </is>
      </c>
      <c r="E10" t="inlineStr">
        <is>
          <t>黄金从$1820飙升至$2000+</t>
        </is>
      </c>
      <c r="F10" t="inlineStr">
        <is>
          <t>5</t>
        </is>
      </c>
    </row>
    <row r="11">
      <c r="A11" t="inlineStr">
        <is>
          <t>2024-01-10</t>
        </is>
      </c>
      <c r="B11" t="inlineStr">
        <is>
          <t>SEC批准11只现货BTC ETF</t>
        </is>
      </c>
      <c r="C11" t="inlineStr">
        <is>
          <t>行业</t>
        </is>
      </c>
      <c r="D11" t="inlineStr">
        <is>
          <t>⬆</t>
        </is>
      </c>
      <c r="E11" t="inlineStr">
        <is>
          <t>BTC从$45k飙升至$73k</t>
        </is>
      </c>
      <c r="F11" t="inlineStr">
        <is>
          <t>5</t>
        </is>
      </c>
    </row>
    <row r="12">
      <c r="A12" t="inlineStr">
        <is>
          <t>2024-08-23</t>
        </is>
      </c>
      <c r="B12" t="inlineStr">
        <is>
          <t>鲍威尔Jackson Hole释放降息信号</t>
        </is>
      </c>
      <c r="C12" t="inlineStr">
        <is>
          <t>宏观</t>
        </is>
      </c>
      <c r="D12" t="inlineStr">
        <is>
          <t>⬆</t>
        </is>
      </c>
      <c r="E12" t="inlineStr">
        <is>
          <t>黄金突破$2500创新高，BTC反弹</t>
        </is>
      </c>
      <c r="F12" t="inlineStr">
        <is>
          <t>5</t>
        </is>
      </c>
    </row>
    <row r="13">
      <c r="A13" t="inlineStr">
        <is>
          <t>2024-09-18</t>
        </is>
      </c>
      <c r="B13" t="inlineStr">
        <is>
          <t>美联储降息50bp开启周期</t>
        </is>
      </c>
      <c r="C13" t="inlineStr">
        <is>
          <t>宏观</t>
        </is>
      </c>
      <c r="D13" t="inlineStr">
        <is>
          <t>⬆</t>
        </is>
      </c>
      <c r="E13" t="inlineStr">
        <is>
          <t>黄金延续涨势，BTC突破$62k</t>
        </is>
      </c>
      <c r="F13" t="inlineStr">
        <is>
          <t>5</t>
        </is>
      </c>
    </row>
    <row r="14">
      <c r="A14" t="inlineStr">
        <is>
          <t>2024-11-06</t>
        </is>
      </c>
      <c r="B14" t="inlineStr">
        <is>
          <t>特朗普赢得总统大选</t>
        </is>
      </c>
      <c r="C14" t="inlineStr">
        <is>
          <t>宏观</t>
        </is>
      </c>
      <c r="D14" t="inlineStr">
        <is>
          <t>⬆</t>
        </is>
      </c>
      <c r="E14" t="inlineStr">
        <is>
          <t>BTC突破$76k创新高</t>
        </is>
      </c>
      <c r="F14" t="inlineStr">
        <is>
          <t>5</t>
        </is>
      </c>
    </row>
    <row r="15">
      <c r="A15" t="inlineStr">
        <is>
          <t>2025-01-27</t>
        </is>
      </c>
      <c r="B15" t="inlineStr">
        <is>
          <t>DeepSeek引发AI股灾</t>
        </is>
      </c>
      <c r="C15" t="inlineStr">
        <is>
          <t>科技</t>
        </is>
      </c>
      <c r="D15" t="inlineStr">
        <is>
          <t>↕</t>
        </is>
      </c>
      <c r="E15" t="inlineStr">
        <is>
          <t>黄金受益避险，BTC跟随风险资产下跌</t>
        </is>
      </c>
      <c r="F15" t="inlineStr">
        <is>
          <t>5</t>
        </is>
      </c>
    </row>
    <row r="16">
      <c r="A16" t="inlineStr">
        <is>
          <t>2025-04-02</t>
        </is>
      </c>
      <c r="B16" t="inlineStr">
        <is>
          <t>特朗普对等关税（解放日）</t>
        </is>
      </c>
      <c r="C16" t="inlineStr">
        <is>
          <t>宏观</t>
        </is>
      </c>
      <c r="D16" t="inlineStr">
        <is>
          <t>↕</t>
        </is>
      </c>
      <c r="E16" t="inlineStr">
        <is>
          <t>风险资产暴跌，黄金创新高</t>
        </is>
      </c>
      <c r="F16" t="inlineStr">
        <is>
          <t>5</t>
        </is>
      </c>
    </row>
    <row r="17">
      <c r="A17" t="inlineStr">
        <is>
          <t>2026-06-05</t>
        </is>
      </c>
      <c r="B17" t="inlineStr">
        <is>
          <t>BTC跌破$60,000</t>
        </is>
      </c>
      <c r="C17" t="inlineStr">
        <is>
          <t>行业</t>
        </is>
      </c>
      <c r="D17" t="inlineStr">
        <is>
          <t>⬇</t>
        </is>
      </c>
      <c r="E17" t="inlineStr">
        <is>
          <t>资金转向AI和IPO</t>
        </is>
      </c>
      <c r="F17" t="inlineStr">
        <is>
          <t>5</t>
        </is>
      </c>
    </row>
    <row r="19">
      <c r="A19" t="inlineStr">
        <is>
          <t>溯源：ev-s-20260705-745a-11、ev-s-20260705-745a-15、ev-s-20260705-745a-16、ev-s-20260705-745a-19、ev-s-20260705-745a-4、ev-s-20260705-745a-6、ev-s-20260705-745a-21、ev-s-20260705-745a-24、ev-s-20260705-745a-26、ev-s-20260705-745a-9、ev-s-20260705-745a-27、ev-s-20260705-745a-31、ev-s-20260705-745a-32、ev-s-20260705-745a-10、ev-s-20260705-745a-33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60" customWidth="1" min="3" max="3"/>
  </cols>
  <sheetData>
    <row r="1">
      <c r="A1" s="1" t="inlineStr">
        <is>
          <t>evidence_id</t>
        </is>
      </c>
      <c r="B1" s="1" t="inlineStr">
        <is>
          <t>类型</t>
        </is>
      </c>
      <c r="C1" s="1" t="inlineStr">
        <is>
          <t>来源URL</t>
        </is>
      </c>
      <c r="D1" s="1" t="inlineStr">
        <is>
          <t>抓取时间</t>
        </is>
      </c>
      <c r="E1" s="1" t="inlineStr">
        <is>
          <t>查询</t>
        </is>
      </c>
      <c r="F1" s="1" t="inlineStr">
        <is>
          <t>摘录</t>
        </is>
      </c>
    </row>
    <row r="2">
      <c r="A2" t="inlineStr">
        <is>
          <t>ev-s-20260705-745a-1</t>
        </is>
      </c>
      <c r="B2" t="inlineStr">
        <is>
          <t>market_data</t>
        </is>
      </c>
      <c r="C2" t="inlineStr">
        <is>
          <t>https://query2.finance.yahoo.com/v8/finance/chart/GC=F?period1=1625443200&amp;period2=1783296000&amp;interval=1d&amp;events=history</t>
        </is>
      </c>
      <c r="D2" t="inlineStr">
        <is>
          <t>2026-07-05T08:16:06+00:00</t>
        </is>
      </c>
      <c r="E2" t="inlineStr">
        <is>
          <t>{'ticker': 'GC=F', 'start': '2021-07-05', 'end': '2026-07-05', 'source': 'Yahoo Finance (query2)'}</t>
        </is>
      </c>
      <c r="F2" t="inlineStr">
        <is>
          <t>1257 行日线，2021-07-06 至 2026-07-03，来源 Yahoo Finance (query2)</t>
        </is>
      </c>
    </row>
    <row r="3">
      <c r="A3" t="inlineStr">
        <is>
          <t>ev-s-20260705-745a-2</t>
        </is>
      </c>
      <c r="B3" t="inlineStr">
        <is>
          <t>computation</t>
        </is>
      </c>
      <c r="C3" t="inlineStr">
        <is>
          <t>evidence:ev-s-20260705-745a-39</t>
        </is>
      </c>
      <c r="D3" t="inlineStr">
        <is>
          <t>2026-07-05T08:16:14+00:00</t>
        </is>
      </c>
      <c r="E3" t="inlineStr">
        <is>
          <t>{'params': {'trend_window': 20, 'trend_min_slope': 0.001, 'zscore_window': 21, 'zscore_threshold': 2.0, 'swing_threshold': 0.15, 'volume_window': 60, 'volume_multiple': 3.0, 'merge_window_days': 10}, 'rows': 1826}</t>
        </is>
      </c>
      <c r="F3" t="inlineStr">
        <is>
          <t>208 个变化点：2021-07-24 rally(s3)；2021-07-26 trend_up(s1)；2021-09-07 accel_down(s2)；2021-09-10 trend_down(s1)；2021-09-20 accel_down(s2)；2021-09-20 drawdown(s3)；2021-10-01 accel_up(s2)；2021-10-01 rally(s3)</t>
        </is>
      </c>
    </row>
    <row r="4">
      <c r="A4" t="inlineStr">
        <is>
          <t>ev-s-20260705-745a-3</t>
        </is>
      </c>
      <c r="B4" t="inlineStr">
        <is>
          <t>computation</t>
        </is>
      </c>
      <c r="C4" t="inlineStr">
        <is>
          <t>evidence:ev-s-20260705-745a-1</t>
        </is>
      </c>
      <c r="D4" t="inlineStr">
        <is>
          <t>2026-07-05T08:16:14+00:00</t>
        </is>
      </c>
      <c r="E4" t="inlineStr">
        <is>
          <t>{'params': {'trend_window': 20, 'trend_min_slope': 0.001, 'zscore_window': 21, 'zscore_threshold': 2.0, 'swing_threshold': 0.15, 'volume_window': 60, 'volume_multiple': 3.0, 'merge_window_days': 10}, 'rows': 1257}</t>
        </is>
      </c>
      <c r="F4" t="inlineStr">
        <is>
          <t>117 个变化点：2021-08-06 accel_down(s2)；2021-08-31 trend_up(s1)；2021-09-16 accel_down(s2)；2021-09-20 trend_down(s2)；2021-09-30 accel_up(s3)；2021-10-13 accel_up(s2)；2021-10-20 trend_up(s1)；2021-11-04 accel_up(s2)</t>
        </is>
      </c>
    </row>
    <row r="5">
      <c r="A5" t="inlineStr">
        <is>
          <t>ev-s-20260705-745a-4</t>
        </is>
      </c>
      <c r="B5" t="inlineStr">
        <is>
          <t>search</t>
        </is>
      </c>
      <c r="C5" t="inlineStr">
        <is>
          <t>https://tokentax.co/blog/ftx-collapse</t>
        </is>
      </c>
      <c r="D5" t="inlineStr">
        <is>
          <t>2026-07-05T08:18:20+00:00</t>
        </is>
      </c>
      <c r="E5" t="inlineStr">
        <is>
          <t>{'query': 'FTX collapse date November 2022', 'backend': 'tavily', 'max_results': 5}</t>
        </is>
      </c>
      <c r="F5" t="inlineStr">
        <is>
          <t>The FTX Collapse: A Complete Guide；Bankruptcy of FTX；The FTX Collapse: A Complete Guide | CoinLedger；Sam Bankman-Fried and FTX: The Timeline of the Collapse；[PDF] The collapse of FTX - KPMG agentic corporate services</t>
        </is>
      </c>
    </row>
    <row r="6">
      <c r="A6" t="inlineStr">
        <is>
          <t>ev-s-20260705-745a-5</t>
        </is>
      </c>
      <c r="B6" t="inlineStr">
        <is>
          <t>search</t>
        </is>
      </c>
      <c r="C6" t="inlineStr">
        <is>
          <t>https://www.history.com/this-day-in-history/november-30/chatgpt-released-openai</t>
        </is>
      </c>
      <c r="D6" t="inlineStr">
        <is>
          <t>2026-07-05T08:18:21+00:00</t>
        </is>
      </c>
      <c r="E6" t="inlineStr">
        <is>
          <t>{'query': 'ChatGPT release date November 2022', 'backend': 'tavily', 'max_results': 5}</t>
        </is>
      </c>
      <c r="F6" t="inlineStr">
        <is>
          <t>ChatGPT, the generative AI chatbot, is released - History.com；ChatGPT - Wikipedia；Q about before Nov 30 2022 : r/ChatGPT - Reddit；ChatGPT had its initial public release November 30th, 2022. That's 820 days to t...；Timeline Of ChatGPT Updates &amp; Key Events</t>
        </is>
      </c>
    </row>
    <row r="7">
      <c r="A7" t="inlineStr">
        <is>
          <t>ev-s-20260705-745a-6</t>
        </is>
      </c>
      <c r="B7" t="inlineStr">
        <is>
          <t>search</t>
        </is>
      </c>
      <c r="C7" t="inlineStr">
        <is>
          <t>https://en.wikipedia.org/wiki/Collapse_of_Silicon_Valley_Bank</t>
        </is>
      </c>
      <c r="D7" t="inlineStr">
        <is>
          <t>2026-07-05T08:18:21+00:00</t>
        </is>
      </c>
      <c r="E7" t="inlineStr">
        <is>
          <t>{'query': 'Silicon Valley Bank collapse date March 2023', 'backend': 'tavily', 'max_results': 5}</t>
        </is>
      </c>
      <c r="F7" t="inlineStr">
        <is>
          <t>Collapse of Silicon Valley Bank - Wikipedia；Collapse of Silicon Valley Bank | History | Research Starters | EBSCO Research；The Failure of Silicon Valley Bank and the Panic of 2023 | Yale Department of Economics；The Silicon Valley Bank Collapse | March 14, 2023；The Failure of Silicon Valley Bank and the Panic of 2023 - American Economic Association</t>
        </is>
      </c>
    </row>
    <row r="8">
      <c r="A8" t="inlineStr">
        <is>
          <t>ev-s-20260705-745a-7</t>
        </is>
      </c>
      <c r="B8" t="inlineStr">
        <is>
          <t>search</t>
        </is>
      </c>
      <c r="C8" t="inlineStr">
        <is>
          <t>https://en.wikipedia.org/wiki/DeepSeek</t>
        </is>
      </c>
      <c r="D8" t="inlineStr">
        <is>
          <t>2026-07-05T08:18:29+00:00</t>
        </is>
      </c>
      <c r="E8" t="inlineStr">
        <is>
          <t>{'query': 'DeepSeek AI launch date January 2025', 'backend': 'tavily', 'max_results': 5}</t>
        </is>
      </c>
      <c r="F8" t="inlineStr">
        <is>
          <t>DeepSeek；DeepSeek | Rise, Technologies, Impact, &amp; Global Response；Explainer: What is DeepSeek and why is it disrupting the AI sector?；The January 2025 release of a low-cost generative AI ...；Timeline of DeepSeek</t>
        </is>
      </c>
    </row>
    <row r="9">
      <c r="A9" t="inlineStr">
        <is>
          <t>ev-s-20260705-745a-8</t>
        </is>
      </c>
      <c r="B9" t="inlineStr">
        <is>
          <t>search</t>
        </is>
      </c>
      <c r="C9" t="inlineStr">
        <is>
          <t>https://www.lseg.com/en/ftse-russell/research/bitcoin-halving</t>
        </is>
      </c>
      <c r="D9" t="inlineStr">
        <is>
          <t>2026-07-05T08:18:36+00:00</t>
        </is>
      </c>
      <c r="E9" t="inlineStr">
        <is>
          <t>{'query': 'Bitcoin halving 2024 date', 'backend': 'tavily', 'max_results': 5}</t>
        </is>
      </c>
      <c r="F9" t="inlineStr">
        <is>
          <t>Bitcoin halving 2024 | LSEG；Bitcoin Halving Countdown；Bitcoin Halving 2024: Everything You Need to Know | IG International；2024 Bitcoin Halving: One Year Later；Bitcoin Halving Dates: Investor’s Guide 2026 | CoinLedger</t>
        </is>
      </c>
    </row>
    <row r="10">
      <c r="A10" t="inlineStr">
        <is>
          <t>ev-s-20260705-745a-9</t>
        </is>
      </c>
      <c r="B10" t="inlineStr">
        <is>
          <t>search</t>
        </is>
      </c>
      <c r="C10" t="inlineStr">
        <is>
          <t>https://bitbo.io/calendar/etfs</t>
        </is>
      </c>
      <c r="D10" t="inlineStr">
        <is>
          <t>2026-07-05T08:18:37+00:00</t>
        </is>
      </c>
      <c r="E10" t="inlineStr">
        <is>
          <t>{'query': 'Bitcoin ETF SEC approval date January 2024', 'backend': 'tavily', 'max_results': 5}</t>
        </is>
      </c>
      <c r="F10" t="inlineStr">
        <is>
          <t>Bitcoin ETF Approval Date History；SEC Greenlights Bitcoin ETFs: What Happened and What It Portends | Foley &amp; Lardner；SEC Approves Eleven Spot Bitcoin Exchange Traded Funds (ETFs)；SEC Approves Bitcoin Exchange-Traded Products (ETPs)；Bitcoin ETF: SEC approval one year on - Compliance Corylated</t>
        </is>
      </c>
    </row>
    <row r="11">
      <c r="A11" t="inlineStr">
        <is>
          <t>ev-s-20260705-745a-10</t>
        </is>
      </c>
      <c r="B11" t="inlineStr">
        <is>
          <t>search</t>
        </is>
      </c>
      <c r="C11" t="inlineStr">
        <is>
          <t>https://www.klgates.com/President-Trump-Announces-Reciprocal-Tariffs-Beginning-5-April-2025-4-2-2025</t>
        </is>
      </c>
      <c r="D11" t="inlineStr">
        <is>
          <t>2026-07-05T08:18:37+00:00</t>
        </is>
      </c>
      <c r="E11" t="inlineStr">
        <is>
          <t>{'query': 'Trump tariff announcement April 2025', 'backend': 'tavily', 'max_results': 5}</t>
        </is>
      </c>
      <c r="F11" t="inlineStr">
        <is>
          <t>President Trump Announces "Reciprocal" Tariffs Beginning 5 April 2025 | HUB | K&amp;L Gates；Modifying Reciprocal Tariff Rates to Reflect Trading Partner ...；Regulating Imports with a Reciprocal Tariff to Rectify Trade Practices ...；Liberation Day tariffs - Wikipedia；Remarks Announcing Additional United States Tariff Actions on Foreign Imports | The American Presidency Project</t>
        </is>
      </c>
    </row>
    <row r="12">
      <c r="A12" t="inlineStr">
        <is>
          <t>ev-s-20260705-745a-11</t>
        </is>
      </c>
      <c r="B12" t="inlineStr">
        <is>
          <t>search</t>
        </is>
      </c>
      <c r="C12" t="inlineStr">
        <is>
          <t>https://www.huri.harvard.edu/russo-ukrainian-war</t>
        </is>
      </c>
      <c r="D12" t="inlineStr">
        <is>
          <t>2026-07-05T08:18:37+00:00</t>
        </is>
      </c>
      <c r="E12" t="inlineStr">
        <is>
          <t>{'query': 'Russia Ukraine war start date February 2022', 'backend': 'tavily', 'max_results': 5}</t>
        </is>
      </c>
      <c r="F12" t="inlineStr">
        <is>
          <t>Russo-Ukrainian War | Ukrainian Research Institute；When did the Russia-Ukraine War begin?  | Britannica；Russia Ukraine War - February 2022 Recap Documentary；Russia's invasion of Ukraine, initiated on February 24, 2022, is ...；Russia invades Ukraine | HISTORY</t>
        </is>
      </c>
    </row>
    <row r="13">
      <c r="A13" t="inlineStr">
        <is>
          <t>ev-s-20260705-745a-12</t>
        </is>
      </c>
      <c r="B13" t="inlineStr">
        <is>
          <t>news</t>
        </is>
      </c>
      <c r="C13" t="inlineStr">
        <is>
          <t>https://hn.algolia.com/api/v1/search_by_date?query=inflation&amp;tags=story&amp;hitsPerPage=30&amp;numericFilters=created_at_i%3E%3D1626480000%2Ccreated_at_i%3C%3D1640303999</t>
        </is>
      </c>
      <c r="D13" t="inlineStr">
        <is>
          <t>2026-07-05T08:19:20+00:00</t>
        </is>
      </c>
      <c r="E13" t="inlineStr">
        <is>
          <t>{'query': 'inflation', 'start': '2021-07-17', 'end': '2021-12-23', 'source': 'hn-algolia'}</t>
        </is>
      </c>
      <c r="F13" t="inlineStr">
        <is>
          <t>Corporations are using inflation as an excuse to raise prices and profits；$1 Slice Pizza Inflation；Source of US Inflation；Ask HN: For finance nerds, why do inverted yield curves predict Deflation?；mRNA vaccines highly effective at preventing death, less at preventing infection</t>
        </is>
      </c>
    </row>
    <row r="14">
      <c r="A14" t="inlineStr">
        <is>
          <t>ev-s-20260705-745a-13</t>
        </is>
      </c>
      <c r="B14" t="inlineStr">
        <is>
          <t>news</t>
        </is>
      </c>
      <c r="C14" t="inlineStr">
        <is>
          <t>https://hn.algolia.com/api/v1/search_by_date?query=gold&amp;tags=story&amp;hitsPerPage=30&amp;numericFilters=created_at_i%3E%3D1626480000%2Ccreated_at_i%3C%3D1640303999</t>
        </is>
      </c>
      <c r="D14" t="inlineStr">
        <is>
          <t>2026-07-05T08:19:20+00:00</t>
        </is>
      </c>
      <c r="E14" t="inlineStr">
        <is>
          <t>{'query': 'gold', 'start': '2021-07-17', 'end': '2021-12-23', 'source': 'hn-algolia'}</t>
        </is>
      </c>
      <c r="F14" t="inlineStr">
        <is>
          <t>Is freeing everyone from the Matrix a good idea；What is the best resource for learning to lead a software team?；Ask HN: Good programming streamers / content creators?；Facebook and the terrible, horrible, no good, bad year；Ask HN: Any good software/SaaS Chritmas sales?</t>
        </is>
      </c>
    </row>
    <row r="15">
      <c r="A15" t="inlineStr">
        <is>
          <t>ev-s-20260705-745a-14</t>
        </is>
      </c>
      <c r="B15" t="inlineStr">
        <is>
          <t>news</t>
        </is>
      </c>
      <c r="C15" t="inlineStr">
        <is>
          <t>https://hn.algolia.com/api/v1/search_by_date?query=bitcoin&amp;tags=story&amp;hitsPerPage=30&amp;numericFilters=created_at_i%3E%3D1626480000%2Ccreated_at_i%3C%3D1640303999</t>
        </is>
      </c>
      <c r="D15" t="inlineStr">
        <is>
          <t>2026-07-05T08:19:20+00:00</t>
        </is>
      </c>
      <c r="E15" t="inlineStr">
        <is>
          <t>{'query': 'bitcoin', 'start': '2021-07-17', 'end': '2021-12-23', 'source': 'hn-algolia'}</t>
        </is>
      </c>
      <c r="F15" t="inlineStr">
        <is>
          <t>Bech32；U.S. SEC rejects Valkyrie, Kryptoin Bitcoin trusts；Hundreds of Salvadorans claim money is vanishing from Bitcoin accounts；Jennifer Robertson: Bitcoin Widow – Quadriga? I know nothing! Nothing!；3D Bitcoin transaction analysis in your desktop browser</t>
        </is>
      </c>
    </row>
    <row r="16">
      <c r="A16" t="inlineStr">
        <is>
          <t>ev-s-20260705-745a-15</t>
        </is>
      </c>
      <c r="B16" t="inlineStr">
        <is>
          <t>news</t>
        </is>
      </c>
      <c r="C16" t="inlineStr">
        <is>
          <t>https://hn.algolia.com/api/v1/search_by_date?query=russia&amp;tags=story&amp;hitsPerPage=30&amp;numericFilters=created_at_i%3E%3D1641945600%2Ccreated_at_i%3C%3D1650326399</t>
        </is>
      </c>
      <c r="D16" t="inlineStr">
        <is>
          <t>2026-07-05T08:19:28+00:00</t>
        </is>
      </c>
      <c r="E16" t="inlineStr">
        <is>
          <t>{'query': 'russia', 'start': '2022-01-12', 'end': '2022-04-18', 'source': 'hn-algolia'}</t>
        </is>
      </c>
      <c r="F16" t="inlineStr">
        <is>
          <t>Google Maps Removes Blurring for Russia’s Military Sites；Noam Chomsky on the Russia-Ukraine War, Media, Propaganda, and Accountability；Russia’s military is now on full display in Google Maps satellite view；Stolen AirPods give away Russian retreat positions；Satellite images of all strategic points of Russia opened in Google Maps</t>
        </is>
      </c>
    </row>
    <row r="17">
      <c r="A17" t="inlineStr">
        <is>
          <t>ev-s-20260705-745a-16</t>
        </is>
      </c>
      <c r="B17" t="inlineStr">
        <is>
          <t>news</t>
        </is>
      </c>
      <c r="C17" t="inlineStr">
        <is>
          <t>https://hn.algolia.com/api/v1/search_by_date?query=bitcoin&amp;tags=story&amp;hitsPerPage=30&amp;numericFilters=created_at_i%3E%3D1641945600%2Ccreated_at_i%3C%3D1650326399</t>
        </is>
      </c>
      <c r="D17" t="inlineStr">
        <is>
          <t>2026-07-05T08:19:28+00:00</t>
        </is>
      </c>
      <c r="E17" t="inlineStr">
        <is>
          <t>{'query': 'bitcoin', 'start': '2022-01-12', 'end': '2022-04-18', 'source': 'hn-algolia'}</t>
        </is>
      </c>
      <c r="F17" t="inlineStr">
        <is>
          <t>Bitcoin Slips Below $38.5K as US Tax Return Deadline Approaches；Peter Thiel Deems Buffett, Dimon, Fink Enemies of Bitcoin；Coinbase Is Creating a Film Featuring Bored Ape Yacht Club Characters；Russians Are Trying to Liquidate Their Crypto in UAE to Buy Real Estate；Bitcoin powered the largest Nigerian protests in a generation (2020)</t>
        </is>
      </c>
    </row>
    <row r="18">
      <c r="A18" t="inlineStr">
        <is>
          <t>ev-s-20260705-745a-17</t>
        </is>
      </c>
      <c r="B18" t="inlineStr">
        <is>
          <t>news</t>
        </is>
      </c>
      <c r="C18" t="inlineStr">
        <is>
          <t>https://hn.algolia.com/api/v1/search_by_date?query=fed&amp;tags=story&amp;hitsPerPage=30&amp;numericFilters=created_at_i%3E%3D1641945600%2Ccreated_at_i%3C%3D1650326399</t>
        </is>
      </c>
      <c r="D18" t="inlineStr">
        <is>
          <t>2026-07-05T08:19:29+00:00</t>
        </is>
      </c>
      <c r="E18" t="inlineStr">
        <is>
          <t>{'query': 'fed', 'start': '2022-01-12', 'end': '2022-04-18', 'source': 'hn-algolia'}</t>
        </is>
      </c>
      <c r="F18" t="inlineStr">
        <is>
          <t>A few concrete arguments for e-bikes；San Francisco fencing operation video shows what happens after car break-ins；Show HN: RSS Feed Discovery Engine；Ask HN: What benefits does your Seed/Series A startup provide?；Show HN: Plubo Routes – WordPress routes made simple</t>
        </is>
      </c>
    </row>
    <row r="19">
      <c r="A19" t="inlineStr">
        <is>
          <t>ev-s-20260705-745a-18</t>
        </is>
      </c>
      <c r="B19" t="inlineStr">
        <is>
          <t>news</t>
        </is>
      </c>
      <c r="C19" t="inlineStr">
        <is>
          <t>https://hn.algolia.com/api/v1/search_by_date?query=bitcoin&amp;tags=story&amp;hitsPerPage=30&amp;numericFilters=created_at_i%3E%3D1656892800%2Ccreated_at_i%3C%3D1665014399</t>
        </is>
      </c>
      <c r="D19" t="inlineStr">
        <is>
          <t>2026-07-05T08:19:47+00:00</t>
        </is>
      </c>
      <c r="E19" t="inlineStr">
        <is>
          <t>{'query': 'bitcoin', 'start': '2022-07-04', 'end': '2022-10-05', 'source': 'hn-algolia'}</t>
        </is>
      </c>
      <c r="F19" t="inlineStr">
        <is>
          <t>Small-scale Bitcoin mining as an economic enabler for renewable energy in Africa；Feds seized $311M in Bitcoin, then hacker stole it back；Show HN: Like Calendly, but people pay in Bitcoin to book your free time；Bitcoin Is Just Like the Gutenberg Machine；Re-Using Bitcoin Mining Heat</t>
        </is>
      </c>
    </row>
    <row r="20">
      <c r="A20" t="inlineStr">
        <is>
          <t>ev-s-20260705-745a-19</t>
        </is>
      </c>
      <c r="B20" t="inlineStr">
        <is>
          <t>news</t>
        </is>
      </c>
      <c r="C20" t="inlineStr">
        <is>
          <t>https://hn.algolia.com/api/v1/search_by_date?query=rate+hike&amp;tags=story&amp;hitsPerPage=30&amp;numericFilters=created_at_i%3E%3D1656892800%2Ccreated_at_i%3C%3D1665014399</t>
        </is>
      </c>
      <c r="D20" t="inlineStr">
        <is>
          <t>2026-07-05T08:19:47+00:00</t>
        </is>
      </c>
      <c r="E20" t="inlineStr">
        <is>
          <t>{'query': 'rate hike', 'start': '2022-07-04', 'end': '2022-10-05', 'source': 'hn-algolia'}</t>
        </is>
      </c>
      <c r="F20" t="inlineStr">
        <is>
          <t>Onshore vs. offshore for hiring software devs?；Buckle up, America: The Fed plans to sharply boost unemployment；Switching from W2 Employee to Contractor – what do I need to know?；Bank of England hikes by 50 basis points, says UK may already be in recession；Fed goes big again with third-straight three-quarter-point rate hike</t>
        </is>
      </c>
    </row>
    <row r="21">
      <c r="A21" t="inlineStr">
        <is>
          <t>ev-s-20260705-745a-20</t>
        </is>
      </c>
      <c r="B21" t="inlineStr">
        <is>
          <t>news</t>
        </is>
      </c>
      <c r="C21" t="inlineStr">
        <is>
          <t>https://hn.algolia.com/api/v1/search_by_date?query=cpi&amp;tags=story&amp;hitsPerPage=30&amp;numericFilters=created_at_i%3E%3D1656892800%2Ccreated_at_i%3C%3D1665014399</t>
        </is>
      </c>
      <c r="D21" t="inlineStr">
        <is>
          <t>2026-07-05T08:19:47+00:00</t>
        </is>
      </c>
      <c r="E21" t="inlineStr">
        <is>
          <t>{'query': 'cpi', 'start': '2022-07-04', 'end': '2022-10-05', 'source': 'hn-algolia'}</t>
        </is>
      </c>
      <c r="F21" t="inlineStr">
        <is>
          <t>The ultimate Distributed Workstation Setup；Car-free neighborhood in USA opening soon；CIA Thought Putin Would Quickly Conquer Ukraine. Why Did They Get It So Wrong?；The Hottest App in China Teaches and Tests Citizens About Their Leader (2019)；Poor Man's CI/CD with GitHub Webhooks</t>
        </is>
      </c>
    </row>
    <row r="22">
      <c r="A22" t="inlineStr">
        <is>
          <t>ev-s-20260705-745a-21</t>
        </is>
      </c>
      <c r="B22" t="inlineStr">
        <is>
          <t>news</t>
        </is>
      </c>
      <c r="C22" t="inlineStr">
        <is>
          <t>https://hn.algolia.com/api/v1/search_by_date?query=credit+suisse&amp;tags=story&amp;hitsPerPage=30&amp;numericFilters=created_at_i%3E%3D1672617600%2Ccreated_at_i%3C%3D1680047999</t>
        </is>
      </c>
      <c r="D22" t="inlineStr">
        <is>
          <t>2026-07-05T08:20:07+00:00</t>
        </is>
      </c>
      <c r="E22" t="inlineStr">
        <is>
          <t>{'query': 'credit suisse', 'start': '2023-01-02', 'end': '2023-03-28', 'source': 'hn-algolia'}</t>
        </is>
      </c>
      <c r="F22" t="inlineStr">
        <is>
          <t>The Death of Credit Suisse；After Credit Suisse’s demise, attention turns to Deutsche Bank；Resistance to remote work contributed to Credit Suisse failure；SVB and CS crises thanks to central banks wanting the impossible；The Demise of Credit Suisse</t>
        </is>
      </c>
    </row>
    <row r="23">
      <c r="A23" t="inlineStr">
        <is>
          <t>ev-s-20260705-745a-22</t>
        </is>
      </c>
      <c r="B23" t="inlineStr">
        <is>
          <t>news</t>
        </is>
      </c>
      <c r="C23" t="inlineStr">
        <is>
          <t>https://hn.algolia.com/api/v1/search_by_date?query=SVB&amp;tags=story&amp;hitsPerPage=30&amp;numericFilters=created_at_i%3E%3D1672617600%2Ccreated_at_i%3C%3D1680047999</t>
        </is>
      </c>
      <c r="D23" t="inlineStr">
        <is>
          <t>2026-07-05T08:20:07+00:00</t>
        </is>
      </c>
      <c r="E23" t="inlineStr">
        <is>
          <t>{'query': 'SVB', 'start': '2023-01-02', 'end': '2023-03-28', 'source': 'hn-algolia'}</t>
        </is>
      </c>
      <c r="F23" t="inlineStr">
        <is>
          <t>Review of Bill S.686 – Restrict Act (a.k.a. Ban TikTok)；The Most Dangerous People in America；Consumers Aren’t Buying Automaker Plans to Make Everything a Subscription；CoT prompts don’t help with “system 1” thinking, and other prompting principles；What Is an Embedding, Anyways?</t>
        </is>
      </c>
    </row>
    <row r="24">
      <c r="A24" t="inlineStr">
        <is>
          <t>ev-s-20260705-745a-23</t>
        </is>
      </c>
      <c r="B24" t="inlineStr">
        <is>
          <t>news</t>
        </is>
      </c>
      <c r="C24" t="inlineStr">
        <is>
          <t>https://hn.algolia.com/api/v1/search_by_date?query=FTX&amp;tags=story&amp;hitsPerPage=30&amp;numericFilters=created_at_i%3E%3D1666915200%2Ccreated_at_i%3C%3D1670543999</t>
        </is>
      </c>
      <c r="D24" t="inlineStr">
        <is>
          <t>2026-07-05T08:20:07+00:00</t>
        </is>
      </c>
      <c r="E24" t="inlineStr">
        <is>
          <t>{'query': 'FTX', 'start': '2022-10-28', 'end': '2022-12-08', 'source': 'hn-algolia'}</t>
        </is>
      </c>
      <c r="F24" t="inlineStr">
        <is>
          <t>Show HN: Mastodon Flock, yet another Twitter friend finder, with a Win95 twist；FTX spokesman Kevin O’Leary says he lost his $15M payday from crypto firm；CoinDesk’s FTX scoop left a hole in its corporate overlord；Politicians Are Giving Back Their Donations from FTX Founder；FTX/Alameda Research Political Contributions [OpenSecrets Public Spreadsheet]</t>
        </is>
      </c>
    </row>
    <row r="25">
      <c r="A25" t="inlineStr">
        <is>
          <t>ev-s-20260705-745a-24</t>
        </is>
      </c>
      <c r="B25" t="inlineStr">
        <is>
          <t>news</t>
        </is>
      </c>
      <c r="C25" t="inlineStr">
        <is>
          <t>https://hn.algolia.com/api/v1/search_by_date?query=blackrock&amp;tags=story&amp;hitsPerPage=30&amp;numericFilters=created_at_i%3E%3D1683590400%2Ccreated_at_i%3C%3D1702339199</t>
        </is>
      </c>
      <c r="D25" t="inlineStr">
        <is>
          <t>2026-07-05T08:20:27+00:00</t>
        </is>
      </c>
      <c r="E25" t="inlineStr">
        <is>
          <t>{'query': 'blackrock', 'start': '2023-05-09', 'end': '2023-12-11', 'source': 'hn-algolia'}</t>
        </is>
      </c>
      <c r="F25" t="inlineStr">
        <is>
          <t>BlackRock Geopolitical Events Calendar；Fake BlackRock XRP Filing Referred to Delaware Department of Justice；XRP price swings after fake BlackRock trust filing；BlackRock and housing: Setting the record straight；BlackRock appears to take first steps toward an ether ETF</t>
        </is>
      </c>
    </row>
    <row r="26">
      <c r="A26" t="inlineStr">
        <is>
          <t>ev-s-20260705-745a-25</t>
        </is>
      </c>
      <c r="B26" t="inlineStr">
        <is>
          <t>news</t>
        </is>
      </c>
      <c r="C26" t="inlineStr">
        <is>
          <t>https://hn.algolia.com/api/v1/search_by_date?query=debt+ceiling&amp;tags=story&amp;hitsPerPage=30&amp;numericFilters=created_at_i%3E%3D1683590400%2Ccreated_at_i%3C%3D1702339199</t>
        </is>
      </c>
      <c r="D26" t="inlineStr">
        <is>
          <t>2026-07-05T08:20:27+00:00</t>
        </is>
      </c>
      <c r="E26" t="inlineStr">
        <is>
          <t>{'query': 'debt ceiling', 'start': '2023-05-09', 'end': '2023-12-11', 'source': 'hn-algolia'}</t>
        </is>
      </c>
      <c r="F26" t="inlineStr">
        <is>
          <t>Ask HN: Should the US lower its debt and balance its budget?；Biden signs deal: Debt Ceiling Raised；US debt ceiling deal strands $16B of defense side-projects；The Debt-Limit Deal Suggests Debt Will Keep Growing, Fast；When markets melt down, these traders cash in</t>
        </is>
      </c>
    </row>
    <row r="27">
      <c r="A27" t="inlineStr">
        <is>
          <t>ev-s-20260705-745a-26</t>
        </is>
      </c>
      <c r="B27" t="inlineStr">
        <is>
          <t>news</t>
        </is>
      </c>
      <c r="C27" t="inlineStr">
        <is>
          <t>https://hn.algolia.com/api/v1/search_by_date?query=gold&amp;tags=story&amp;hitsPerPage=30&amp;numericFilters=created_at_i%3E%3D1683590400%2Ccreated_at_i%3C%3D1702339199</t>
        </is>
      </c>
      <c r="D27" t="inlineStr">
        <is>
          <t>2026-07-05T08:20:27+00:00</t>
        </is>
      </c>
      <c r="E27" t="inlineStr">
        <is>
          <t>{'query': 'gold', 'start': '2023-05-09', 'end': '2023-12-11', 'source': 'hn-algolia'}</t>
        </is>
      </c>
      <c r="F27" t="inlineStr">
        <is>
          <t>Ask HN: Working with CPG Retail Data；How Pets Contribute to Remote Work-Life Balance；How to Avoid 'Digital Dementia'；Ask HN: Can you identify a cancer cell's host from its DNA?；How to Run Good DARPA Programs</t>
        </is>
      </c>
    </row>
    <row r="28">
      <c r="A28" t="inlineStr">
        <is>
          <t>ev-s-20260705-745a-27</t>
        </is>
      </c>
      <c r="B28" t="inlineStr">
        <is>
          <t>news</t>
        </is>
      </c>
      <c r="C28" t="inlineStr">
        <is>
          <t>https://hn.algolia.com/api/v1/search_by_date?query=rate+cut&amp;tags=story&amp;hitsPerPage=30&amp;numericFilters=created_at_i%3E%3D1717113600%2Ccreated_at_i%3C%3D1727395199</t>
        </is>
      </c>
      <c r="D28" t="inlineStr">
        <is>
          <t>2026-07-05T08:20:49+00:00</t>
        </is>
      </c>
      <c r="E28" t="inlineStr">
        <is>
          <t>{'query': 'rate cut', 'start': '2024-05-31', 'end': '2024-09-26', 'source': 'hn-algolia'}</t>
        </is>
      </c>
      <c r="F28" t="inlineStr">
        <is>
          <t>US Companies Are Ready to Borrow Billions Following Fed Rate Cut；An Interest Rate Cut Could Affect Artificial Intelligence (AI) Stocks；China unexpectedly leaves benchmark lending rates unchanged after Fed jumbo cut；Tech Stocks Lead S&amp;P 500 to Record High After Fed Cuts Rates；Fed unveils oversized rate cut (0.5%)</t>
        </is>
      </c>
    </row>
    <row r="29">
      <c r="A29" t="inlineStr">
        <is>
          <t>ev-s-20260705-745a-28</t>
        </is>
      </c>
      <c r="B29" t="inlineStr">
        <is>
          <t>news</t>
        </is>
      </c>
      <c r="C29" t="inlineStr">
        <is>
          <t>https://hn.algolia.com/api/v1/search_by_date?query=gold&amp;tags=story&amp;hitsPerPage=30&amp;numericFilters=created_at_i%3E%3D1717113600%2Ccreated_at_i%3C%3D1727395199</t>
        </is>
      </c>
      <c r="D29" t="inlineStr">
        <is>
          <t>2026-07-05T08:20:49+00:00</t>
        </is>
      </c>
      <c r="E29" t="inlineStr">
        <is>
          <t>{'query': 'gold', 'start': '2024-05-31', 'end': '2024-09-26', 'source': 'hn-algolia'}</t>
        </is>
      </c>
      <c r="F29" t="inlineStr">
        <is>
          <t>Doing Good in the Addiction Economy (2013)；Show HN: SwiftUI Reorderable – Pure SwiftUI Drag and Drop Components；Show HN: PGT-Proxy – A PostgreSQL Proxy in 277 Lines of Rust；Stripe froze mutual aid project's acct without cause, is illegally closing it；Middle Tech: Software Work and the Culture of Good Enough</t>
        </is>
      </c>
    </row>
    <row r="30">
      <c r="A30" t="inlineStr">
        <is>
          <t>ev-s-20260705-745a-29</t>
        </is>
      </c>
      <c r="B30" t="inlineStr">
        <is>
          <t>news</t>
        </is>
      </c>
      <c r="C30" t="inlineStr">
        <is>
          <t>https://hn.algolia.com/api/v1/search_by_date?query=ETF&amp;tags=story&amp;hitsPerPage=30&amp;numericFilters=created_at_i%3E%3D1705276800%2Ccreated_at_i%3C%3D1717113599</t>
        </is>
      </c>
      <c r="D30" t="inlineStr">
        <is>
          <t>2026-07-05T08:20:49+00:00</t>
        </is>
      </c>
      <c r="E30" t="inlineStr">
        <is>
          <t>{'query': 'ETF', 'start': '2024-01-15', 'end': '2024-05-30', 'source': 'hn-algolia'}</t>
        </is>
      </c>
      <c r="F30" t="inlineStr">
        <is>
          <t>Testing object detection (YOLO, mobilenet, etc.) with picamera2 on Pi 5；Stripe closed our account and refuses to migrate our data to another processor；Show HN: Swiftwave – Simple Lightweight Open Source PaaS；Ask HN: I have many PDFs – what is the best local way to leverage AI for search?；Ask HN: Books etc. about Heisenberg uncertainty principle in CS, software?</t>
        </is>
      </c>
    </row>
    <row r="31">
      <c r="A31" t="inlineStr">
        <is>
          <t>ev-s-20260705-745a-30</t>
        </is>
      </c>
      <c r="B31" t="inlineStr">
        <is>
          <t>news</t>
        </is>
      </c>
      <c r="C31" t="inlineStr">
        <is>
          <t>https://hn.algolia.com/api/v1/search_by_date?query=tariff&amp;tags=story&amp;hitsPerPage=30&amp;numericFilters=created_at_i%3E%3D1730246400%2Ccreated_at_i%3C%3D1744329599</t>
        </is>
      </c>
      <c r="D31" t="inlineStr">
        <is>
          <t>2026-07-05T08:21:08+00:00</t>
        </is>
      </c>
      <c r="E31" t="inlineStr">
        <is>
          <t>{'query': 'tariff', 'start': '2024-10-30', 'end': '2025-04-10', 'source': 'hn-algolia'}</t>
        </is>
      </c>
      <c r="F31" t="inlineStr">
        <is>
          <t>Amazon's Chinese sellers to raise prices or quit US market as tariffs hit 145%；Gulf shrimpers rooting on tariffs, hoping for "fair trade"；Federal cuts end planned $300M plastics plant and its 300 jobs；Selloff resumes on Wall Street as markets weigh tariff risks；Apple airlifts 600 tons of iPhones from India 'to beat' Trump tariffs</t>
        </is>
      </c>
    </row>
    <row r="32">
      <c r="A32" t="inlineStr">
        <is>
          <t>ev-s-20260705-745a-31</t>
        </is>
      </c>
      <c r="B32" t="inlineStr">
        <is>
          <t>news</t>
        </is>
      </c>
      <c r="C32" t="inlineStr">
        <is>
          <t>https://hn.algolia.com/api/v1/search_by_date?query=trump&amp;tags=story&amp;hitsPerPage=30&amp;numericFilters=created_at_i%3E%3D1730246400%2Ccreated_at_i%3C%3D1744329599</t>
        </is>
      </c>
      <c r="D32" t="inlineStr">
        <is>
          <t>2026-07-05T08:21:08+00:00</t>
        </is>
      </c>
      <c r="E32" t="inlineStr">
        <is>
          <t>{'query': 'trump', 'start': '2024-10-30', 'end': '2025-04-10', 'source': 'hn-algolia'}</t>
        </is>
      </c>
      <c r="F32" t="inlineStr">
        <is>
          <t>Supreme Court Orders Trump to Faciliate Return of Kilmar Garcia from El Salvador；Trump appointee details DOGE's haphazard dismantling of USAID；White House may seek binding control over Columbia through consent decree；Trump Administration Wants to Install Federal Oversight of Columbia University；Greenland 'Freedom City'? Rich donors push Trump for a tech hub up north</t>
        </is>
      </c>
    </row>
    <row r="33">
      <c r="A33" t="inlineStr">
        <is>
          <t>ev-s-20260705-745a-32</t>
        </is>
      </c>
      <c r="B33" t="inlineStr">
        <is>
          <t>news</t>
        </is>
      </c>
      <c r="C33" t="inlineStr">
        <is>
          <t>https://hn.algolia.com/api/v1/search_by_date?query=deepseek&amp;tags=story&amp;hitsPerPage=30&amp;numericFilters=created_at_i%3E%3D1730246400%2Ccreated_at_i%3C%3D1744329599</t>
        </is>
      </c>
      <c r="D33" t="inlineStr">
        <is>
          <t>2026-07-05T08:21:08+00:00</t>
        </is>
      </c>
      <c r="E33" t="inlineStr">
        <is>
          <t>{'query': 'deepseek', 'start': '2024-10-30', 'end': '2025-04-10', 'source': 'hn-algolia'}</t>
        </is>
      </c>
      <c r="F33" t="inlineStr">
        <is>
          <t>Ask HN: Are the tariffs a retaliation after China ruined AI companies profits?；Nvidia Just Released Llama Nemotron Ultra；Hyperbolic x vercel x Next.js Hackathon；Ask HN: Who is getting actual value from 'AI Agents'?；Show HN: Side Reader – Read and Chat with PDF on the ChatGPT and Claude Websites</t>
        </is>
      </c>
    </row>
    <row r="34">
      <c r="A34" t="inlineStr">
        <is>
          <t>ev-s-20260705-745a-33</t>
        </is>
      </c>
      <c r="B34" t="inlineStr">
        <is>
          <t>news</t>
        </is>
      </c>
      <c r="C34" t="inlineStr">
        <is>
          <t>https://hn.algolia.com/api/v1/search_by_date?query=bitcoin&amp;tags=story&amp;hitsPerPage=30&amp;numericFilters=created_at_i%3E%3D1753401600%2Ccreated_at_i%3C%3D1781308799</t>
        </is>
      </c>
      <c r="D34" t="inlineStr">
        <is>
          <t>2026-07-05T08:21:40+00:00</t>
        </is>
      </c>
      <c r="E34" t="inlineStr">
        <is>
          <t>{'query': 'bitcoin', 'start': '2025-07-25', 'end': '2026-06-12', 'source': 'hn-algolia'}</t>
        </is>
      </c>
      <c r="F34" t="inlineStr">
        <is>
          <t>Clarity Act Explained: Why Crypto Regulation Depends on the CFTC；25.3% of Bitcoin sits at addresses with an exposed public key；Tornado Cash's Roman Storm Could Face 40 Years as Government Seeks New Trial；Full Text of Strategic Bitcoin Reserve Bill (H.R. 8957) Published；Bitcoin Manga</t>
        </is>
      </c>
    </row>
    <row r="35">
      <c r="A35" t="inlineStr">
        <is>
          <t>ev-s-20260705-745a-34</t>
        </is>
      </c>
      <c r="B35" t="inlineStr">
        <is>
          <t>news</t>
        </is>
      </c>
      <c r="C35" t="inlineStr">
        <is>
          <t>https://hn.algolia.com/api/v1/search_by_date?query=gold&amp;tags=story&amp;hitsPerPage=30&amp;numericFilters=created_at_i%3E%3D1753401600%2Ccreated_at_i%3C%3D1781308799</t>
        </is>
      </c>
      <c r="D35" t="inlineStr">
        <is>
          <t>2026-07-05T08:21:40+00:00</t>
        </is>
      </c>
      <c r="E35" t="inlineStr">
        <is>
          <t>{'query': 'gold', 'start': '2025-07-25', 'end': '2026-06-12', 'source': 'hn-algolia'}</t>
        </is>
      </c>
      <c r="F35" t="inlineStr">
        <is>
          <t>Ask HN: Are you using Spec Driven Development?；Good Careers at Bad Companies；I created an AI agent that finds investors that and does reachouts to investors；Ask HN: What happens when AI-voice becomes good enough?；Show HN: Squishy &amp; Friends – Claude Fabel 5 coded a game and it is good</t>
        </is>
      </c>
    </row>
    <row r="36">
      <c r="A36" t="inlineStr">
        <is>
          <t>ev-s-20260705-745a-35</t>
        </is>
      </c>
      <c r="B36" t="inlineStr">
        <is>
          <t>news</t>
        </is>
      </c>
      <c r="C36" t="inlineStr">
        <is>
          <t>https://hn.algolia.com/api/v1/search_by_date?query=fed&amp;tags=story&amp;hitsPerPage=30&amp;numericFilters=created_at_i%3E%3D1753401600%2Ccreated_at_i%3C%3D1781308799</t>
        </is>
      </c>
      <c r="D36" t="inlineStr">
        <is>
          <t>2026-07-05T08:21:40+00:00</t>
        </is>
      </c>
      <c r="E36" t="inlineStr">
        <is>
          <t>{'query': 'fed', 'start': '2025-07-25', 'end': '2026-06-12', 'source': 'hn-algolia'}</t>
        </is>
      </c>
      <c r="F36" t="inlineStr">
        <is>
          <t>Ask HN: Are you using Spec Driven Development?；Anthropic Fable just deleted a .git folder of mine, what's next?；Show HN: Montmark – A lightweight, fast pure-Python Markdown parser；Show HN: Musefs – organize and tag music without touching the original files；What Does It Feel Like to Live Under the Threat of Redundancy?</t>
        </is>
      </c>
    </row>
    <row r="37">
      <c r="A37" t="inlineStr">
        <is>
          <t>ev-s-20260705-745a-36</t>
        </is>
      </c>
      <c r="B37" t="inlineStr">
        <is>
          <t>search</t>
        </is>
      </c>
      <c r="C37" t="inlineStr">
        <is>
          <t>https://www.chards.co.uk/guides/brics-summit-2023-is-the-gold-backed-digital-currency-coming/1198</t>
        </is>
      </c>
      <c r="D37" t="inlineStr">
        <is>
          <t>2026-07-05T08:22:01+00:00</t>
        </is>
      </c>
      <c r="E37" t="inlineStr">
        <is>
          <t>{'query': 'BRICS gold currency expansion 2023 2024', 'backend': 'tavily', 'max_results': 5}</t>
        </is>
      </c>
      <c r="F37" t="inlineStr">
        <is>
          <t>BRICS Gold-Backed Currency Release In August 2023? | Chards；Understanding BRICSIZATION through an economic geopolitical ...；[PDF] BRICS Pay and the Evolving Financial Order David Krause；BRICS Gold-Backed Currency: Global Impact &amp; Analysis；From De-Risking to De-Dollarisation: The BRICS Currency and the Future of the International Financial Order | Tricontinental: Institute for Social Research</t>
        </is>
      </c>
    </row>
    <row r="38">
      <c r="A38" t="inlineStr">
        <is>
          <t>ev-s-20260705-745a-37</t>
        </is>
      </c>
      <c r="B38" t="inlineStr">
        <is>
          <t>search</t>
        </is>
      </c>
      <c r="C38" t="inlineStr">
        <is>
          <t>https://www.forbes.com/sites/garthfriesen/2025/03/15/gold-price-hits-record-3000-whats-driving-the-rally</t>
        </is>
      </c>
      <c r="D38" t="inlineStr">
        <is>
          <t>2026-07-05T08:22:01+00:00</t>
        </is>
      </c>
      <c r="E38" t="inlineStr">
        <is>
          <t>{'query': 'gold price above 3000 March 2025 record high', 'backend': 'tavily', 'max_results': 5}</t>
        </is>
      </c>
      <c r="F38" t="inlineStr">
        <is>
          <t>Gold Price Hits Record $3,000: What’s Driving The Rally?；Gold Price Passes $3000, a Record High, Amid Tariff Anxiety；You asked, we answered: Gold hits $3,000 – What comes next? | Post by Taylor Burnette | Insights | World Gold Council；Are $3000 Gold Prices a Record? Yes and No.；Gold hits record highs: analysis of a meteoric rise</t>
        </is>
      </c>
    </row>
    <row r="39">
      <c r="A39" t="inlineStr">
        <is>
          <t>ev-s-20260705-745a-38</t>
        </is>
      </c>
      <c r="B39" t="inlineStr">
        <is>
          <t>search</t>
        </is>
      </c>
      <c r="C39" t="inlineStr">
        <is>
          <t>https://www.nytimes.com/2021/09/24/business/china-cryptocurrency-bitcoin.html</t>
        </is>
      </c>
      <c r="D39" t="inlineStr">
        <is>
          <t>2026-07-05T08:22:01+00:00</t>
        </is>
      </c>
      <c r="E39" t="inlineStr">
        <is>
          <t>{'query': 'China crypto ban September 2021 bitcoin mining', 'backend': 'tavily', 'max_results': 5}</t>
        </is>
      </c>
      <c r="F39" t="inlineStr">
        <is>
          <t>China Declares All Cryptocurrency Transactions Illegal - The New York Times；What's behind China’s cryptocurrency ban? | World Economic Forum；Why China’s Bitcoin mining activity is surging again after a 4-year crackdown  — TradingView News；CryptoPotato - 📜 TODAY IN CRYPTO (2021): China enforced a...；China declares all crypto-currency transactions illegal</t>
        </is>
      </c>
    </row>
    <row r="40">
      <c r="A40" t="inlineStr">
        <is>
          <t>ev-s-20260705-745a-39</t>
        </is>
      </c>
      <c r="B40" t="inlineStr">
        <is>
          <t>market_data</t>
        </is>
      </c>
      <c r="C40" t="inlineStr">
        <is>
          <t>https://query2.finance.yahoo.com/v8/finance/chart/BTC-USD?period1=1625443200&amp;period2=1783296000&amp;interval=1d&amp;events=history</t>
        </is>
      </c>
      <c r="D40" t="inlineStr">
        <is>
          <t>2026-07-05T08:16:06+00:00</t>
        </is>
      </c>
      <c r="E40" t="inlineStr">
        <is>
          <t>{'ticker': 'BTC-USD', 'start': '2021-07-05', 'end': '2026-07-05', 'source': 'Yahoo Finance (query2)'}</t>
        </is>
      </c>
      <c r="F40" t="inlineStr">
        <is>
          <t>1826 行日线，2021-07-05 至 2026-07-05，来源 Yahoo Finance (query2)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黄金与比特币避险抗通胀资产比较分析 — 回测底稿</dc:title>
  <dc:description xmlns:dc="http://purl.org/dc/elements/1.1/">生成于 2026-07-05T11:07:51+00:00（finance-agent）</dc:description>
  <dcterms:created xmlns:dcterms="http://purl.org/dc/terms/" xmlns:xsi="http://www.w3.org/2001/XMLSchema-instance" xsi:type="dcterms:W3CDTF">2026-07-05T11:07:51Z</dcterms:created>
  <dcterms:modified xmlns:dcterms="http://purl.org/dc/terms/" xmlns:xsi="http://www.w3.org/2001/XMLSchema-instance" xsi:type="dcterms:W3CDTF">2026-07-05T11:07:51Z</dcterms:modified>
</cp:coreProperties>
</file>